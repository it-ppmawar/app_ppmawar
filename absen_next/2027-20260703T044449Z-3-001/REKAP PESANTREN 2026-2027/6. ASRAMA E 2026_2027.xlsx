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mport1" sheetId="1" r:id="rId5"/>
    <sheet state="hidden" name="import2" sheetId="2" r:id="rId6"/>
    <sheet state="hidden" name="import3" sheetId="3" r:id="rId7"/>
    <sheet state="visible" name="E" sheetId="4" r:id="rId8"/>
    <sheet state="visible" name="TOP 10" sheetId="5" r:id="rId9"/>
    <sheet state="hidden" name="TEXTVALUE" sheetId="6" r:id="rId10"/>
    <sheet state="visible" name="Template WA Tagihan Pembayaran " sheetId="7" r:id="rId11"/>
  </sheets>
  <definedNames/>
  <calcPr/>
</workbook>
</file>

<file path=xl/sharedStrings.xml><?xml version="1.0" encoding="utf-8"?>
<sst xmlns="http://schemas.openxmlformats.org/spreadsheetml/2006/main" count="53" uniqueCount="27">
  <si>
    <t>11</t>
  </si>
  <si>
    <t>NO</t>
  </si>
  <si>
    <t>NAMA</t>
  </si>
  <si>
    <t>NIS</t>
  </si>
  <si>
    <t>ASRAMA</t>
  </si>
  <si>
    <t>KAMAR</t>
  </si>
  <si>
    <t>TINGKAT</t>
  </si>
  <si>
    <t>MADRASIAH</t>
  </si>
  <si>
    <t>AYAH</t>
  </si>
  <si>
    <t>IBU</t>
  </si>
  <si>
    <t>ALAMAT</t>
  </si>
  <si>
    <t>WA</t>
  </si>
  <si>
    <t>JUMLAH SYAHRIYAH</t>
  </si>
  <si>
    <t>JUMLAH JARIYAH</t>
  </si>
  <si>
    <t>JUMLAH DAFTAR ULANG</t>
  </si>
  <si>
    <t>JUMLAH TOTAL TUNGGAKAN</t>
  </si>
  <si>
    <t>HP</t>
  </si>
  <si>
    <t>Syahriyah</t>
  </si>
  <si>
    <t>Jariyah</t>
  </si>
  <si>
    <t>Daftar Ulang</t>
  </si>
  <si>
    <t>Total</t>
  </si>
  <si>
    <t>Rincian &amp; Total</t>
  </si>
  <si>
    <t>WhatsApp Number(with country code)</t>
  </si>
  <si>
    <t>First Name</t>
  </si>
  <si>
    <t>Last Name</t>
  </si>
  <si>
    <t>Other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</si>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</sst>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b/>
      <sz val="12.0"/>
      <color theme="1"/>
      <name val="Arial Regular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2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4" numFmtId="0" xfId="0" applyAlignment="1" applyFill="1" applyFont="1">
      <alignment horizontal="center" vertical="center"/>
    </xf>
    <xf borderId="0" fillId="3" fontId="4" numFmtId="0" xfId="0" applyAlignment="1" applyFont="1">
      <alignment vertical="center"/>
    </xf>
    <xf borderId="0" fillId="3" fontId="4" numFmtId="0" xfId="0" applyAlignment="1" applyFont="1">
      <alignment horizontal="right" vertical="center"/>
    </xf>
    <xf borderId="0" fillId="3" fontId="4" numFmtId="3" xfId="0" applyAlignment="1" applyFont="1" applyNumberFormat="1">
      <alignment horizontal="center" vertical="center"/>
    </xf>
    <xf borderId="0" fillId="3" fontId="4" numFmtId="49" xfId="0" applyAlignment="1" applyFont="1" applyNumberFormat="1">
      <alignment horizontal="right" vertical="center"/>
    </xf>
    <xf borderId="0" fillId="3" fontId="4" numFmtId="3" xfId="0" applyAlignment="1" applyFont="1" applyNumberFormat="1">
      <alignment horizontal="right" vertical="center"/>
    </xf>
    <xf borderId="0" fillId="3" fontId="5" numFmtId="3" xfId="0" applyAlignment="1" applyFont="1" applyNumberFormat="1">
      <alignment vertical="center"/>
    </xf>
    <xf borderId="0" fillId="3" fontId="5" numFmtId="3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3" xfId="0" applyAlignment="1" applyFont="1" applyNumberFormat="1">
      <alignment horizontal="center" vertical="center"/>
    </xf>
    <xf borderId="0" fillId="4" fontId="4" numFmtId="49" xfId="0" applyAlignment="1" applyFont="1" applyNumberFormat="1">
      <alignment horizontal="right" vertical="center"/>
    </xf>
    <xf borderId="0" fillId="4" fontId="5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5" numFmtId="3" xfId="0" applyAlignment="1" applyFont="1" applyNumberFormat="1">
      <alignment horizontal="right" vertical="center"/>
    </xf>
    <xf borderId="0" fillId="3" fontId="4" numFmtId="3" xfId="0" applyAlignment="1" applyFont="1" applyNumberFormat="1">
      <alignment vertical="center"/>
    </xf>
    <xf borderId="0" fillId="4" fontId="5" numFmtId="49" xfId="0" applyAlignment="1" applyFont="1" applyNumberFormat="1">
      <alignment vertical="center"/>
    </xf>
    <xf borderId="0" fillId="3" fontId="5" numFmtId="0" xfId="0" applyAlignment="1" applyFont="1">
      <alignment vertical="center"/>
    </xf>
    <xf borderId="0" fillId="3" fontId="5" numFmtId="49" xfId="0" applyAlignment="1" applyFont="1" applyNumberFormat="1">
      <alignment vertical="center"/>
    </xf>
    <xf borderId="0" fillId="4" fontId="5" numFmtId="0" xfId="0" applyAlignment="1" applyFont="1">
      <alignment vertical="center"/>
    </xf>
    <xf borderId="0" fillId="4" fontId="4" numFmtId="3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right" shrinkToFit="0" vertical="center" wrapText="1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center" vertical="bottom"/>
    </xf>
    <xf borderId="0" fillId="3" fontId="4" numFmtId="49" xfId="0" applyAlignment="1" applyFont="1" applyNumberFormat="1">
      <alignment vertical="bottom"/>
    </xf>
    <xf borderId="0" fillId="3" fontId="5" numFmtId="3" xfId="0" applyAlignment="1" applyFont="1" applyNumberForma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49" xfId="0" applyAlignment="1" applyFont="1" applyNumberFormat="1">
      <alignment horizontal="right" vertical="bottom"/>
    </xf>
    <xf borderId="0" fillId="4" fontId="4" numFmtId="3" xfId="0" applyAlignment="1" applyFont="1" applyNumberFormat="1">
      <alignment horizontal="center" vertical="bottom"/>
    </xf>
    <xf borderId="0" fillId="4" fontId="4" numFmtId="49" xfId="0" applyAlignment="1" applyFont="1" applyNumberFormat="1">
      <alignment vertical="bottom"/>
    </xf>
    <xf borderId="0" fillId="4" fontId="5" numFmtId="3" xfId="0" applyAlignment="1" applyFont="1" applyNumberFormat="1">
      <alignment vertical="bottom"/>
    </xf>
    <xf borderId="0" fillId="4" fontId="4" numFmtId="3" xfId="0" applyAlignment="1" applyFont="1" applyNumberFormat="1">
      <alignment horizontal="right" vertical="bottom"/>
    </xf>
    <xf borderId="0" fillId="4" fontId="5" numFmtId="3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5" numFmtId="49" xfId="0" applyAlignment="1" applyFont="1" applyNumberFormat="1">
      <alignment vertical="bottom"/>
    </xf>
    <xf borderId="0" fillId="3" fontId="4" numFmtId="3" xfId="0" applyAlignment="1" applyFont="1" applyNumberFormat="1">
      <alignment vertical="bottom"/>
    </xf>
    <xf borderId="0" fillId="4" fontId="4" numFmtId="3" xfId="0" applyAlignment="1" applyFont="1" applyNumberFormat="1">
      <alignment vertical="bottom"/>
    </xf>
    <xf borderId="0" fillId="4" fontId="5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2" fontId="2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Font="1"/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8">
    <tableStyle count="3" pivot="0" name="import1-style">
      <tableStyleElement dxfId="1" type="headerRow"/>
      <tableStyleElement dxfId="2" type="firstRowStripe"/>
      <tableStyleElement dxfId="3" type="secondRowStripe"/>
    </tableStyle>
    <tableStyle count="3" pivot="0" name="import2-style">
      <tableStyleElement dxfId="1" type="headerRow"/>
      <tableStyleElement dxfId="2" type="firstRowStripe"/>
      <tableStyleElement dxfId="3" type="secondRowStripe"/>
    </tableStyle>
    <tableStyle count="3" pivot="0" name="import2-style 2">
      <tableStyleElement dxfId="1" type="headerRow"/>
      <tableStyleElement dxfId="2" type="firstRowStripe"/>
      <tableStyleElement dxfId="3" type="secondRowStripe"/>
    </tableStyle>
    <tableStyle count="3" pivot="0" name="import3-style">
      <tableStyleElement dxfId="1" type="headerRow"/>
      <tableStyleElement dxfId="2" type="firstRowStripe"/>
      <tableStyleElement dxfId="3" type="secondRowStripe"/>
    </tableStyle>
    <tableStyle count="3" pivot="0" name="import3-style 2">
      <tableStyleElement dxfId="1" type="headerRow"/>
      <tableStyleElement dxfId="2" type="firstRowStripe"/>
      <tableStyleElement dxfId="3" type="secondRowStripe"/>
    </tableStyle>
    <tableStyle count="3" pivot="0" name="E-style">
      <tableStyleElement dxfId="1" type="headerRow"/>
      <tableStyleElement dxfId="2" type="firstRowStripe"/>
      <tableStyleElement dxfId="3" type="secondRowStripe"/>
    </tableStyle>
    <tableStyle count="3" pivot="0" name="TOP 10-style">
      <tableStyleElement dxfId="1" type="headerRow"/>
      <tableStyleElement dxfId="2" type="firstRowStripe"/>
      <tableStyleElement dxfId="3" type="secondRowStripe"/>
    </tableStyle>
    <tableStyle count="3" pivot="0" name="TEXTVAL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I444" displayName="Table_1" name="Table_1" id="1">
  <tableColumns count="6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</tableColumns>
  <tableStyleInfo name="impor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E444" displayName="Table_2" name="Table_2" id="2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F1:BI44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import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E444" displayName="Table_4" name="Table_4" id="4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F1:BI44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import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:L1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:O1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P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:Q1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XTVAL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IFERROR(__xludf.DUMMYFUNCTION("IMPORTRANGE(""1r--qa2i5jCx8YeQ_mLlUrqLRTQh7y-fik2wTdRKBimk/edit?gid=214218921#gid=214218921"",""KELAS 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5"/>
      <c r="BK1" s="5"/>
      <c r="BL1" s="5"/>
      <c r="BM1" s="5"/>
      <c r="BN1" s="5"/>
      <c r="BO1" s="5"/>
    </row>
    <row r="2">
      <c r="A2" s="6" t="str">
        <f>IFERROR(__xludf.DUMMYFUNCTION("""COMPUTED_VALUE"""),"")</f>
        <v/>
      </c>
      <c r="B2" s="7"/>
      <c r="C2" s="8"/>
      <c r="D2" s="7"/>
      <c r="E2" s="7"/>
      <c r="F2" s="7"/>
      <c r="G2" s="8"/>
      <c r="H2" s="6"/>
      <c r="I2" s="9"/>
      <c r="J2" s="9"/>
      <c r="K2" s="9"/>
      <c r="L2" s="10"/>
      <c r="M2" s="11"/>
      <c r="N2" s="12"/>
      <c r="O2" s="12"/>
      <c r="P2" s="12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1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1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1">
        <f>IFERROR(__xludf.DUMMYFUNCTION("""COMPUTED_VALUE"""),0.0)</f>
        <v>0</v>
      </c>
      <c r="BD2" s="11">
        <f>IFERROR(__xludf.DUMMYFUNCTION("""COMPUTED_VALUE"""),0.0)</f>
        <v>0</v>
      </c>
      <c r="BE2" s="11">
        <f>IFERROR(__xludf.DUMMYFUNCTION("""COMPUTED_VALUE"""),0.0)</f>
        <v>0</v>
      </c>
      <c r="BF2" s="13">
        <f>IFERROR(__xludf.DUMMYFUNCTION("""COMPUTED_VALUE"""),0.0)</f>
        <v>0</v>
      </c>
      <c r="BG2" s="12"/>
      <c r="BH2" s="12"/>
      <c r="BI2" s="12"/>
      <c r="BJ2" s="14"/>
      <c r="BK2" s="14"/>
      <c r="BL2" s="14"/>
      <c r="BM2" s="14"/>
      <c r="BN2" s="14"/>
      <c r="BO2" s="14"/>
    </row>
    <row r="3">
      <c r="A3" s="15" t="str">
        <f>IFERROR(__xludf.DUMMYFUNCTION("""COMPUTED_VALUE"""),"")</f>
        <v/>
      </c>
      <c r="B3" s="16"/>
      <c r="C3" s="17"/>
      <c r="D3" s="16"/>
      <c r="E3" s="16"/>
      <c r="F3" s="16"/>
      <c r="G3" s="17"/>
      <c r="H3" s="15"/>
      <c r="I3" s="18"/>
      <c r="J3" s="18"/>
      <c r="K3" s="18"/>
      <c r="L3" s="19"/>
      <c r="M3" s="20"/>
      <c r="N3" s="20"/>
      <c r="O3" s="20"/>
      <c r="P3" s="20"/>
      <c r="Q3" s="21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1">
        <f>IFERROR(__xludf.DUMMYFUNCTION("""COMPUTED_VALUE"""),0.0)</f>
        <v>0</v>
      </c>
      <c r="BD3" s="21">
        <f>IFERROR(__xludf.DUMMYFUNCTION("""COMPUTED_VALUE"""),0.0)</f>
        <v>0</v>
      </c>
      <c r="BE3" s="21">
        <f>IFERROR(__xludf.DUMMYFUNCTION("""COMPUTED_VALUE"""),0.0)</f>
        <v>0</v>
      </c>
      <c r="BF3" s="22">
        <f>IFERROR(__xludf.DUMMYFUNCTION("""COMPUTED_VALUE"""),0.0)</f>
        <v>0</v>
      </c>
      <c r="BG3" s="20"/>
      <c r="BH3" s="20"/>
      <c r="BI3" s="20"/>
      <c r="BJ3" s="14"/>
      <c r="BK3" s="14"/>
      <c r="BL3" s="14"/>
      <c r="BM3" s="14"/>
      <c r="BN3" s="14"/>
      <c r="BO3" s="14"/>
    </row>
    <row r="4">
      <c r="A4" s="6" t="str">
        <f>IFERROR(__xludf.DUMMYFUNCTION("""COMPUTED_VALUE"""),"")</f>
        <v/>
      </c>
      <c r="B4" s="7"/>
      <c r="C4" s="8"/>
      <c r="D4" s="7"/>
      <c r="E4" s="7"/>
      <c r="F4" s="7"/>
      <c r="G4" s="8"/>
      <c r="H4" s="6"/>
      <c r="I4" s="9"/>
      <c r="J4" s="9"/>
      <c r="K4" s="9"/>
      <c r="L4" s="10"/>
      <c r="M4" s="12"/>
      <c r="N4" s="12"/>
      <c r="O4" s="12"/>
      <c r="P4" s="12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  <c r="AB4" s="11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1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1">
        <f>IFERROR(__xludf.DUMMYFUNCTION("""COMPUTED_VALUE"""),0.0)</f>
        <v>0</v>
      </c>
      <c r="BD4" s="11">
        <f>IFERROR(__xludf.DUMMYFUNCTION("""COMPUTED_VALUE"""),0.0)</f>
        <v>0</v>
      </c>
      <c r="BE4" s="11">
        <f>IFERROR(__xludf.DUMMYFUNCTION("""COMPUTED_VALUE"""),0.0)</f>
        <v>0</v>
      </c>
      <c r="BF4" s="13">
        <f>IFERROR(__xludf.DUMMYFUNCTION("""COMPUTED_VALUE"""),0.0)</f>
        <v>0</v>
      </c>
      <c r="BG4" s="12"/>
      <c r="BH4" s="12"/>
      <c r="BI4" s="12"/>
      <c r="BJ4" s="14"/>
      <c r="BK4" s="14"/>
      <c r="BL4" s="14"/>
      <c r="BM4" s="14"/>
      <c r="BN4" s="14"/>
      <c r="BO4" s="14"/>
    </row>
    <row r="5">
      <c r="A5" s="15" t="str">
        <f>IFERROR(__xludf.DUMMYFUNCTION("""COMPUTED_VALUE"""),"")</f>
        <v/>
      </c>
      <c r="B5" s="16"/>
      <c r="C5" s="17"/>
      <c r="D5" s="16"/>
      <c r="E5" s="16"/>
      <c r="F5" s="16"/>
      <c r="G5" s="17"/>
      <c r="H5" s="15"/>
      <c r="I5" s="18"/>
      <c r="J5" s="18"/>
      <c r="K5" s="18"/>
      <c r="L5" s="19"/>
      <c r="M5" s="20"/>
      <c r="N5" s="20"/>
      <c r="O5" s="20"/>
      <c r="P5" s="20"/>
      <c r="Q5" s="21"/>
      <c r="R5" s="20"/>
      <c r="S5" s="20"/>
      <c r="T5" s="20"/>
      <c r="U5" s="20"/>
      <c r="V5" s="20"/>
      <c r="W5" s="20"/>
      <c r="X5" s="20"/>
      <c r="Y5" s="20"/>
      <c r="Z5" s="20"/>
      <c r="AA5" s="20"/>
      <c r="AB5" s="21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1">
        <f>IFERROR(__xludf.DUMMYFUNCTION("""COMPUTED_VALUE"""),0.0)</f>
        <v>0</v>
      </c>
      <c r="BD5" s="21">
        <f>IFERROR(__xludf.DUMMYFUNCTION("""COMPUTED_VALUE"""),0.0)</f>
        <v>0</v>
      </c>
      <c r="BE5" s="21">
        <f>IFERROR(__xludf.DUMMYFUNCTION("""COMPUTED_VALUE"""),0.0)</f>
        <v>0</v>
      </c>
      <c r="BF5" s="22">
        <f>IFERROR(__xludf.DUMMYFUNCTION("""COMPUTED_VALUE"""),0.0)</f>
        <v>0</v>
      </c>
      <c r="BG5" s="20"/>
      <c r="BH5" s="20"/>
      <c r="BI5" s="20"/>
      <c r="BJ5" s="14"/>
      <c r="BK5" s="14"/>
      <c r="BL5" s="14"/>
      <c r="BM5" s="14"/>
      <c r="BN5" s="14"/>
      <c r="BO5" s="14"/>
    </row>
    <row r="6">
      <c r="A6" s="6" t="str">
        <f>IFERROR(__xludf.DUMMYFUNCTION("""COMPUTED_VALUE"""),"")</f>
        <v/>
      </c>
      <c r="B6" s="7"/>
      <c r="C6" s="8"/>
      <c r="D6" s="7"/>
      <c r="E6" s="7"/>
      <c r="F6" s="7"/>
      <c r="G6" s="8"/>
      <c r="H6" s="6"/>
      <c r="I6" s="9"/>
      <c r="J6" s="9"/>
      <c r="K6" s="9"/>
      <c r="L6" s="10"/>
      <c r="M6" s="12"/>
      <c r="N6" s="12"/>
      <c r="O6" s="12"/>
      <c r="P6" s="12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1">
        <f>IFERROR(__xludf.DUMMYFUNCTION("""COMPUTED_VALUE"""),0.0)</f>
        <v>0</v>
      </c>
      <c r="BD6" s="11">
        <f>IFERROR(__xludf.DUMMYFUNCTION("""COMPUTED_VALUE"""),0.0)</f>
        <v>0</v>
      </c>
      <c r="BE6" s="11">
        <f>IFERROR(__xludf.DUMMYFUNCTION("""COMPUTED_VALUE"""),0.0)</f>
        <v>0</v>
      </c>
      <c r="BF6" s="13">
        <f>IFERROR(__xludf.DUMMYFUNCTION("""COMPUTED_VALUE"""),0.0)</f>
        <v>0</v>
      </c>
      <c r="BG6" s="12"/>
      <c r="BH6" s="12"/>
      <c r="BI6" s="12"/>
      <c r="BJ6" s="14"/>
      <c r="BK6" s="14"/>
      <c r="BL6" s="14"/>
      <c r="BM6" s="14"/>
      <c r="BN6" s="14"/>
      <c r="BO6" s="14"/>
    </row>
    <row r="7">
      <c r="A7" s="15" t="str">
        <f>IFERROR(__xludf.DUMMYFUNCTION("""COMPUTED_VALUE"""),"")</f>
        <v/>
      </c>
      <c r="B7" s="16"/>
      <c r="C7" s="17"/>
      <c r="D7" s="16"/>
      <c r="E7" s="16"/>
      <c r="F7" s="16"/>
      <c r="G7" s="17"/>
      <c r="H7" s="15"/>
      <c r="I7" s="18"/>
      <c r="J7" s="18"/>
      <c r="K7" s="18"/>
      <c r="L7" s="19"/>
      <c r="M7" s="20"/>
      <c r="N7" s="20"/>
      <c r="O7" s="20"/>
      <c r="P7" s="20"/>
      <c r="Q7" s="21"/>
      <c r="R7" s="20"/>
      <c r="S7" s="20"/>
      <c r="T7" s="20"/>
      <c r="U7" s="20"/>
      <c r="V7" s="20"/>
      <c r="W7" s="20"/>
      <c r="X7" s="20"/>
      <c r="Y7" s="20"/>
      <c r="Z7" s="20"/>
      <c r="AA7" s="20"/>
      <c r="AB7" s="21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1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1">
        <f>IFERROR(__xludf.DUMMYFUNCTION("""COMPUTED_VALUE"""),0.0)</f>
        <v>0</v>
      </c>
      <c r="BD7" s="21">
        <f>IFERROR(__xludf.DUMMYFUNCTION("""COMPUTED_VALUE"""),0.0)</f>
        <v>0</v>
      </c>
      <c r="BE7" s="21">
        <f>IFERROR(__xludf.DUMMYFUNCTION("""COMPUTED_VALUE"""),0.0)</f>
        <v>0</v>
      </c>
      <c r="BF7" s="22">
        <f>IFERROR(__xludf.DUMMYFUNCTION("""COMPUTED_VALUE"""),0.0)</f>
        <v>0</v>
      </c>
      <c r="BG7" s="20"/>
      <c r="BH7" s="20"/>
      <c r="BI7" s="20"/>
      <c r="BJ7" s="14"/>
      <c r="BK7" s="14"/>
      <c r="BL7" s="14"/>
      <c r="BM7" s="14"/>
      <c r="BN7" s="14"/>
      <c r="BO7" s="14"/>
    </row>
    <row r="8">
      <c r="A8" s="6" t="str">
        <f>IFERROR(__xludf.DUMMYFUNCTION("""COMPUTED_VALUE"""),"")</f>
        <v/>
      </c>
      <c r="B8" s="7"/>
      <c r="C8" s="8"/>
      <c r="D8" s="7"/>
      <c r="E8" s="7"/>
      <c r="F8" s="7"/>
      <c r="G8" s="8"/>
      <c r="H8" s="6"/>
      <c r="I8" s="9"/>
      <c r="J8" s="9"/>
      <c r="K8" s="9"/>
      <c r="L8" s="10"/>
      <c r="M8" s="11"/>
      <c r="N8" s="12"/>
      <c r="O8" s="12"/>
      <c r="P8" s="12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1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1">
        <f>IFERROR(__xludf.DUMMYFUNCTION("""COMPUTED_VALUE"""),0.0)</f>
        <v>0</v>
      </c>
      <c r="BD8" s="11">
        <f>IFERROR(__xludf.DUMMYFUNCTION("""COMPUTED_VALUE"""),0.0)</f>
        <v>0</v>
      </c>
      <c r="BE8" s="11">
        <f>IFERROR(__xludf.DUMMYFUNCTION("""COMPUTED_VALUE"""),0.0)</f>
        <v>0</v>
      </c>
      <c r="BF8" s="13">
        <f>IFERROR(__xludf.DUMMYFUNCTION("""COMPUTED_VALUE"""),0.0)</f>
        <v>0</v>
      </c>
      <c r="BG8" s="12"/>
      <c r="BH8" s="12"/>
      <c r="BI8" s="12"/>
      <c r="BJ8" s="14"/>
      <c r="BK8" s="14"/>
      <c r="BL8" s="14"/>
      <c r="BM8" s="14"/>
      <c r="BN8" s="14"/>
      <c r="BO8" s="14"/>
    </row>
    <row r="9">
      <c r="A9" s="15" t="str">
        <f>IFERROR(__xludf.DUMMYFUNCTION("""COMPUTED_VALUE"""),"")</f>
        <v/>
      </c>
      <c r="B9" s="16"/>
      <c r="C9" s="17"/>
      <c r="D9" s="16"/>
      <c r="E9" s="16"/>
      <c r="F9" s="16"/>
      <c r="G9" s="17"/>
      <c r="H9" s="15"/>
      <c r="I9" s="18"/>
      <c r="J9" s="18"/>
      <c r="K9" s="18"/>
      <c r="L9" s="19"/>
      <c r="M9" s="21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1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1">
        <f>IFERROR(__xludf.DUMMYFUNCTION("""COMPUTED_VALUE"""),0.0)</f>
        <v>0</v>
      </c>
      <c r="BD9" s="21">
        <f>IFERROR(__xludf.DUMMYFUNCTION("""COMPUTED_VALUE"""),0.0)</f>
        <v>0</v>
      </c>
      <c r="BE9" s="21">
        <f>IFERROR(__xludf.DUMMYFUNCTION("""COMPUTED_VALUE"""),0.0)</f>
        <v>0</v>
      </c>
      <c r="BF9" s="22">
        <f>IFERROR(__xludf.DUMMYFUNCTION("""COMPUTED_VALUE"""),0.0)</f>
        <v>0</v>
      </c>
      <c r="BG9" s="20"/>
      <c r="BH9" s="20"/>
      <c r="BI9" s="20"/>
      <c r="BJ9" s="14"/>
      <c r="BK9" s="14"/>
      <c r="BL9" s="14"/>
      <c r="BM9" s="14"/>
      <c r="BN9" s="14"/>
      <c r="BO9" s="14"/>
    </row>
    <row r="10">
      <c r="A10" s="6" t="str">
        <f>IFERROR(__xludf.DUMMYFUNCTION("""COMPUTED_VALUE"""),"")</f>
        <v/>
      </c>
      <c r="B10" s="7"/>
      <c r="C10" s="8"/>
      <c r="D10" s="7"/>
      <c r="E10" s="7"/>
      <c r="F10" s="7"/>
      <c r="G10" s="8"/>
      <c r="H10" s="6"/>
      <c r="I10" s="9"/>
      <c r="J10" s="9"/>
      <c r="K10" s="9"/>
      <c r="L10" s="10"/>
      <c r="M10" s="12"/>
      <c r="N10" s="11"/>
      <c r="O10" s="12"/>
      <c r="P10" s="11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1">
        <f>IFERROR(__xludf.DUMMYFUNCTION("""COMPUTED_VALUE"""),0.0)</f>
        <v>0</v>
      </c>
      <c r="BD10" s="11">
        <f>IFERROR(__xludf.DUMMYFUNCTION("""COMPUTED_VALUE"""),0.0)</f>
        <v>0</v>
      </c>
      <c r="BE10" s="11">
        <f>IFERROR(__xludf.DUMMYFUNCTION("""COMPUTED_VALUE"""),0.0)</f>
        <v>0</v>
      </c>
      <c r="BF10" s="13">
        <f>IFERROR(__xludf.DUMMYFUNCTION("""COMPUTED_VALUE"""),0.0)</f>
        <v>0</v>
      </c>
      <c r="BG10" s="12"/>
      <c r="BH10" s="12"/>
      <c r="BI10" s="12"/>
      <c r="BJ10" s="14"/>
      <c r="BK10" s="14"/>
      <c r="BL10" s="14"/>
      <c r="BM10" s="14"/>
      <c r="BN10" s="14"/>
      <c r="BO10" s="14"/>
    </row>
    <row r="11">
      <c r="A11" s="15" t="str">
        <f>IFERROR(__xludf.DUMMYFUNCTION("""COMPUTED_VALUE"""),"")</f>
        <v/>
      </c>
      <c r="B11" s="16"/>
      <c r="C11" s="17"/>
      <c r="D11" s="16"/>
      <c r="E11" s="16"/>
      <c r="F11" s="16"/>
      <c r="G11" s="17"/>
      <c r="H11" s="15"/>
      <c r="I11" s="18"/>
      <c r="J11" s="18"/>
      <c r="K11" s="18"/>
      <c r="L11" s="19"/>
      <c r="M11" s="20"/>
      <c r="N11" s="20"/>
      <c r="O11" s="20"/>
      <c r="P11" s="20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1">
        <f>IFERROR(__xludf.DUMMYFUNCTION("""COMPUTED_VALUE"""),0.0)</f>
        <v>0</v>
      </c>
      <c r="BD11" s="21">
        <f>IFERROR(__xludf.DUMMYFUNCTION("""COMPUTED_VALUE"""),0.0)</f>
        <v>0</v>
      </c>
      <c r="BE11" s="21">
        <f>IFERROR(__xludf.DUMMYFUNCTION("""COMPUTED_VALUE"""),0.0)</f>
        <v>0</v>
      </c>
      <c r="BF11" s="22">
        <f>IFERROR(__xludf.DUMMYFUNCTION("""COMPUTED_VALUE"""),0.0)</f>
        <v>0</v>
      </c>
      <c r="BG11" s="20"/>
      <c r="BH11" s="20"/>
      <c r="BI11" s="20"/>
      <c r="BJ11" s="14"/>
      <c r="BK11" s="14"/>
      <c r="BL11" s="14"/>
      <c r="BM11" s="14"/>
      <c r="BN11" s="14"/>
      <c r="BO11" s="14"/>
    </row>
    <row r="12">
      <c r="A12" s="6" t="str">
        <f>IFERROR(__xludf.DUMMYFUNCTION("""COMPUTED_VALUE"""),"")</f>
        <v/>
      </c>
      <c r="B12" s="7"/>
      <c r="C12" s="8"/>
      <c r="D12" s="7"/>
      <c r="E12" s="7"/>
      <c r="F12" s="7"/>
      <c r="G12" s="8"/>
      <c r="H12" s="6"/>
      <c r="I12" s="9"/>
      <c r="J12" s="9"/>
      <c r="K12" s="9"/>
      <c r="L12" s="10"/>
      <c r="M12" s="12"/>
      <c r="N12" s="12"/>
      <c r="O12" s="12"/>
      <c r="P12" s="12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1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1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1">
        <f>IFERROR(__xludf.DUMMYFUNCTION("""COMPUTED_VALUE"""),0.0)</f>
        <v>0</v>
      </c>
      <c r="BD12" s="11">
        <f>IFERROR(__xludf.DUMMYFUNCTION("""COMPUTED_VALUE"""),0.0)</f>
        <v>0</v>
      </c>
      <c r="BE12" s="11">
        <f>IFERROR(__xludf.DUMMYFUNCTION("""COMPUTED_VALUE"""),0.0)</f>
        <v>0</v>
      </c>
      <c r="BF12" s="13">
        <f>IFERROR(__xludf.DUMMYFUNCTION("""COMPUTED_VALUE"""),0.0)</f>
        <v>0</v>
      </c>
      <c r="BG12" s="12"/>
      <c r="BH12" s="12"/>
      <c r="BI12" s="12"/>
      <c r="BJ12" s="14"/>
      <c r="BK12" s="14"/>
      <c r="BL12" s="14"/>
      <c r="BM12" s="14"/>
      <c r="BN12" s="14"/>
      <c r="BO12" s="14"/>
    </row>
    <row r="13">
      <c r="A13" s="15" t="str">
        <f>IFERROR(__xludf.DUMMYFUNCTION("""COMPUTED_VALUE"""),"")</f>
        <v/>
      </c>
      <c r="B13" s="16"/>
      <c r="C13" s="17"/>
      <c r="D13" s="16"/>
      <c r="E13" s="16"/>
      <c r="F13" s="16"/>
      <c r="G13" s="17"/>
      <c r="H13" s="15"/>
      <c r="I13" s="18"/>
      <c r="J13" s="18"/>
      <c r="K13" s="18"/>
      <c r="L13" s="19"/>
      <c r="M13" s="20"/>
      <c r="N13" s="20"/>
      <c r="O13" s="20"/>
      <c r="P13" s="20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>
        <f>IFERROR(__xludf.DUMMYFUNCTION("""COMPUTED_VALUE"""),0.0)</f>
        <v>0</v>
      </c>
      <c r="BD13" s="21">
        <f>IFERROR(__xludf.DUMMYFUNCTION("""COMPUTED_VALUE"""),0.0)</f>
        <v>0</v>
      </c>
      <c r="BE13" s="21">
        <f>IFERROR(__xludf.DUMMYFUNCTION("""COMPUTED_VALUE"""),0.0)</f>
        <v>0</v>
      </c>
      <c r="BF13" s="22">
        <f>IFERROR(__xludf.DUMMYFUNCTION("""COMPUTED_VALUE"""),0.0)</f>
        <v>0</v>
      </c>
      <c r="BG13" s="20"/>
      <c r="BH13" s="20"/>
      <c r="BI13" s="20"/>
      <c r="BJ13" s="14"/>
      <c r="BK13" s="14"/>
      <c r="BL13" s="14"/>
      <c r="BM13" s="14"/>
      <c r="BN13" s="14"/>
      <c r="BO13" s="14"/>
    </row>
    <row r="14">
      <c r="A14" s="6" t="str">
        <f>IFERROR(__xludf.DUMMYFUNCTION("""COMPUTED_VALUE"""),"")</f>
        <v/>
      </c>
      <c r="B14" s="7"/>
      <c r="C14" s="8"/>
      <c r="D14" s="7"/>
      <c r="E14" s="7"/>
      <c r="F14" s="7"/>
      <c r="G14" s="8"/>
      <c r="H14" s="6"/>
      <c r="I14" s="9"/>
      <c r="J14" s="9"/>
      <c r="K14" s="9"/>
      <c r="L14" s="1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1">
        <f>IFERROR(__xludf.DUMMYFUNCTION("""COMPUTED_VALUE"""),0.0)</f>
        <v>0</v>
      </c>
      <c r="BD14" s="11">
        <f>IFERROR(__xludf.DUMMYFUNCTION("""COMPUTED_VALUE"""),0.0)</f>
        <v>0</v>
      </c>
      <c r="BE14" s="11">
        <f>IFERROR(__xludf.DUMMYFUNCTION("""COMPUTED_VALUE"""),0.0)</f>
        <v>0</v>
      </c>
      <c r="BF14" s="13">
        <f>IFERROR(__xludf.DUMMYFUNCTION("""COMPUTED_VALUE"""),0.0)</f>
        <v>0</v>
      </c>
      <c r="BG14" s="12"/>
      <c r="BH14" s="12"/>
      <c r="BI14" s="12"/>
      <c r="BJ14" s="14"/>
      <c r="BK14" s="14"/>
      <c r="BL14" s="14"/>
      <c r="BM14" s="14"/>
      <c r="BN14" s="14"/>
      <c r="BO14" s="14"/>
    </row>
    <row r="15">
      <c r="A15" s="15" t="str">
        <f>IFERROR(__xludf.DUMMYFUNCTION("""COMPUTED_VALUE"""),"")</f>
        <v/>
      </c>
      <c r="B15" s="16"/>
      <c r="C15" s="17"/>
      <c r="D15" s="16"/>
      <c r="E15" s="16"/>
      <c r="F15" s="16"/>
      <c r="G15" s="17"/>
      <c r="H15" s="15"/>
      <c r="I15" s="18"/>
      <c r="J15" s="18"/>
      <c r="K15" s="18"/>
      <c r="L15" s="19"/>
      <c r="M15" s="20"/>
      <c r="N15" s="20"/>
      <c r="O15" s="20"/>
      <c r="P15" s="20"/>
      <c r="Q15" s="21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1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>
        <f>IFERROR(__xludf.DUMMYFUNCTION("""COMPUTED_VALUE"""),0.0)</f>
        <v>0</v>
      </c>
      <c r="BD15" s="21">
        <f>IFERROR(__xludf.DUMMYFUNCTION("""COMPUTED_VALUE"""),0.0)</f>
        <v>0</v>
      </c>
      <c r="BE15" s="21">
        <f>IFERROR(__xludf.DUMMYFUNCTION("""COMPUTED_VALUE"""),0.0)</f>
        <v>0</v>
      </c>
      <c r="BF15" s="22">
        <f>IFERROR(__xludf.DUMMYFUNCTION("""COMPUTED_VALUE"""),0.0)</f>
        <v>0</v>
      </c>
      <c r="BG15" s="20"/>
      <c r="BH15" s="20"/>
      <c r="BI15" s="20"/>
      <c r="BJ15" s="14"/>
      <c r="BK15" s="14"/>
      <c r="BL15" s="14"/>
      <c r="BM15" s="14"/>
      <c r="BN15" s="14"/>
      <c r="BO15" s="14"/>
    </row>
    <row r="16">
      <c r="A16" s="6" t="str">
        <f>IFERROR(__xludf.DUMMYFUNCTION("""COMPUTED_VALUE"""),"")</f>
        <v/>
      </c>
      <c r="B16" s="7"/>
      <c r="C16" s="8"/>
      <c r="D16" s="7"/>
      <c r="E16" s="7"/>
      <c r="F16" s="7"/>
      <c r="G16" s="8"/>
      <c r="H16" s="6"/>
      <c r="I16" s="9"/>
      <c r="J16" s="9"/>
      <c r="K16" s="9"/>
      <c r="L16" s="10"/>
      <c r="M16" s="12"/>
      <c r="N16" s="12"/>
      <c r="O16" s="12"/>
      <c r="P16" s="12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1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1">
        <f>IFERROR(__xludf.DUMMYFUNCTION("""COMPUTED_VALUE"""),0.0)</f>
        <v>0</v>
      </c>
      <c r="BD16" s="11">
        <f>IFERROR(__xludf.DUMMYFUNCTION("""COMPUTED_VALUE"""),0.0)</f>
        <v>0</v>
      </c>
      <c r="BE16" s="11">
        <f>IFERROR(__xludf.DUMMYFUNCTION("""COMPUTED_VALUE"""),0.0)</f>
        <v>0</v>
      </c>
      <c r="BF16" s="13">
        <f>IFERROR(__xludf.DUMMYFUNCTION("""COMPUTED_VALUE"""),0.0)</f>
        <v>0</v>
      </c>
      <c r="BG16" s="12"/>
      <c r="BH16" s="12"/>
      <c r="BI16" s="12"/>
      <c r="BJ16" s="14"/>
      <c r="BK16" s="14"/>
      <c r="BL16" s="14"/>
      <c r="BM16" s="14"/>
      <c r="BN16" s="14"/>
      <c r="BO16" s="14"/>
    </row>
    <row r="17">
      <c r="A17" s="15" t="str">
        <f>IFERROR(__xludf.DUMMYFUNCTION("""COMPUTED_VALUE"""),"")</f>
        <v/>
      </c>
      <c r="B17" s="16"/>
      <c r="C17" s="17"/>
      <c r="D17" s="16"/>
      <c r="E17" s="16"/>
      <c r="F17" s="16"/>
      <c r="G17" s="17"/>
      <c r="H17" s="15"/>
      <c r="I17" s="18"/>
      <c r="J17" s="18"/>
      <c r="K17" s="18"/>
      <c r="L17" s="19"/>
      <c r="M17" s="21"/>
      <c r="N17" s="20"/>
      <c r="O17" s="20"/>
      <c r="P17" s="21"/>
      <c r="Q17" s="2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1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>
        <f>IFERROR(__xludf.DUMMYFUNCTION("""COMPUTED_VALUE"""),0.0)</f>
        <v>0</v>
      </c>
      <c r="BD17" s="21">
        <f>IFERROR(__xludf.DUMMYFUNCTION("""COMPUTED_VALUE"""),0.0)</f>
        <v>0</v>
      </c>
      <c r="BE17" s="21">
        <f>IFERROR(__xludf.DUMMYFUNCTION("""COMPUTED_VALUE"""),0.0)</f>
        <v>0</v>
      </c>
      <c r="BF17" s="22">
        <f>IFERROR(__xludf.DUMMYFUNCTION("""COMPUTED_VALUE"""),0.0)</f>
        <v>0</v>
      </c>
      <c r="BG17" s="20"/>
      <c r="BH17" s="20"/>
      <c r="BI17" s="20"/>
      <c r="BJ17" s="14"/>
      <c r="BK17" s="14"/>
      <c r="BL17" s="14"/>
      <c r="BM17" s="14"/>
      <c r="BN17" s="14"/>
      <c r="BO17" s="14"/>
    </row>
    <row r="18">
      <c r="A18" s="6" t="str">
        <f>IFERROR(__xludf.DUMMYFUNCTION("""COMPUTED_VALUE"""),"")</f>
        <v/>
      </c>
      <c r="B18" s="7"/>
      <c r="C18" s="8"/>
      <c r="D18" s="7"/>
      <c r="E18" s="7"/>
      <c r="F18" s="7"/>
      <c r="G18" s="8"/>
      <c r="H18" s="6"/>
      <c r="I18" s="9"/>
      <c r="J18" s="9"/>
      <c r="K18" s="9"/>
      <c r="L18" s="10"/>
      <c r="M18" s="12"/>
      <c r="N18" s="12"/>
      <c r="O18" s="12"/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1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1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1">
        <f>IFERROR(__xludf.DUMMYFUNCTION("""COMPUTED_VALUE"""),0.0)</f>
        <v>0</v>
      </c>
      <c r="BD18" s="11">
        <f>IFERROR(__xludf.DUMMYFUNCTION("""COMPUTED_VALUE"""),0.0)</f>
        <v>0</v>
      </c>
      <c r="BE18" s="11">
        <f>IFERROR(__xludf.DUMMYFUNCTION("""COMPUTED_VALUE"""),0.0)</f>
        <v>0</v>
      </c>
      <c r="BF18" s="13">
        <f>IFERROR(__xludf.DUMMYFUNCTION("""COMPUTED_VALUE"""),0.0)</f>
        <v>0</v>
      </c>
      <c r="BG18" s="12"/>
      <c r="BH18" s="12"/>
      <c r="BI18" s="12"/>
      <c r="BJ18" s="14"/>
      <c r="BK18" s="14"/>
      <c r="BL18" s="14"/>
      <c r="BM18" s="14"/>
      <c r="BN18" s="14"/>
      <c r="BO18" s="14"/>
    </row>
    <row r="19">
      <c r="A19" s="15" t="str">
        <f>IFERROR(__xludf.DUMMYFUNCTION("""COMPUTED_VALUE"""),"")</f>
        <v/>
      </c>
      <c r="B19" s="16"/>
      <c r="C19" s="17"/>
      <c r="D19" s="16"/>
      <c r="E19" s="16"/>
      <c r="F19" s="16"/>
      <c r="G19" s="17"/>
      <c r="H19" s="15"/>
      <c r="I19" s="18"/>
      <c r="J19" s="18"/>
      <c r="K19" s="18"/>
      <c r="L19" s="19"/>
      <c r="M19" s="20"/>
      <c r="N19" s="20"/>
      <c r="O19" s="20"/>
      <c r="P19" s="20"/>
      <c r="Q19" s="21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>
        <f>IFERROR(__xludf.DUMMYFUNCTION("""COMPUTED_VALUE"""),0.0)</f>
        <v>0</v>
      </c>
      <c r="BD19" s="21">
        <f>IFERROR(__xludf.DUMMYFUNCTION("""COMPUTED_VALUE"""),0.0)</f>
        <v>0</v>
      </c>
      <c r="BE19" s="21">
        <f>IFERROR(__xludf.DUMMYFUNCTION("""COMPUTED_VALUE"""),0.0)</f>
        <v>0</v>
      </c>
      <c r="BF19" s="22">
        <f>IFERROR(__xludf.DUMMYFUNCTION("""COMPUTED_VALUE"""),0.0)</f>
        <v>0</v>
      </c>
      <c r="BG19" s="20"/>
      <c r="BH19" s="20"/>
      <c r="BI19" s="20"/>
      <c r="BJ19" s="14"/>
      <c r="BK19" s="14"/>
      <c r="BL19" s="14"/>
      <c r="BM19" s="14"/>
      <c r="BN19" s="14"/>
      <c r="BO19" s="14"/>
    </row>
    <row r="20">
      <c r="A20" s="6" t="str">
        <f>IFERROR(__xludf.DUMMYFUNCTION("""COMPUTED_VALUE"""),"")</f>
        <v/>
      </c>
      <c r="B20" s="7"/>
      <c r="C20" s="8"/>
      <c r="D20" s="7"/>
      <c r="E20" s="7"/>
      <c r="F20" s="7"/>
      <c r="G20" s="8"/>
      <c r="H20" s="6"/>
      <c r="I20" s="9"/>
      <c r="J20" s="9"/>
      <c r="K20" s="9"/>
      <c r="L20" s="10"/>
      <c r="M20" s="12"/>
      <c r="N20" s="12"/>
      <c r="O20" s="12"/>
      <c r="P20" s="12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1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1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1">
        <f>IFERROR(__xludf.DUMMYFUNCTION("""COMPUTED_VALUE"""),0.0)</f>
        <v>0</v>
      </c>
      <c r="BD20" s="11">
        <f>IFERROR(__xludf.DUMMYFUNCTION("""COMPUTED_VALUE"""),0.0)</f>
        <v>0</v>
      </c>
      <c r="BE20" s="11">
        <f>IFERROR(__xludf.DUMMYFUNCTION("""COMPUTED_VALUE"""),0.0)</f>
        <v>0</v>
      </c>
      <c r="BF20" s="13">
        <f>IFERROR(__xludf.DUMMYFUNCTION("""COMPUTED_VALUE"""),0.0)</f>
        <v>0</v>
      </c>
      <c r="BG20" s="12"/>
      <c r="BH20" s="12"/>
      <c r="BI20" s="12"/>
      <c r="BJ20" s="14"/>
      <c r="BK20" s="14"/>
      <c r="BL20" s="14"/>
      <c r="BM20" s="14"/>
      <c r="BN20" s="14"/>
      <c r="BO20" s="14"/>
    </row>
    <row r="21">
      <c r="A21" s="15" t="str">
        <f>IFERROR(__xludf.DUMMYFUNCTION("""COMPUTED_VALUE"""),"")</f>
        <v/>
      </c>
      <c r="B21" s="16"/>
      <c r="C21" s="17"/>
      <c r="D21" s="16"/>
      <c r="E21" s="16"/>
      <c r="F21" s="16"/>
      <c r="G21" s="17"/>
      <c r="H21" s="15"/>
      <c r="I21" s="18"/>
      <c r="J21" s="18"/>
      <c r="K21" s="18"/>
      <c r="L21" s="19"/>
      <c r="M21" s="20"/>
      <c r="N21" s="20"/>
      <c r="O21" s="20"/>
      <c r="P21" s="20"/>
      <c r="Q21" s="21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1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>
        <f>IFERROR(__xludf.DUMMYFUNCTION("""COMPUTED_VALUE"""),0.0)</f>
        <v>0</v>
      </c>
      <c r="BD21" s="21">
        <f>IFERROR(__xludf.DUMMYFUNCTION("""COMPUTED_VALUE"""),0.0)</f>
        <v>0</v>
      </c>
      <c r="BE21" s="21">
        <f>IFERROR(__xludf.DUMMYFUNCTION("""COMPUTED_VALUE"""),0.0)</f>
        <v>0</v>
      </c>
      <c r="BF21" s="22">
        <f>IFERROR(__xludf.DUMMYFUNCTION("""COMPUTED_VALUE"""),0.0)</f>
        <v>0</v>
      </c>
      <c r="BG21" s="20"/>
      <c r="BH21" s="20"/>
      <c r="BI21" s="20"/>
      <c r="BJ21" s="14"/>
      <c r="BK21" s="14"/>
      <c r="BL21" s="14"/>
      <c r="BM21" s="14"/>
      <c r="BN21" s="14"/>
      <c r="BO21" s="14"/>
    </row>
    <row r="22">
      <c r="A22" s="6" t="str">
        <f>IFERROR(__xludf.DUMMYFUNCTION("""COMPUTED_VALUE"""),"")</f>
        <v/>
      </c>
      <c r="B22" s="7"/>
      <c r="C22" s="8"/>
      <c r="D22" s="7"/>
      <c r="E22" s="7"/>
      <c r="F22" s="7"/>
      <c r="G22" s="8"/>
      <c r="H22" s="6"/>
      <c r="I22" s="9"/>
      <c r="J22" s="9"/>
      <c r="K22" s="9"/>
      <c r="L22" s="10"/>
      <c r="M22" s="12"/>
      <c r="N22" s="12"/>
      <c r="O22" s="12"/>
      <c r="P22" s="12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1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1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1">
        <f>IFERROR(__xludf.DUMMYFUNCTION("""COMPUTED_VALUE"""),0.0)</f>
        <v>0</v>
      </c>
      <c r="BD22" s="11">
        <f>IFERROR(__xludf.DUMMYFUNCTION("""COMPUTED_VALUE"""),0.0)</f>
        <v>0</v>
      </c>
      <c r="BE22" s="11">
        <f>IFERROR(__xludf.DUMMYFUNCTION("""COMPUTED_VALUE"""),0.0)</f>
        <v>0</v>
      </c>
      <c r="BF22" s="13">
        <f>IFERROR(__xludf.DUMMYFUNCTION("""COMPUTED_VALUE"""),0.0)</f>
        <v>0</v>
      </c>
      <c r="BG22" s="12"/>
      <c r="BH22" s="12"/>
      <c r="BI22" s="12"/>
      <c r="BJ22" s="14"/>
      <c r="BK22" s="14"/>
      <c r="BL22" s="14"/>
      <c r="BM22" s="14"/>
      <c r="BN22" s="14"/>
      <c r="BO22" s="14"/>
    </row>
    <row r="23">
      <c r="A23" s="15" t="str">
        <f>IFERROR(__xludf.DUMMYFUNCTION("""COMPUTED_VALUE"""),"")</f>
        <v/>
      </c>
      <c r="B23" s="16"/>
      <c r="C23" s="17"/>
      <c r="D23" s="16"/>
      <c r="E23" s="16"/>
      <c r="F23" s="16"/>
      <c r="G23" s="17"/>
      <c r="H23" s="15"/>
      <c r="I23" s="18"/>
      <c r="J23" s="18"/>
      <c r="K23" s="18"/>
      <c r="L23" s="19"/>
      <c r="M23" s="20"/>
      <c r="N23" s="20"/>
      <c r="O23" s="20"/>
      <c r="P23" s="20"/>
      <c r="Q23" s="2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>
        <f>IFERROR(__xludf.DUMMYFUNCTION("""COMPUTED_VALUE"""),0.0)</f>
        <v>0</v>
      </c>
      <c r="BD23" s="21">
        <f>IFERROR(__xludf.DUMMYFUNCTION("""COMPUTED_VALUE"""),0.0)</f>
        <v>0</v>
      </c>
      <c r="BE23" s="21">
        <f>IFERROR(__xludf.DUMMYFUNCTION("""COMPUTED_VALUE"""),0.0)</f>
        <v>0</v>
      </c>
      <c r="BF23" s="22">
        <f>IFERROR(__xludf.DUMMYFUNCTION("""COMPUTED_VALUE"""),0.0)</f>
        <v>0</v>
      </c>
      <c r="BG23" s="20"/>
      <c r="BH23" s="20"/>
      <c r="BI23" s="20"/>
      <c r="BJ23" s="14"/>
      <c r="BK23" s="14"/>
      <c r="BL23" s="14"/>
      <c r="BM23" s="14"/>
      <c r="BN23" s="14"/>
      <c r="BO23" s="14"/>
    </row>
    <row r="24">
      <c r="A24" s="6" t="str">
        <f>IFERROR(__xludf.DUMMYFUNCTION("""COMPUTED_VALUE"""),"")</f>
        <v/>
      </c>
      <c r="B24" s="7"/>
      <c r="C24" s="8"/>
      <c r="D24" s="7"/>
      <c r="E24" s="7"/>
      <c r="F24" s="7"/>
      <c r="G24" s="8"/>
      <c r="H24" s="6"/>
      <c r="I24" s="9"/>
      <c r="J24" s="9"/>
      <c r="K24" s="9"/>
      <c r="L24" s="10"/>
      <c r="M24" s="11"/>
      <c r="N24" s="12"/>
      <c r="O24" s="12"/>
      <c r="P24" s="12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1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1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1">
        <f>IFERROR(__xludf.DUMMYFUNCTION("""COMPUTED_VALUE"""),0.0)</f>
        <v>0</v>
      </c>
      <c r="BD24" s="11">
        <f>IFERROR(__xludf.DUMMYFUNCTION("""COMPUTED_VALUE"""),0.0)</f>
        <v>0</v>
      </c>
      <c r="BE24" s="11">
        <f>IFERROR(__xludf.DUMMYFUNCTION("""COMPUTED_VALUE"""),0.0)</f>
        <v>0</v>
      </c>
      <c r="BF24" s="13">
        <f>IFERROR(__xludf.DUMMYFUNCTION("""COMPUTED_VALUE"""),0.0)</f>
        <v>0</v>
      </c>
      <c r="BG24" s="12"/>
      <c r="BH24" s="12"/>
      <c r="BI24" s="12"/>
      <c r="BJ24" s="14"/>
      <c r="BK24" s="14"/>
      <c r="BL24" s="14"/>
      <c r="BM24" s="14"/>
      <c r="BN24" s="14"/>
      <c r="BO24" s="14"/>
    </row>
    <row r="25">
      <c r="A25" s="15" t="str">
        <f>IFERROR(__xludf.DUMMYFUNCTION("""COMPUTED_VALUE"""),"")</f>
        <v/>
      </c>
      <c r="B25" s="16"/>
      <c r="C25" s="17"/>
      <c r="D25" s="16"/>
      <c r="E25" s="16"/>
      <c r="F25" s="16"/>
      <c r="G25" s="17"/>
      <c r="H25" s="15"/>
      <c r="I25" s="18"/>
      <c r="J25" s="18"/>
      <c r="K25" s="18"/>
      <c r="L25" s="19"/>
      <c r="M25" s="20"/>
      <c r="N25" s="20"/>
      <c r="O25" s="20"/>
      <c r="P25" s="20"/>
      <c r="Q25" s="21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1">
        <f>IFERROR(__xludf.DUMMYFUNCTION("""COMPUTED_VALUE"""),0.0)</f>
        <v>0</v>
      </c>
      <c r="BD25" s="21">
        <f>IFERROR(__xludf.DUMMYFUNCTION("""COMPUTED_VALUE"""),0.0)</f>
        <v>0</v>
      </c>
      <c r="BE25" s="21">
        <f>IFERROR(__xludf.DUMMYFUNCTION("""COMPUTED_VALUE"""),0.0)</f>
        <v>0</v>
      </c>
      <c r="BF25" s="22">
        <f>IFERROR(__xludf.DUMMYFUNCTION("""COMPUTED_VALUE"""),0.0)</f>
        <v>0</v>
      </c>
      <c r="BG25" s="20"/>
      <c r="BH25" s="20"/>
      <c r="BI25" s="20"/>
      <c r="BJ25" s="14"/>
      <c r="BK25" s="14"/>
      <c r="BL25" s="14"/>
      <c r="BM25" s="14"/>
      <c r="BN25" s="14"/>
      <c r="BO25" s="14"/>
    </row>
    <row r="26">
      <c r="A26" s="6" t="str">
        <f>IFERROR(__xludf.DUMMYFUNCTION("""COMPUTED_VALUE"""),"")</f>
        <v/>
      </c>
      <c r="B26" s="7"/>
      <c r="C26" s="8"/>
      <c r="D26" s="7"/>
      <c r="E26" s="7"/>
      <c r="F26" s="7"/>
      <c r="G26" s="8"/>
      <c r="H26" s="6"/>
      <c r="I26" s="9"/>
      <c r="J26" s="9"/>
      <c r="K26" s="9"/>
      <c r="L26" s="10"/>
      <c r="M26" s="12"/>
      <c r="N26" s="12"/>
      <c r="O26" s="12"/>
      <c r="P26" s="12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1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1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1">
        <f>IFERROR(__xludf.DUMMYFUNCTION("""COMPUTED_VALUE"""),0.0)</f>
        <v>0</v>
      </c>
      <c r="BD26" s="11">
        <f>IFERROR(__xludf.DUMMYFUNCTION("""COMPUTED_VALUE"""),0.0)</f>
        <v>0</v>
      </c>
      <c r="BE26" s="11">
        <f>IFERROR(__xludf.DUMMYFUNCTION("""COMPUTED_VALUE"""),0.0)</f>
        <v>0</v>
      </c>
      <c r="BF26" s="13">
        <f>IFERROR(__xludf.DUMMYFUNCTION("""COMPUTED_VALUE"""),0.0)</f>
        <v>0</v>
      </c>
      <c r="BG26" s="12"/>
      <c r="BH26" s="12"/>
      <c r="BI26" s="12"/>
      <c r="BJ26" s="14"/>
      <c r="BK26" s="14"/>
      <c r="BL26" s="14"/>
      <c r="BM26" s="14"/>
      <c r="BN26" s="14"/>
      <c r="BO26" s="14"/>
    </row>
    <row r="27">
      <c r="A27" s="15" t="str">
        <f>IFERROR(__xludf.DUMMYFUNCTION("""COMPUTED_VALUE"""),"")</f>
        <v/>
      </c>
      <c r="B27" s="16"/>
      <c r="C27" s="17"/>
      <c r="D27" s="16"/>
      <c r="E27" s="16"/>
      <c r="F27" s="16"/>
      <c r="G27" s="17"/>
      <c r="H27" s="15"/>
      <c r="I27" s="18"/>
      <c r="J27" s="18"/>
      <c r="K27" s="18"/>
      <c r="L27" s="19"/>
      <c r="M27" s="20"/>
      <c r="N27" s="20"/>
      <c r="O27" s="20"/>
      <c r="P27" s="20"/>
      <c r="Q27" s="2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1">
        <f>IFERROR(__xludf.DUMMYFUNCTION("""COMPUTED_VALUE"""),0.0)</f>
        <v>0</v>
      </c>
      <c r="BD27" s="21">
        <f>IFERROR(__xludf.DUMMYFUNCTION("""COMPUTED_VALUE"""),0.0)</f>
        <v>0</v>
      </c>
      <c r="BE27" s="21">
        <f>IFERROR(__xludf.DUMMYFUNCTION("""COMPUTED_VALUE"""),0.0)</f>
        <v>0</v>
      </c>
      <c r="BF27" s="22">
        <f>IFERROR(__xludf.DUMMYFUNCTION("""COMPUTED_VALUE"""),0.0)</f>
        <v>0</v>
      </c>
      <c r="BG27" s="20"/>
      <c r="BH27" s="20"/>
      <c r="BI27" s="20"/>
      <c r="BJ27" s="14"/>
      <c r="BK27" s="14"/>
      <c r="BL27" s="14"/>
      <c r="BM27" s="14"/>
      <c r="BN27" s="14"/>
      <c r="BO27" s="14"/>
    </row>
    <row r="28">
      <c r="A28" s="6" t="str">
        <f>IFERROR(__xludf.DUMMYFUNCTION("""COMPUTED_VALUE"""),"")</f>
        <v/>
      </c>
      <c r="B28" s="7"/>
      <c r="C28" s="8"/>
      <c r="D28" s="7"/>
      <c r="E28" s="7"/>
      <c r="F28" s="7"/>
      <c r="G28" s="8"/>
      <c r="H28" s="6"/>
      <c r="I28" s="9"/>
      <c r="J28" s="9"/>
      <c r="K28" s="9"/>
      <c r="L28" s="10"/>
      <c r="M28" s="12"/>
      <c r="N28" s="12"/>
      <c r="O28" s="12"/>
      <c r="P28" s="12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1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1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1">
        <f>IFERROR(__xludf.DUMMYFUNCTION("""COMPUTED_VALUE"""),0.0)</f>
        <v>0</v>
      </c>
      <c r="BD28" s="11">
        <f>IFERROR(__xludf.DUMMYFUNCTION("""COMPUTED_VALUE"""),0.0)</f>
        <v>0</v>
      </c>
      <c r="BE28" s="11">
        <f>IFERROR(__xludf.DUMMYFUNCTION("""COMPUTED_VALUE"""),0.0)</f>
        <v>0</v>
      </c>
      <c r="BF28" s="13">
        <f>IFERROR(__xludf.DUMMYFUNCTION("""COMPUTED_VALUE"""),0.0)</f>
        <v>0</v>
      </c>
      <c r="BG28" s="12"/>
      <c r="BH28" s="12"/>
      <c r="BI28" s="12"/>
      <c r="BJ28" s="14"/>
      <c r="BK28" s="14"/>
      <c r="BL28" s="14"/>
      <c r="BM28" s="14"/>
      <c r="BN28" s="14"/>
      <c r="BO28" s="14"/>
    </row>
    <row r="29">
      <c r="A29" s="15" t="str">
        <f>IFERROR(__xludf.DUMMYFUNCTION("""COMPUTED_VALUE"""),"")</f>
        <v/>
      </c>
      <c r="B29" s="16"/>
      <c r="C29" s="17"/>
      <c r="D29" s="16"/>
      <c r="E29" s="16"/>
      <c r="F29" s="16"/>
      <c r="G29" s="17"/>
      <c r="H29" s="15"/>
      <c r="I29" s="18"/>
      <c r="J29" s="18"/>
      <c r="K29" s="18"/>
      <c r="L29" s="19"/>
      <c r="M29" s="20"/>
      <c r="N29" s="20"/>
      <c r="O29" s="20"/>
      <c r="P29" s="20"/>
      <c r="Q29" s="2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1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1">
        <f>IFERROR(__xludf.DUMMYFUNCTION("""COMPUTED_VALUE"""),0.0)</f>
        <v>0</v>
      </c>
      <c r="BD29" s="21">
        <f>IFERROR(__xludf.DUMMYFUNCTION("""COMPUTED_VALUE"""),0.0)</f>
        <v>0</v>
      </c>
      <c r="BE29" s="21">
        <f>IFERROR(__xludf.DUMMYFUNCTION("""COMPUTED_VALUE"""),0.0)</f>
        <v>0</v>
      </c>
      <c r="BF29" s="22">
        <f>IFERROR(__xludf.DUMMYFUNCTION("""COMPUTED_VALUE"""),0.0)</f>
        <v>0</v>
      </c>
      <c r="BG29" s="20"/>
      <c r="BH29" s="20"/>
      <c r="BI29" s="20"/>
      <c r="BJ29" s="14"/>
      <c r="BK29" s="14"/>
      <c r="BL29" s="14"/>
      <c r="BM29" s="14"/>
      <c r="BN29" s="14"/>
      <c r="BO29" s="14"/>
    </row>
    <row r="30">
      <c r="A30" s="6" t="str">
        <f>IFERROR(__xludf.DUMMYFUNCTION("""COMPUTED_VALUE"""),"")</f>
        <v/>
      </c>
      <c r="B30" s="7"/>
      <c r="C30" s="8"/>
      <c r="D30" s="7"/>
      <c r="E30" s="7"/>
      <c r="F30" s="7"/>
      <c r="G30" s="8"/>
      <c r="H30" s="6"/>
      <c r="I30" s="9"/>
      <c r="J30" s="9"/>
      <c r="K30" s="9"/>
      <c r="L30" s="10"/>
      <c r="M30" s="12"/>
      <c r="N30" s="12"/>
      <c r="O30" s="12"/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1">
        <f>IFERROR(__xludf.DUMMYFUNCTION("""COMPUTED_VALUE"""),0.0)</f>
        <v>0</v>
      </c>
      <c r="BD30" s="11">
        <f>IFERROR(__xludf.DUMMYFUNCTION("""COMPUTED_VALUE"""),0.0)</f>
        <v>0</v>
      </c>
      <c r="BE30" s="11">
        <f>IFERROR(__xludf.DUMMYFUNCTION("""COMPUTED_VALUE"""),0.0)</f>
        <v>0</v>
      </c>
      <c r="BF30" s="13">
        <f>IFERROR(__xludf.DUMMYFUNCTION("""COMPUTED_VALUE"""),0.0)</f>
        <v>0</v>
      </c>
      <c r="BG30" s="12"/>
      <c r="BH30" s="12"/>
      <c r="BI30" s="12"/>
      <c r="BJ30" s="14"/>
      <c r="BK30" s="14"/>
      <c r="BL30" s="14"/>
      <c r="BM30" s="14"/>
      <c r="BN30" s="14"/>
      <c r="BO30" s="14"/>
    </row>
    <row r="31">
      <c r="A31" s="15" t="str">
        <f>IFERROR(__xludf.DUMMYFUNCTION("""COMPUTED_VALUE"""),"")</f>
        <v/>
      </c>
      <c r="B31" s="16"/>
      <c r="C31" s="17"/>
      <c r="D31" s="16"/>
      <c r="E31" s="16"/>
      <c r="F31" s="16"/>
      <c r="G31" s="17"/>
      <c r="H31" s="15"/>
      <c r="I31" s="18"/>
      <c r="J31" s="18"/>
      <c r="K31" s="18"/>
      <c r="L31" s="19"/>
      <c r="M31" s="21"/>
      <c r="N31" s="20"/>
      <c r="O31" s="20"/>
      <c r="P31" s="20"/>
      <c r="Q31" s="21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1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1">
        <f>IFERROR(__xludf.DUMMYFUNCTION("""COMPUTED_VALUE"""),0.0)</f>
        <v>0</v>
      </c>
      <c r="BD31" s="21">
        <f>IFERROR(__xludf.DUMMYFUNCTION("""COMPUTED_VALUE"""),0.0)</f>
        <v>0</v>
      </c>
      <c r="BE31" s="21">
        <f>IFERROR(__xludf.DUMMYFUNCTION("""COMPUTED_VALUE"""),0.0)</f>
        <v>0</v>
      </c>
      <c r="BF31" s="22">
        <f>IFERROR(__xludf.DUMMYFUNCTION("""COMPUTED_VALUE"""),0.0)</f>
        <v>0</v>
      </c>
      <c r="BG31" s="20"/>
      <c r="BH31" s="20"/>
      <c r="BI31" s="20"/>
      <c r="BJ31" s="14"/>
      <c r="BK31" s="14"/>
      <c r="BL31" s="14"/>
      <c r="BM31" s="14"/>
      <c r="BN31" s="14"/>
      <c r="BO31" s="14"/>
    </row>
    <row r="32">
      <c r="A32" s="6" t="str">
        <f>IFERROR(__xludf.DUMMYFUNCTION("""COMPUTED_VALUE"""),"")</f>
        <v/>
      </c>
      <c r="B32" s="7"/>
      <c r="C32" s="8"/>
      <c r="D32" s="7"/>
      <c r="E32" s="7"/>
      <c r="F32" s="7"/>
      <c r="G32" s="8"/>
      <c r="H32" s="6"/>
      <c r="I32" s="9"/>
      <c r="J32" s="9"/>
      <c r="K32" s="9"/>
      <c r="L32" s="10"/>
      <c r="M32" s="12"/>
      <c r="N32" s="12"/>
      <c r="O32" s="12"/>
      <c r="P32" s="12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1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1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1">
        <f>IFERROR(__xludf.DUMMYFUNCTION("""COMPUTED_VALUE"""),0.0)</f>
        <v>0</v>
      </c>
      <c r="BD32" s="11">
        <f>IFERROR(__xludf.DUMMYFUNCTION("""COMPUTED_VALUE"""),0.0)</f>
        <v>0</v>
      </c>
      <c r="BE32" s="11">
        <f>IFERROR(__xludf.DUMMYFUNCTION("""COMPUTED_VALUE"""),0.0)</f>
        <v>0</v>
      </c>
      <c r="BF32" s="13">
        <f>IFERROR(__xludf.DUMMYFUNCTION("""COMPUTED_VALUE"""),0.0)</f>
        <v>0</v>
      </c>
      <c r="BG32" s="12"/>
      <c r="BH32" s="12"/>
      <c r="BI32" s="12"/>
      <c r="BJ32" s="14"/>
      <c r="BK32" s="14"/>
      <c r="BL32" s="14"/>
      <c r="BM32" s="14"/>
      <c r="BN32" s="14"/>
      <c r="BO32" s="14"/>
    </row>
    <row r="33">
      <c r="A33" s="15" t="str">
        <f>IFERROR(__xludf.DUMMYFUNCTION("""COMPUTED_VALUE"""),"")</f>
        <v/>
      </c>
      <c r="B33" s="16"/>
      <c r="C33" s="17"/>
      <c r="D33" s="16"/>
      <c r="E33" s="16"/>
      <c r="F33" s="16"/>
      <c r="G33" s="17"/>
      <c r="H33" s="15"/>
      <c r="I33" s="18"/>
      <c r="J33" s="18"/>
      <c r="K33" s="18"/>
      <c r="L33" s="19"/>
      <c r="M33" s="21"/>
      <c r="N33" s="20"/>
      <c r="O33" s="20"/>
      <c r="P33" s="20"/>
      <c r="Q33" s="21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1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1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1">
        <f>IFERROR(__xludf.DUMMYFUNCTION("""COMPUTED_VALUE"""),0.0)</f>
        <v>0</v>
      </c>
      <c r="BD33" s="21">
        <f>IFERROR(__xludf.DUMMYFUNCTION("""COMPUTED_VALUE"""),0.0)</f>
        <v>0</v>
      </c>
      <c r="BE33" s="21">
        <f>IFERROR(__xludf.DUMMYFUNCTION("""COMPUTED_VALUE"""),0.0)</f>
        <v>0</v>
      </c>
      <c r="BF33" s="22">
        <f>IFERROR(__xludf.DUMMYFUNCTION("""COMPUTED_VALUE"""),0.0)</f>
        <v>0</v>
      </c>
      <c r="BG33" s="20"/>
      <c r="BH33" s="20"/>
      <c r="BI33" s="20"/>
      <c r="BJ33" s="14"/>
      <c r="BK33" s="14"/>
      <c r="BL33" s="14"/>
      <c r="BM33" s="14"/>
      <c r="BN33" s="14"/>
      <c r="BO33" s="14"/>
    </row>
    <row r="34">
      <c r="A34" s="6" t="str">
        <f>IFERROR(__xludf.DUMMYFUNCTION("""COMPUTED_VALUE"""),"")</f>
        <v/>
      </c>
      <c r="B34" s="7"/>
      <c r="C34" s="8"/>
      <c r="D34" s="7"/>
      <c r="E34" s="7"/>
      <c r="F34" s="7"/>
      <c r="G34" s="8"/>
      <c r="H34" s="6"/>
      <c r="I34" s="9"/>
      <c r="J34" s="9"/>
      <c r="K34" s="9"/>
      <c r="L34" s="10"/>
      <c r="M34" s="12"/>
      <c r="N34" s="12"/>
      <c r="O34" s="12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1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1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1">
        <f>IFERROR(__xludf.DUMMYFUNCTION("""COMPUTED_VALUE"""),0.0)</f>
        <v>0</v>
      </c>
      <c r="BD34" s="11">
        <f>IFERROR(__xludf.DUMMYFUNCTION("""COMPUTED_VALUE"""),0.0)</f>
        <v>0</v>
      </c>
      <c r="BE34" s="11">
        <f>IFERROR(__xludf.DUMMYFUNCTION("""COMPUTED_VALUE"""),0.0)</f>
        <v>0</v>
      </c>
      <c r="BF34" s="13">
        <f>IFERROR(__xludf.DUMMYFUNCTION("""COMPUTED_VALUE"""),0.0)</f>
        <v>0</v>
      </c>
      <c r="BG34" s="12"/>
      <c r="BH34" s="12"/>
      <c r="BI34" s="12"/>
      <c r="BJ34" s="14"/>
      <c r="BK34" s="14"/>
      <c r="BL34" s="14"/>
      <c r="BM34" s="14"/>
      <c r="BN34" s="14"/>
      <c r="BO34" s="14"/>
    </row>
    <row r="35">
      <c r="A35" s="15" t="str">
        <f>IFERROR(__xludf.DUMMYFUNCTION("""COMPUTED_VALUE"""),"")</f>
        <v/>
      </c>
      <c r="B35" s="16"/>
      <c r="C35" s="17"/>
      <c r="D35" s="16"/>
      <c r="E35" s="16"/>
      <c r="F35" s="16"/>
      <c r="G35" s="17"/>
      <c r="H35" s="15"/>
      <c r="I35" s="20"/>
      <c r="J35" s="18"/>
      <c r="K35" s="18"/>
      <c r="L35" s="19"/>
      <c r="M35" s="20"/>
      <c r="N35" s="20"/>
      <c r="O35" s="20"/>
      <c r="P35" s="20"/>
      <c r="Q35" s="21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1">
        <f>IFERROR(__xludf.DUMMYFUNCTION("""COMPUTED_VALUE"""),0.0)</f>
        <v>0</v>
      </c>
      <c r="BD35" s="21">
        <f>IFERROR(__xludf.DUMMYFUNCTION("""COMPUTED_VALUE"""),0.0)</f>
        <v>0</v>
      </c>
      <c r="BE35" s="21">
        <f>IFERROR(__xludf.DUMMYFUNCTION("""COMPUTED_VALUE"""),0.0)</f>
        <v>0</v>
      </c>
      <c r="BF35" s="22">
        <f>IFERROR(__xludf.DUMMYFUNCTION("""COMPUTED_VALUE"""),0.0)</f>
        <v>0</v>
      </c>
      <c r="BG35" s="20"/>
      <c r="BH35" s="20"/>
      <c r="BI35" s="20"/>
      <c r="BJ35" s="14"/>
      <c r="BK35" s="14"/>
      <c r="BL35" s="14"/>
      <c r="BM35" s="14"/>
      <c r="BN35" s="14"/>
      <c r="BO35" s="14"/>
    </row>
    <row r="36">
      <c r="A36" s="6" t="str">
        <f>IFERROR(__xludf.DUMMYFUNCTION("""COMPUTED_VALUE"""),"")</f>
        <v/>
      </c>
      <c r="B36" s="7"/>
      <c r="C36" s="8"/>
      <c r="D36" s="7"/>
      <c r="E36" s="7"/>
      <c r="F36" s="7"/>
      <c r="G36" s="8"/>
      <c r="H36" s="6"/>
      <c r="I36" s="9"/>
      <c r="J36" s="9"/>
      <c r="K36" s="9"/>
      <c r="L36" s="10"/>
      <c r="M36" s="12"/>
      <c r="N36" s="12"/>
      <c r="O36" s="12"/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1">
        <f>IFERROR(__xludf.DUMMYFUNCTION("""COMPUTED_VALUE"""),0.0)</f>
        <v>0</v>
      </c>
      <c r="BD36" s="11">
        <f>IFERROR(__xludf.DUMMYFUNCTION("""COMPUTED_VALUE"""),0.0)</f>
        <v>0</v>
      </c>
      <c r="BE36" s="11">
        <f>IFERROR(__xludf.DUMMYFUNCTION("""COMPUTED_VALUE"""),0.0)</f>
        <v>0</v>
      </c>
      <c r="BF36" s="13">
        <f>IFERROR(__xludf.DUMMYFUNCTION("""COMPUTED_VALUE"""),0.0)</f>
        <v>0</v>
      </c>
      <c r="BG36" s="12"/>
      <c r="BH36" s="12"/>
      <c r="BI36" s="12"/>
      <c r="BJ36" s="14"/>
      <c r="BK36" s="14"/>
      <c r="BL36" s="14"/>
      <c r="BM36" s="14"/>
      <c r="BN36" s="14"/>
      <c r="BO36" s="14"/>
    </row>
    <row r="37">
      <c r="A37" s="15" t="str">
        <f>IFERROR(__xludf.DUMMYFUNCTION("""COMPUTED_VALUE"""),"")</f>
        <v/>
      </c>
      <c r="B37" s="16"/>
      <c r="C37" s="17"/>
      <c r="D37" s="16"/>
      <c r="E37" s="16"/>
      <c r="F37" s="16"/>
      <c r="G37" s="17"/>
      <c r="H37" s="15"/>
      <c r="I37" s="18"/>
      <c r="J37" s="18"/>
      <c r="K37" s="18"/>
      <c r="L37" s="19"/>
      <c r="M37" s="20"/>
      <c r="N37" s="20"/>
      <c r="O37" s="20"/>
      <c r="P37" s="21"/>
      <c r="Q37" s="21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1">
        <f>IFERROR(__xludf.DUMMYFUNCTION("""COMPUTED_VALUE"""),0.0)</f>
        <v>0</v>
      </c>
      <c r="BD37" s="21">
        <f>IFERROR(__xludf.DUMMYFUNCTION("""COMPUTED_VALUE"""),0.0)</f>
        <v>0</v>
      </c>
      <c r="BE37" s="21">
        <f>IFERROR(__xludf.DUMMYFUNCTION("""COMPUTED_VALUE"""),0.0)</f>
        <v>0</v>
      </c>
      <c r="BF37" s="22">
        <f>IFERROR(__xludf.DUMMYFUNCTION("""COMPUTED_VALUE"""),0.0)</f>
        <v>0</v>
      </c>
      <c r="BG37" s="20"/>
      <c r="BH37" s="20"/>
      <c r="BI37" s="20"/>
      <c r="BJ37" s="14"/>
      <c r="BK37" s="14"/>
      <c r="BL37" s="14"/>
      <c r="BM37" s="14"/>
      <c r="BN37" s="14"/>
      <c r="BO37" s="14"/>
    </row>
    <row r="38">
      <c r="A38" s="6" t="str">
        <f>IFERROR(__xludf.DUMMYFUNCTION("""COMPUTED_VALUE"""),"")</f>
        <v/>
      </c>
      <c r="B38" s="7"/>
      <c r="C38" s="8"/>
      <c r="D38" s="7"/>
      <c r="E38" s="7"/>
      <c r="F38" s="7"/>
      <c r="G38" s="8"/>
      <c r="H38" s="6"/>
      <c r="I38" s="9"/>
      <c r="J38" s="9"/>
      <c r="K38" s="9"/>
      <c r="L38" s="10"/>
      <c r="M38" s="12"/>
      <c r="N38" s="12"/>
      <c r="O38" s="12"/>
      <c r="P38" s="12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1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1">
        <f>IFERROR(__xludf.DUMMYFUNCTION("""COMPUTED_VALUE"""),0.0)</f>
        <v>0</v>
      </c>
      <c r="BD38" s="11">
        <f>IFERROR(__xludf.DUMMYFUNCTION("""COMPUTED_VALUE"""),0.0)</f>
        <v>0</v>
      </c>
      <c r="BE38" s="11">
        <f>IFERROR(__xludf.DUMMYFUNCTION("""COMPUTED_VALUE"""),0.0)</f>
        <v>0</v>
      </c>
      <c r="BF38" s="13">
        <f>IFERROR(__xludf.DUMMYFUNCTION("""COMPUTED_VALUE"""),0.0)</f>
        <v>0</v>
      </c>
      <c r="BG38" s="12"/>
      <c r="BH38" s="12"/>
      <c r="BI38" s="12"/>
      <c r="BJ38" s="14"/>
      <c r="BK38" s="14"/>
      <c r="BL38" s="14"/>
      <c r="BM38" s="14"/>
      <c r="BN38" s="14"/>
      <c r="BO38" s="14"/>
    </row>
    <row r="39">
      <c r="A39" s="15" t="str">
        <f>IFERROR(__xludf.DUMMYFUNCTION("""COMPUTED_VALUE"""),"")</f>
        <v/>
      </c>
      <c r="B39" s="16"/>
      <c r="C39" s="17"/>
      <c r="D39" s="16"/>
      <c r="E39" s="16"/>
      <c r="F39" s="16"/>
      <c r="G39" s="17"/>
      <c r="H39" s="15"/>
      <c r="I39" s="18"/>
      <c r="J39" s="18"/>
      <c r="K39" s="18"/>
      <c r="L39" s="19"/>
      <c r="M39" s="21"/>
      <c r="N39" s="20"/>
      <c r="O39" s="20"/>
      <c r="P39" s="20"/>
      <c r="Q39" s="21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1">
        <f>IFERROR(__xludf.DUMMYFUNCTION("""COMPUTED_VALUE"""),0.0)</f>
        <v>0</v>
      </c>
      <c r="BD39" s="21">
        <f>IFERROR(__xludf.DUMMYFUNCTION("""COMPUTED_VALUE"""),0.0)</f>
        <v>0</v>
      </c>
      <c r="BE39" s="21">
        <f>IFERROR(__xludf.DUMMYFUNCTION("""COMPUTED_VALUE"""),0.0)</f>
        <v>0</v>
      </c>
      <c r="BF39" s="22">
        <f>IFERROR(__xludf.DUMMYFUNCTION("""COMPUTED_VALUE"""),0.0)</f>
        <v>0</v>
      </c>
      <c r="BG39" s="20"/>
      <c r="BH39" s="20"/>
      <c r="BI39" s="20"/>
      <c r="BJ39" s="14"/>
      <c r="BK39" s="14"/>
      <c r="BL39" s="14"/>
      <c r="BM39" s="14"/>
      <c r="BN39" s="14"/>
      <c r="BO39" s="14"/>
    </row>
    <row r="40">
      <c r="A40" s="6" t="str">
        <f>IFERROR(__xludf.DUMMYFUNCTION("""COMPUTED_VALUE"""),"")</f>
        <v/>
      </c>
      <c r="B40" s="7"/>
      <c r="C40" s="8"/>
      <c r="D40" s="7"/>
      <c r="E40" s="7"/>
      <c r="F40" s="7"/>
      <c r="G40" s="8"/>
      <c r="H40" s="6"/>
      <c r="I40" s="9"/>
      <c r="J40" s="9"/>
      <c r="K40" s="9"/>
      <c r="L40" s="10"/>
      <c r="M40" s="12"/>
      <c r="N40" s="12"/>
      <c r="O40" s="12"/>
      <c r="P40" s="12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1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1">
        <f>IFERROR(__xludf.DUMMYFUNCTION("""COMPUTED_VALUE"""),0.0)</f>
        <v>0</v>
      </c>
      <c r="BD40" s="11">
        <f>IFERROR(__xludf.DUMMYFUNCTION("""COMPUTED_VALUE"""),0.0)</f>
        <v>0</v>
      </c>
      <c r="BE40" s="11">
        <f>IFERROR(__xludf.DUMMYFUNCTION("""COMPUTED_VALUE"""),0.0)</f>
        <v>0</v>
      </c>
      <c r="BF40" s="13">
        <f>IFERROR(__xludf.DUMMYFUNCTION("""COMPUTED_VALUE"""),0.0)</f>
        <v>0</v>
      </c>
      <c r="BG40" s="12"/>
      <c r="BH40" s="12"/>
      <c r="BI40" s="12"/>
      <c r="BJ40" s="14"/>
      <c r="BK40" s="14"/>
      <c r="BL40" s="14"/>
      <c r="BM40" s="14"/>
      <c r="BN40" s="14"/>
      <c r="BO40" s="14"/>
    </row>
    <row r="41">
      <c r="A41" s="15" t="str">
        <f>IFERROR(__xludf.DUMMYFUNCTION("""COMPUTED_VALUE"""),"")</f>
        <v/>
      </c>
      <c r="B41" s="16"/>
      <c r="C41" s="17"/>
      <c r="D41" s="16"/>
      <c r="E41" s="16"/>
      <c r="F41" s="16"/>
      <c r="G41" s="17"/>
      <c r="H41" s="15"/>
      <c r="I41" s="18"/>
      <c r="J41" s="18"/>
      <c r="K41" s="18"/>
      <c r="L41" s="19"/>
      <c r="M41" s="20"/>
      <c r="N41" s="20"/>
      <c r="O41" s="20"/>
      <c r="P41" s="20"/>
      <c r="Q41" s="21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1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1">
        <f>IFERROR(__xludf.DUMMYFUNCTION("""COMPUTED_VALUE"""),0.0)</f>
        <v>0</v>
      </c>
      <c r="BD41" s="21">
        <f>IFERROR(__xludf.DUMMYFUNCTION("""COMPUTED_VALUE"""),0.0)</f>
        <v>0</v>
      </c>
      <c r="BE41" s="21">
        <f>IFERROR(__xludf.DUMMYFUNCTION("""COMPUTED_VALUE"""),0.0)</f>
        <v>0</v>
      </c>
      <c r="BF41" s="22">
        <f>IFERROR(__xludf.DUMMYFUNCTION("""COMPUTED_VALUE"""),0.0)</f>
        <v>0</v>
      </c>
      <c r="BG41" s="20"/>
      <c r="BH41" s="20"/>
      <c r="BI41" s="20"/>
      <c r="BJ41" s="14"/>
      <c r="BK41" s="14"/>
      <c r="BL41" s="14"/>
      <c r="BM41" s="14"/>
      <c r="BN41" s="14"/>
      <c r="BO41" s="14"/>
    </row>
    <row r="42">
      <c r="A42" s="6" t="str">
        <f>IFERROR(__xludf.DUMMYFUNCTION("""COMPUTED_VALUE"""),"")</f>
        <v/>
      </c>
      <c r="B42" s="7"/>
      <c r="C42" s="8"/>
      <c r="D42" s="7"/>
      <c r="E42" s="7"/>
      <c r="F42" s="7"/>
      <c r="G42" s="8"/>
      <c r="H42" s="6"/>
      <c r="I42" s="9"/>
      <c r="J42" s="9"/>
      <c r="K42" s="9"/>
      <c r="L42" s="10"/>
      <c r="M42" s="12"/>
      <c r="N42" s="12"/>
      <c r="O42" s="12"/>
      <c r="P42" s="12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1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1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1">
        <f>IFERROR(__xludf.DUMMYFUNCTION("""COMPUTED_VALUE"""),0.0)</f>
        <v>0</v>
      </c>
      <c r="BD42" s="11">
        <f>IFERROR(__xludf.DUMMYFUNCTION("""COMPUTED_VALUE"""),0.0)</f>
        <v>0</v>
      </c>
      <c r="BE42" s="11">
        <f>IFERROR(__xludf.DUMMYFUNCTION("""COMPUTED_VALUE"""),0.0)</f>
        <v>0</v>
      </c>
      <c r="BF42" s="13">
        <f>IFERROR(__xludf.DUMMYFUNCTION("""COMPUTED_VALUE"""),0.0)</f>
        <v>0</v>
      </c>
      <c r="BG42" s="12"/>
      <c r="BH42" s="12"/>
      <c r="BI42" s="12"/>
      <c r="BJ42" s="14"/>
      <c r="BK42" s="14"/>
      <c r="BL42" s="14"/>
      <c r="BM42" s="14"/>
      <c r="BN42" s="14"/>
      <c r="BO42" s="14"/>
    </row>
    <row r="43">
      <c r="A43" s="15" t="str">
        <f>IFERROR(__xludf.DUMMYFUNCTION("""COMPUTED_VALUE"""),"")</f>
        <v/>
      </c>
      <c r="B43" s="16"/>
      <c r="C43" s="17"/>
      <c r="D43" s="16"/>
      <c r="E43" s="16"/>
      <c r="F43" s="16"/>
      <c r="G43" s="17"/>
      <c r="H43" s="15"/>
      <c r="I43" s="18"/>
      <c r="J43" s="18"/>
      <c r="K43" s="18"/>
      <c r="L43" s="19"/>
      <c r="M43" s="21"/>
      <c r="N43" s="20"/>
      <c r="O43" s="20"/>
      <c r="P43" s="21"/>
      <c r="Q43" s="21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1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1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1">
        <f>IFERROR(__xludf.DUMMYFUNCTION("""COMPUTED_VALUE"""),0.0)</f>
        <v>0</v>
      </c>
      <c r="BD43" s="21">
        <f>IFERROR(__xludf.DUMMYFUNCTION("""COMPUTED_VALUE"""),0.0)</f>
        <v>0</v>
      </c>
      <c r="BE43" s="21">
        <f>IFERROR(__xludf.DUMMYFUNCTION("""COMPUTED_VALUE"""),0.0)</f>
        <v>0</v>
      </c>
      <c r="BF43" s="22">
        <f>IFERROR(__xludf.DUMMYFUNCTION("""COMPUTED_VALUE"""),0.0)</f>
        <v>0</v>
      </c>
      <c r="BG43" s="20"/>
      <c r="BH43" s="20"/>
      <c r="BI43" s="20"/>
      <c r="BJ43" s="14"/>
      <c r="BK43" s="14"/>
      <c r="BL43" s="14"/>
      <c r="BM43" s="14"/>
      <c r="BN43" s="14"/>
      <c r="BO43" s="14"/>
    </row>
    <row r="44">
      <c r="A44" s="6" t="str">
        <f>IFERROR(__xludf.DUMMYFUNCTION("""COMPUTED_VALUE"""),"")</f>
        <v/>
      </c>
      <c r="B44" s="7"/>
      <c r="C44" s="8"/>
      <c r="D44" s="7"/>
      <c r="E44" s="7"/>
      <c r="F44" s="7"/>
      <c r="G44" s="8"/>
      <c r="H44" s="6"/>
      <c r="I44" s="9"/>
      <c r="J44" s="9"/>
      <c r="K44" s="9"/>
      <c r="L44" s="10"/>
      <c r="M44" s="12"/>
      <c r="N44" s="12"/>
      <c r="O44" s="12"/>
      <c r="P44" s="12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1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1">
        <f>IFERROR(__xludf.DUMMYFUNCTION("""COMPUTED_VALUE"""),0.0)</f>
        <v>0</v>
      </c>
      <c r="BD44" s="11">
        <f>IFERROR(__xludf.DUMMYFUNCTION("""COMPUTED_VALUE"""),0.0)</f>
        <v>0</v>
      </c>
      <c r="BE44" s="11">
        <f>IFERROR(__xludf.DUMMYFUNCTION("""COMPUTED_VALUE"""),0.0)</f>
        <v>0</v>
      </c>
      <c r="BF44" s="13">
        <f>IFERROR(__xludf.DUMMYFUNCTION("""COMPUTED_VALUE"""),0.0)</f>
        <v>0</v>
      </c>
      <c r="BG44" s="12"/>
      <c r="BH44" s="12"/>
      <c r="BI44" s="12"/>
      <c r="BJ44" s="14"/>
      <c r="BK44" s="14"/>
      <c r="BL44" s="14"/>
      <c r="BM44" s="14"/>
      <c r="BN44" s="14"/>
      <c r="BO44" s="14"/>
    </row>
    <row r="45">
      <c r="A45" s="15" t="str">
        <f>IFERROR(__xludf.DUMMYFUNCTION("""COMPUTED_VALUE"""),"")</f>
        <v/>
      </c>
      <c r="B45" s="16"/>
      <c r="C45" s="17"/>
      <c r="D45" s="16"/>
      <c r="E45" s="16"/>
      <c r="F45" s="16"/>
      <c r="G45" s="17"/>
      <c r="H45" s="15"/>
      <c r="I45" s="18"/>
      <c r="J45" s="18"/>
      <c r="K45" s="18"/>
      <c r="L45" s="19"/>
      <c r="M45" s="20"/>
      <c r="N45" s="20"/>
      <c r="O45" s="20"/>
      <c r="P45" s="21"/>
      <c r="Q45" s="21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1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1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1">
        <f>IFERROR(__xludf.DUMMYFUNCTION("""COMPUTED_VALUE"""),0.0)</f>
        <v>0</v>
      </c>
      <c r="BD45" s="21">
        <f>IFERROR(__xludf.DUMMYFUNCTION("""COMPUTED_VALUE"""),0.0)</f>
        <v>0</v>
      </c>
      <c r="BE45" s="21">
        <f>IFERROR(__xludf.DUMMYFUNCTION("""COMPUTED_VALUE"""),0.0)</f>
        <v>0</v>
      </c>
      <c r="BF45" s="22">
        <f>IFERROR(__xludf.DUMMYFUNCTION("""COMPUTED_VALUE"""),0.0)</f>
        <v>0</v>
      </c>
      <c r="BG45" s="20"/>
      <c r="BH45" s="20"/>
      <c r="BI45" s="20"/>
      <c r="BJ45" s="14"/>
      <c r="BK45" s="14"/>
      <c r="BL45" s="14"/>
      <c r="BM45" s="14"/>
      <c r="BN45" s="14"/>
      <c r="BO45" s="14"/>
    </row>
    <row r="46">
      <c r="A46" s="6" t="str">
        <f>IFERROR(__xludf.DUMMYFUNCTION("""COMPUTED_VALUE"""),"")</f>
        <v/>
      </c>
      <c r="B46" s="7"/>
      <c r="C46" s="8"/>
      <c r="D46" s="7"/>
      <c r="E46" s="7"/>
      <c r="F46" s="7"/>
      <c r="G46" s="8"/>
      <c r="H46" s="6"/>
      <c r="I46" s="9"/>
      <c r="J46" s="9"/>
      <c r="K46" s="9"/>
      <c r="L46" s="10"/>
      <c r="M46" s="12"/>
      <c r="N46" s="12"/>
      <c r="O46" s="12"/>
      <c r="P46" s="12"/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1">
        <f>IFERROR(__xludf.DUMMYFUNCTION("""COMPUTED_VALUE"""),0.0)</f>
        <v>0</v>
      </c>
      <c r="BD46" s="11">
        <f>IFERROR(__xludf.DUMMYFUNCTION("""COMPUTED_VALUE"""),0.0)</f>
        <v>0</v>
      </c>
      <c r="BE46" s="11">
        <f>IFERROR(__xludf.DUMMYFUNCTION("""COMPUTED_VALUE"""),0.0)</f>
        <v>0</v>
      </c>
      <c r="BF46" s="13">
        <f>IFERROR(__xludf.DUMMYFUNCTION("""COMPUTED_VALUE"""),0.0)</f>
        <v>0</v>
      </c>
      <c r="BG46" s="12"/>
      <c r="BH46" s="12"/>
      <c r="BI46" s="12"/>
      <c r="BJ46" s="14"/>
      <c r="BK46" s="14"/>
      <c r="BL46" s="14"/>
      <c r="BM46" s="14"/>
      <c r="BN46" s="14"/>
      <c r="BO46" s="14"/>
    </row>
    <row r="47">
      <c r="A47" s="15" t="str">
        <f>IFERROR(__xludf.DUMMYFUNCTION("""COMPUTED_VALUE"""),"")</f>
        <v/>
      </c>
      <c r="B47" s="16"/>
      <c r="C47" s="17"/>
      <c r="D47" s="16"/>
      <c r="E47" s="16"/>
      <c r="F47" s="16"/>
      <c r="G47" s="17"/>
      <c r="H47" s="15"/>
      <c r="I47" s="18"/>
      <c r="J47" s="18"/>
      <c r="K47" s="18"/>
      <c r="L47" s="19"/>
      <c r="M47" s="20"/>
      <c r="N47" s="20"/>
      <c r="O47" s="20"/>
      <c r="P47" s="20"/>
      <c r="Q47" s="21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1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1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1">
        <f>IFERROR(__xludf.DUMMYFUNCTION("""COMPUTED_VALUE"""),0.0)</f>
        <v>0</v>
      </c>
      <c r="BD47" s="21">
        <f>IFERROR(__xludf.DUMMYFUNCTION("""COMPUTED_VALUE"""),0.0)</f>
        <v>0</v>
      </c>
      <c r="BE47" s="21">
        <f>IFERROR(__xludf.DUMMYFUNCTION("""COMPUTED_VALUE"""),0.0)</f>
        <v>0</v>
      </c>
      <c r="BF47" s="22">
        <f>IFERROR(__xludf.DUMMYFUNCTION("""COMPUTED_VALUE"""),0.0)</f>
        <v>0</v>
      </c>
      <c r="BG47" s="20"/>
      <c r="BH47" s="20"/>
      <c r="BI47" s="20"/>
      <c r="BJ47" s="14"/>
      <c r="BK47" s="14"/>
      <c r="BL47" s="14"/>
      <c r="BM47" s="14"/>
      <c r="BN47" s="14"/>
      <c r="BO47" s="14"/>
    </row>
    <row r="48">
      <c r="A48" s="6" t="str">
        <f>IFERROR(__xludf.DUMMYFUNCTION("""COMPUTED_VALUE"""),"")</f>
        <v/>
      </c>
      <c r="B48" s="7"/>
      <c r="C48" s="8"/>
      <c r="D48" s="7"/>
      <c r="E48" s="7"/>
      <c r="F48" s="7"/>
      <c r="G48" s="8"/>
      <c r="H48" s="6"/>
      <c r="I48" s="9"/>
      <c r="J48" s="9"/>
      <c r="K48" s="9"/>
      <c r="L48" s="10"/>
      <c r="M48" s="11"/>
      <c r="N48" s="12"/>
      <c r="O48" s="12"/>
      <c r="P48" s="12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1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1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1">
        <f>IFERROR(__xludf.DUMMYFUNCTION("""COMPUTED_VALUE"""),0.0)</f>
        <v>0</v>
      </c>
      <c r="BD48" s="11">
        <f>IFERROR(__xludf.DUMMYFUNCTION("""COMPUTED_VALUE"""),0.0)</f>
        <v>0</v>
      </c>
      <c r="BE48" s="11">
        <f>IFERROR(__xludf.DUMMYFUNCTION("""COMPUTED_VALUE"""),0.0)</f>
        <v>0</v>
      </c>
      <c r="BF48" s="13">
        <f>IFERROR(__xludf.DUMMYFUNCTION("""COMPUTED_VALUE"""),0.0)</f>
        <v>0</v>
      </c>
      <c r="BG48" s="12"/>
      <c r="BH48" s="12"/>
      <c r="BI48" s="12"/>
      <c r="BJ48" s="14"/>
      <c r="BK48" s="14"/>
      <c r="BL48" s="14"/>
      <c r="BM48" s="14"/>
      <c r="BN48" s="14"/>
      <c r="BO48" s="14"/>
    </row>
    <row r="49">
      <c r="A49" s="15" t="str">
        <f>IFERROR(__xludf.DUMMYFUNCTION("""COMPUTED_VALUE"""),"")</f>
        <v/>
      </c>
      <c r="B49" s="16"/>
      <c r="C49" s="17"/>
      <c r="D49" s="16"/>
      <c r="E49" s="16"/>
      <c r="F49" s="16"/>
      <c r="G49" s="17"/>
      <c r="H49" s="15"/>
      <c r="I49" s="18"/>
      <c r="J49" s="18"/>
      <c r="K49" s="18"/>
      <c r="L49" s="19"/>
      <c r="M49" s="21"/>
      <c r="N49" s="20"/>
      <c r="O49" s="20"/>
      <c r="P49" s="20"/>
      <c r="Q49" s="21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1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1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1">
        <f>IFERROR(__xludf.DUMMYFUNCTION("""COMPUTED_VALUE"""),0.0)</f>
        <v>0</v>
      </c>
      <c r="BD49" s="21">
        <f>IFERROR(__xludf.DUMMYFUNCTION("""COMPUTED_VALUE"""),0.0)</f>
        <v>0</v>
      </c>
      <c r="BE49" s="21">
        <f>IFERROR(__xludf.DUMMYFUNCTION("""COMPUTED_VALUE"""),0.0)</f>
        <v>0</v>
      </c>
      <c r="BF49" s="22">
        <f>IFERROR(__xludf.DUMMYFUNCTION("""COMPUTED_VALUE"""),0.0)</f>
        <v>0</v>
      </c>
      <c r="BG49" s="20"/>
      <c r="BH49" s="20"/>
      <c r="BI49" s="20"/>
      <c r="BJ49" s="14"/>
      <c r="BK49" s="14"/>
      <c r="BL49" s="14"/>
      <c r="BM49" s="14"/>
      <c r="BN49" s="14"/>
      <c r="BO49" s="14"/>
    </row>
    <row r="50">
      <c r="A50" s="6" t="str">
        <f>IFERROR(__xludf.DUMMYFUNCTION("""COMPUTED_VALUE"""),"")</f>
        <v/>
      </c>
      <c r="B50" s="7"/>
      <c r="C50" s="8"/>
      <c r="D50" s="7"/>
      <c r="E50" s="7"/>
      <c r="F50" s="7"/>
      <c r="G50" s="8"/>
      <c r="H50" s="6"/>
      <c r="I50" s="9"/>
      <c r="J50" s="9"/>
      <c r="K50" s="9"/>
      <c r="L50" s="10"/>
      <c r="M50" s="11"/>
      <c r="N50" s="12"/>
      <c r="O50" s="12"/>
      <c r="P50" s="11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1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1">
        <f>IFERROR(__xludf.DUMMYFUNCTION("""COMPUTED_VALUE"""),0.0)</f>
        <v>0</v>
      </c>
      <c r="BD50" s="11">
        <f>IFERROR(__xludf.DUMMYFUNCTION("""COMPUTED_VALUE"""),0.0)</f>
        <v>0</v>
      </c>
      <c r="BE50" s="11">
        <f>IFERROR(__xludf.DUMMYFUNCTION("""COMPUTED_VALUE"""),0.0)</f>
        <v>0</v>
      </c>
      <c r="BF50" s="13">
        <f>IFERROR(__xludf.DUMMYFUNCTION("""COMPUTED_VALUE"""),0.0)</f>
        <v>0</v>
      </c>
      <c r="BG50" s="12"/>
      <c r="BH50" s="12"/>
      <c r="BI50" s="12"/>
      <c r="BJ50" s="14"/>
      <c r="BK50" s="14"/>
      <c r="BL50" s="14"/>
      <c r="BM50" s="14"/>
      <c r="BN50" s="14"/>
      <c r="BO50" s="14"/>
    </row>
    <row r="51">
      <c r="A51" s="15" t="str">
        <f>IFERROR(__xludf.DUMMYFUNCTION("""COMPUTED_VALUE"""),"")</f>
        <v/>
      </c>
      <c r="B51" s="16"/>
      <c r="C51" s="17"/>
      <c r="D51" s="16"/>
      <c r="E51" s="16"/>
      <c r="F51" s="16"/>
      <c r="G51" s="17"/>
      <c r="H51" s="15"/>
      <c r="I51" s="18"/>
      <c r="J51" s="18"/>
      <c r="K51" s="18"/>
      <c r="L51" s="19"/>
      <c r="M51" s="20"/>
      <c r="N51" s="20"/>
      <c r="O51" s="20"/>
      <c r="P51" s="20"/>
      <c r="Q51" s="21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1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1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1">
        <f>IFERROR(__xludf.DUMMYFUNCTION("""COMPUTED_VALUE"""),0.0)</f>
        <v>0</v>
      </c>
      <c r="BD51" s="21">
        <f>IFERROR(__xludf.DUMMYFUNCTION("""COMPUTED_VALUE"""),0.0)</f>
        <v>0</v>
      </c>
      <c r="BE51" s="21">
        <f>IFERROR(__xludf.DUMMYFUNCTION("""COMPUTED_VALUE"""),0.0)</f>
        <v>0</v>
      </c>
      <c r="BF51" s="22">
        <f>IFERROR(__xludf.DUMMYFUNCTION("""COMPUTED_VALUE"""),0.0)</f>
        <v>0</v>
      </c>
      <c r="BG51" s="20"/>
      <c r="BH51" s="20"/>
      <c r="BI51" s="20"/>
      <c r="BJ51" s="14"/>
      <c r="BK51" s="14"/>
      <c r="BL51" s="14"/>
      <c r="BM51" s="14"/>
      <c r="BN51" s="14"/>
      <c r="BO51" s="14"/>
    </row>
    <row r="52">
      <c r="A52" s="6" t="str">
        <f>IFERROR(__xludf.DUMMYFUNCTION("""COMPUTED_VALUE"""),"")</f>
        <v/>
      </c>
      <c r="B52" s="7"/>
      <c r="C52" s="8"/>
      <c r="D52" s="7"/>
      <c r="E52" s="7"/>
      <c r="F52" s="7"/>
      <c r="G52" s="8"/>
      <c r="H52" s="6"/>
      <c r="I52" s="9"/>
      <c r="J52" s="9"/>
      <c r="K52" s="9"/>
      <c r="L52" s="10"/>
      <c r="M52" s="12"/>
      <c r="N52" s="12"/>
      <c r="O52" s="12"/>
      <c r="P52" s="11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1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1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1">
        <f>IFERROR(__xludf.DUMMYFUNCTION("""COMPUTED_VALUE"""),0.0)</f>
        <v>0</v>
      </c>
      <c r="BD52" s="11">
        <f>IFERROR(__xludf.DUMMYFUNCTION("""COMPUTED_VALUE"""),0.0)</f>
        <v>0</v>
      </c>
      <c r="BE52" s="11">
        <f>IFERROR(__xludf.DUMMYFUNCTION("""COMPUTED_VALUE"""),0.0)</f>
        <v>0</v>
      </c>
      <c r="BF52" s="13">
        <f>IFERROR(__xludf.DUMMYFUNCTION("""COMPUTED_VALUE"""),0.0)</f>
        <v>0</v>
      </c>
      <c r="BG52" s="12"/>
      <c r="BH52" s="12"/>
      <c r="BI52" s="12"/>
      <c r="BJ52" s="14"/>
      <c r="BK52" s="14"/>
      <c r="BL52" s="14"/>
      <c r="BM52" s="14"/>
      <c r="BN52" s="14"/>
      <c r="BO52" s="14"/>
    </row>
    <row r="53">
      <c r="A53" s="15" t="str">
        <f>IFERROR(__xludf.DUMMYFUNCTION("""COMPUTED_VALUE"""),"")</f>
        <v/>
      </c>
      <c r="B53" s="16"/>
      <c r="C53" s="17"/>
      <c r="D53" s="16"/>
      <c r="E53" s="16"/>
      <c r="F53" s="16"/>
      <c r="G53" s="17"/>
      <c r="H53" s="15"/>
      <c r="I53" s="18"/>
      <c r="J53" s="18"/>
      <c r="K53" s="18"/>
      <c r="L53" s="19"/>
      <c r="M53" s="21"/>
      <c r="N53" s="20"/>
      <c r="O53" s="20"/>
      <c r="P53" s="20"/>
      <c r="Q53" s="21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1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1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1">
        <f>IFERROR(__xludf.DUMMYFUNCTION("""COMPUTED_VALUE"""),0.0)</f>
        <v>0</v>
      </c>
      <c r="BD53" s="21">
        <f>IFERROR(__xludf.DUMMYFUNCTION("""COMPUTED_VALUE"""),0.0)</f>
        <v>0</v>
      </c>
      <c r="BE53" s="21">
        <f>IFERROR(__xludf.DUMMYFUNCTION("""COMPUTED_VALUE"""),0.0)</f>
        <v>0</v>
      </c>
      <c r="BF53" s="22">
        <f>IFERROR(__xludf.DUMMYFUNCTION("""COMPUTED_VALUE"""),0.0)</f>
        <v>0</v>
      </c>
      <c r="BG53" s="20"/>
      <c r="BH53" s="20"/>
      <c r="BI53" s="20"/>
      <c r="BJ53" s="14"/>
      <c r="BK53" s="14"/>
      <c r="BL53" s="14"/>
      <c r="BM53" s="14"/>
      <c r="BN53" s="14"/>
      <c r="BO53" s="14"/>
    </row>
    <row r="54">
      <c r="A54" s="6" t="str">
        <f>IFERROR(__xludf.DUMMYFUNCTION("""COMPUTED_VALUE"""),"")</f>
        <v/>
      </c>
      <c r="B54" s="7"/>
      <c r="C54" s="8"/>
      <c r="D54" s="7"/>
      <c r="E54" s="7"/>
      <c r="F54" s="7"/>
      <c r="G54" s="8"/>
      <c r="H54" s="6"/>
      <c r="I54" s="9"/>
      <c r="J54" s="9"/>
      <c r="K54" s="9"/>
      <c r="L54" s="10"/>
      <c r="M54" s="12"/>
      <c r="N54" s="12"/>
      <c r="O54" s="12"/>
      <c r="P54" s="12"/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1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1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1">
        <f>IFERROR(__xludf.DUMMYFUNCTION("""COMPUTED_VALUE"""),0.0)</f>
        <v>0</v>
      </c>
      <c r="BD54" s="11">
        <f>IFERROR(__xludf.DUMMYFUNCTION("""COMPUTED_VALUE"""),0.0)</f>
        <v>0</v>
      </c>
      <c r="BE54" s="11">
        <f>IFERROR(__xludf.DUMMYFUNCTION("""COMPUTED_VALUE"""),0.0)</f>
        <v>0</v>
      </c>
      <c r="BF54" s="13">
        <f>IFERROR(__xludf.DUMMYFUNCTION("""COMPUTED_VALUE"""),0.0)</f>
        <v>0</v>
      </c>
      <c r="BG54" s="12"/>
      <c r="BH54" s="12"/>
      <c r="BI54" s="12"/>
      <c r="BJ54" s="14"/>
      <c r="BK54" s="14"/>
      <c r="BL54" s="14"/>
      <c r="BM54" s="14"/>
      <c r="BN54" s="14"/>
      <c r="BO54" s="14"/>
    </row>
    <row r="55">
      <c r="A55" s="15" t="str">
        <f>IFERROR(__xludf.DUMMYFUNCTION("""COMPUTED_VALUE"""),"")</f>
        <v/>
      </c>
      <c r="B55" s="16"/>
      <c r="C55" s="17"/>
      <c r="D55" s="16"/>
      <c r="E55" s="16"/>
      <c r="F55" s="16"/>
      <c r="G55" s="17"/>
      <c r="H55" s="15"/>
      <c r="I55" s="18"/>
      <c r="J55" s="18"/>
      <c r="K55" s="18"/>
      <c r="L55" s="19"/>
      <c r="M55" s="20"/>
      <c r="N55" s="20"/>
      <c r="O55" s="20"/>
      <c r="P55" s="20"/>
      <c r="Q55" s="21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1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1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1">
        <f>IFERROR(__xludf.DUMMYFUNCTION("""COMPUTED_VALUE"""),0.0)</f>
        <v>0</v>
      </c>
      <c r="BD55" s="21">
        <f>IFERROR(__xludf.DUMMYFUNCTION("""COMPUTED_VALUE"""),0.0)</f>
        <v>0</v>
      </c>
      <c r="BE55" s="21">
        <f>IFERROR(__xludf.DUMMYFUNCTION("""COMPUTED_VALUE"""),0.0)</f>
        <v>0</v>
      </c>
      <c r="BF55" s="22">
        <f>IFERROR(__xludf.DUMMYFUNCTION("""COMPUTED_VALUE"""),0.0)</f>
        <v>0</v>
      </c>
      <c r="BG55" s="20"/>
      <c r="BH55" s="20"/>
      <c r="BI55" s="20"/>
      <c r="BJ55" s="14"/>
      <c r="BK55" s="14"/>
      <c r="BL55" s="14"/>
      <c r="BM55" s="14"/>
      <c r="BN55" s="14"/>
      <c r="BO55" s="14"/>
    </row>
    <row r="56">
      <c r="A56" s="6" t="str">
        <f>IFERROR(__xludf.DUMMYFUNCTION("""COMPUTED_VALUE"""),"")</f>
        <v/>
      </c>
      <c r="B56" s="7"/>
      <c r="C56" s="8"/>
      <c r="D56" s="7"/>
      <c r="E56" s="7"/>
      <c r="F56" s="7"/>
      <c r="G56" s="8"/>
      <c r="H56" s="6"/>
      <c r="I56" s="9"/>
      <c r="J56" s="9"/>
      <c r="K56" s="9"/>
      <c r="L56" s="10"/>
      <c r="M56" s="12"/>
      <c r="N56" s="12"/>
      <c r="O56" s="12"/>
      <c r="P56" s="11"/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1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1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1">
        <f>IFERROR(__xludf.DUMMYFUNCTION("""COMPUTED_VALUE"""),0.0)</f>
        <v>0</v>
      </c>
      <c r="BD56" s="11">
        <f>IFERROR(__xludf.DUMMYFUNCTION("""COMPUTED_VALUE"""),0.0)</f>
        <v>0</v>
      </c>
      <c r="BE56" s="11">
        <f>IFERROR(__xludf.DUMMYFUNCTION("""COMPUTED_VALUE"""),0.0)</f>
        <v>0</v>
      </c>
      <c r="BF56" s="13">
        <f>IFERROR(__xludf.DUMMYFUNCTION("""COMPUTED_VALUE"""),0.0)</f>
        <v>0</v>
      </c>
      <c r="BG56" s="12"/>
      <c r="BH56" s="12"/>
      <c r="BI56" s="12"/>
      <c r="BJ56" s="14"/>
      <c r="BK56" s="14"/>
      <c r="BL56" s="14"/>
      <c r="BM56" s="14"/>
      <c r="BN56" s="14"/>
      <c r="BO56" s="14"/>
    </row>
    <row r="57">
      <c r="A57" s="15" t="str">
        <f>IFERROR(__xludf.DUMMYFUNCTION("""COMPUTED_VALUE"""),"")</f>
        <v/>
      </c>
      <c r="B57" s="16"/>
      <c r="C57" s="17"/>
      <c r="D57" s="16"/>
      <c r="E57" s="16"/>
      <c r="F57" s="16"/>
      <c r="G57" s="17"/>
      <c r="H57" s="15"/>
      <c r="I57" s="18"/>
      <c r="J57" s="18"/>
      <c r="K57" s="18"/>
      <c r="L57" s="19"/>
      <c r="M57" s="20"/>
      <c r="N57" s="20"/>
      <c r="O57" s="20"/>
      <c r="P57" s="20"/>
      <c r="Q57" s="2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1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1">
        <f>IFERROR(__xludf.DUMMYFUNCTION("""COMPUTED_VALUE"""),0.0)</f>
        <v>0</v>
      </c>
      <c r="BD57" s="21">
        <f>IFERROR(__xludf.DUMMYFUNCTION("""COMPUTED_VALUE"""),0.0)</f>
        <v>0</v>
      </c>
      <c r="BE57" s="21">
        <f>IFERROR(__xludf.DUMMYFUNCTION("""COMPUTED_VALUE"""),0.0)</f>
        <v>0</v>
      </c>
      <c r="BF57" s="22">
        <f>IFERROR(__xludf.DUMMYFUNCTION("""COMPUTED_VALUE"""),0.0)</f>
        <v>0</v>
      </c>
      <c r="BG57" s="20"/>
      <c r="BH57" s="20"/>
      <c r="BI57" s="20"/>
      <c r="BJ57" s="14"/>
      <c r="BK57" s="14"/>
      <c r="BL57" s="14"/>
      <c r="BM57" s="14"/>
      <c r="BN57" s="14"/>
      <c r="BO57" s="14"/>
    </row>
    <row r="58">
      <c r="A58" s="6" t="str">
        <f>IFERROR(__xludf.DUMMYFUNCTION("""COMPUTED_VALUE"""),"")</f>
        <v/>
      </c>
      <c r="B58" s="7"/>
      <c r="C58" s="8"/>
      <c r="D58" s="7"/>
      <c r="E58" s="7"/>
      <c r="F58" s="7"/>
      <c r="G58" s="8"/>
      <c r="H58" s="6"/>
      <c r="I58" s="9"/>
      <c r="J58" s="9"/>
      <c r="K58" s="9"/>
      <c r="L58" s="10"/>
      <c r="M58" s="12"/>
      <c r="N58" s="12"/>
      <c r="O58" s="12"/>
      <c r="P58" s="12"/>
      <c r="Q58" s="11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1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1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1">
        <f>IFERROR(__xludf.DUMMYFUNCTION("""COMPUTED_VALUE"""),0.0)</f>
        <v>0</v>
      </c>
      <c r="BD58" s="11">
        <f>IFERROR(__xludf.DUMMYFUNCTION("""COMPUTED_VALUE"""),0.0)</f>
        <v>0</v>
      </c>
      <c r="BE58" s="11">
        <f>IFERROR(__xludf.DUMMYFUNCTION("""COMPUTED_VALUE"""),0.0)</f>
        <v>0</v>
      </c>
      <c r="BF58" s="13">
        <f>IFERROR(__xludf.DUMMYFUNCTION("""COMPUTED_VALUE"""),0.0)</f>
        <v>0</v>
      </c>
      <c r="BG58" s="12"/>
      <c r="BH58" s="12"/>
      <c r="BI58" s="12"/>
      <c r="BJ58" s="14"/>
      <c r="BK58" s="14"/>
      <c r="BL58" s="14"/>
      <c r="BM58" s="14"/>
      <c r="BN58" s="14"/>
      <c r="BO58" s="14"/>
    </row>
    <row r="59">
      <c r="A59" s="15" t="str">
        <f>IFERROR(__xludf.DUMMYFUNCTION("""COMPUTED_VALUE"""),"")</f>
        <v/>
      </c>
      <c r="B59" s="16"/>
      <c r="C59" s="17"/>
      <c r="D59" s="16"/>
      <c r="E59" s="16"/>
      <c r="F59" s="16"/>
      <c r="G59" s="17"/>
      <c r="H59" s="15"/>
      <c r="I59" s="20"/>
      <c r="J59" s="18"/>
      <c r="K59" s="18"/>
      <c r="L59" s="19"/>
      <c r="M59" s="20"/>
      <c r="N59" s="20"/>
      <c r="O59" s="20"/>
      <c r="P59" s="20"/>
      <c r="Q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1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1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1">
        <f>IFERROR(__xludf.DUMMYFUNCTION("""COMPUTED_VALUE"""),0.0)</f>
        <v>0</v>
      </c>
      <c r="BD59" s="21">
        <f>IFERROR(__xludf.DUMMYFUNCTION("""COMPUTED_VALUE"""),0.0)</f>
        <v>0</v>
      </c>
      <c r="BE59" s="21">
        <f>IFERROR(__xludf.DUMMYFUNCTION("""COMPUTED_VALUE"""),0.0)</f>
        <v>0</v>
      </c>
      <c r="BF59" s="22">
        <f>IFERROR(__xludf.DUMMYFUNCTION("""COMPUTED_VALUE"""),0.0)</f>
        <v>0</v>
      </c>
      <c r="BG59" s="20"/>
      <c r="BH59" s="20"/>
      <c r="BI59" s="20"/>
      <c r="BJ59" s="14"/>
      <c r="BK59" s="14"/>
      <c r="BL59" s="14"/>
      <c r="BM59" s="14"/>
      <c r="BN59" s="14"/>
      <c r="BO59" s="14"/>
    </row>
    <row r="60">
      <c r="A60" s="6" t="str">
        <f>IFERROR(__xludf.DUMMYFUNCTION("""COMPUTED_VALUE"""),"")</f>
        <v/>
      </c>
      <c r="B60" s="7"/>
      <c r="C60" s="8"/>
      <c r="D60" s="7"/>
      <c r="E60" s="7"/>
      <c r="F60" s="7"/>
      <c r="G60" s="8"/>
      <c r="H60" s="6"/>
      <c r="I60" s="9"/>
      <c r="J60" s="9"/>
      <c r="K60" s="9"/>
      <c r="L60" s="10"/>
      <c r="M60" s="12"/>
      <c r="N60" s="12"/>
      <c r="O60" s="12"/>
      <c r="P60" s="12"/>
      <c r="Q60" s="11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1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1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1">
        <f>IFERROR(__xludf.DUMMYFUNCTION("""COMPUTED_VALUE"""),0.0)</f>
        <v>0</v>
      </c>
      <c r="BD60" s="11">
        <f>IFERROR(__xludf.DUMMYFUNCTION("""COMPUTED_VALUE"""),0.0)</f>
        <v>0</v>
      </c>
      <c r="BE60" s="11">
        <f>IFERROR(__xludf.DUMMYFUNCTION("""COMPUTED_VALUE"""),0.0)</f>
        <v>0</v>
      </c>
      <c r="BF60" s="13">
        <f>IFERROR(__xludf.DUMMYFUNCTION("""COMPUTED_VALUE"""),0.0)</f>
        <v>0</v>
      </c>
      <c r="BG60" s="12"/>
      <c r="BH60" s="12"/>
      <c r="BI60" s="12"/>
      <c r="BJ60" s="14"/>
      <c r="BK60" s="14"/>
      <c r="BL60" s="14"/>
      <c r="BM60" s="14"/>
      <c r="BN60" s="14"/>
      <c r="BO60" s="14"/>
    </row>
    <row r="61">
      <c r="A61" s="15" t="str">
        <f>IFERROR(__xludf.DUMMYFUNCTION("""COMPUTED_VALUE"""),"")</f>
        <v/>
      </c>
      <c r="B61" s="16"/>
      <c r="C61" s="17"/>
      <c r="D61" s="16"/>
      <c r="E61" s="16"/>
      <c r="F61" s="16"/>
      <c r="G61" s="17"/>
      <c r="H61" s="15"/>
      <c r="I61" s="20"/>
      <c r="J61" s="18"/>
      <c r="K61" s="18"/>
      <c r="L61" s="19"/>
      <c r="M61" s="20"/>
      <c r="N61" s="20"/>
      <c r="O61" s="20"/>
      <c r="P61" s="21"/>
      <c r="Q61" s="21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1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1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1">
        <f>IFERROR(__xludf.DUMMYFUNCTION("""COMPUTED_VALUE"""),0.0)</f>
        <v>0</v>
      </c>
      <c r="BD61" s="21">
        <f>IFERROR(__xludf.DUMMYFUNCTION("""COMPUTED_VALUE"""),0.0)</f>
        <v>0</v>
      </c>
      <c r="BE61" s="21">
        <f>IFERROR(__xludf.DUMMYFUNCTION("""COMPUTED_VALUE"""),0.0)</f>
        <v>0</v>
      </c>
      <c r="BF61" s="22">
        <f>IFERROR(__xludf.DUMMYFUNCTION("""COMPUTED_VALUE"""),0.0)</f>
        <v>0</v>
      </c>
      <c r="BG61" s="20"/>
      <c r="BH61" s="20"/>
      <c r="BI61" s="20"/>
      <c r="BJ61" s="14"/>
      <c r="BK61" s="14"/>
      <c r="BL61" s="14"/>
      <c r="BM61" s="14"/>
      <c r="BN61" s="14"/>
      <c r="BO61" s="14"/>
    </row>
    <row r="62">
      <c r="A62" s="6" t="str">
        <f>IFERROR(__xludf.DUMMYFUNCTION("""COMPUTED_VALUE"""),"")</f>
        <v/>
      </c>
      <c r="B62" s="7"/>
      <c r="C62" s="8"/>
      <c r="D62" s="7"/>
      <c r="E62" s="7"/>
      <c r="F62" s="7"/>
      <c r="G62" s="8"/>
      <c r="H62" s="6"/>
      <c r="I62" s="9"/>
      <c r="J62" s="9"/>
      <c r="K62" s="9"/>
      <c r="L62" s="10"/>
      <c r="M62" s="11"/>
      <c r="N62" s="12"/>
      <c r="O62" s="12"/>
      <c r="P62" s="12"/>
      <c r="Q62" s="11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1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1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1">
        <f>IFERROR(__xludf.DUMMYFUNCTION("""COMPUTED_VALUE"""),0.0)</f>
        <v>0</v>
      </c>
      <c r="BD62" s="11">
        <f>IFERROR(__xludf.DUMMYFUNCTION("""COMPUTED_VALUE"""),0.0)</f>
        <v>0</v>
      </c>
      <c r="BE62" s="11">
        <f>IFERROR(__xludf.DUMMYFUNCTION("""COMPUTED_VALUE"""),0.0)</f>
        <v>0</v>
      </c>
      <c r="BF62" s="13">
        <f>IFERROR(__xludf.DUMMYFUNCTION("""COMPUTED_VALUE"""),0.0)</f>
        <v>0</v>
      </c>
      <c r="BG62" s="12"/>
      <c r="BH62" s="12"/>
      <c r="BI62" s="12"/>
      <c r="BJ62" s="14"/>
      <c r="BK62" s="14"/>
      <c r="BL62" s="14"/>
      <c r="BM62" s="14"/>
      <c r="BN62" s="14"/>
      <c r="BO62" s="14"/>
    </row>
    <row r="63">
      <c r="A63" s="15" t="str">
        <f>IFERROR(__xludf.DUMMYFUNCTION("""COMPUTED_VALUE"""),"")</f>
        <v/>
      </c>
      <c r="B63" s="16"/>
      <c r="C63" s="17"/>
      <c r="D63" s="16"/>
      <c r="E63" s="16"/>
      <c r="F63" s="16"/>
      <c r="G63" s="17"/>
      <c r="H63" s="15"/>
      <c r="I63" s="18"/>
      <c r="J63" s="18"/>
      <c r="K63" s="18"/>
      <c r="L63" s="19"/>
      <c r="M63" s="20"/>
      <c r="N63" s="20"/>
      <c r="O63" s="20"/>
      <c r="P63" s="20"/>
      <c r="Q63" s="21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1">
        <f>IFERROR(__xludf.DUMMYFUNCTION("""COMPUTED_VALUE"""),0.0)</f>
        <v>0</v>
      </c>
      <c r="BD63" s="21">
        <f>IFERROR(__xludf.DUMMYFUNCTION("""COMPUTED_VALUE"""),0.0)</f>
        <v>0</v>
      </c>
      <c r="BE63" s="21">
        <f>IFERROR(__xludf.DUMMYFUNCTION("""COMPUTED_VALUE"""),0.0)</f>
        <v>0</v>
      </c>
      <c r="BF63" s="22">
        <f>IFERROR(__xludf.DUMMYFUNCTION("""COMPUTED_VALUE"""),0.0)</f>
        <v>0</v>
      </c>
      <c r="BG63" s="20"/>
      <c r="BH63" s="20"/>
      <c r="BI63" s="20"/>
      <c r="BJ63" s="14"/>
      <c r="BK63" s="14"/>
      <c r="BL63" s="14"/>
      <c r="BM63" s="14"/>
      <c r="BN63" s="14"/>
      <c r="BO63" s="14"/>
    </row>
    <row r="64">
      <c r="A64" s="6" t="str">
        <f>IFERROR(__xludf.DUMMYFUNCTION("""COMPUTED_VALUE"""),"")</f>
        <v/>
      </c>
      <c r="B64" s="7"/>
      <c r="C64" s="8"/>
      <c r="D64" s="7"/>
      <c r="E64" s="7"/>
      <c r="F64" s="7"/>
      <c r="G64" s="8"/>
      <c r="H64" s="6"/>
      <c r="I64" s="9"/>
      <c r="J64" s="9"/>
      <c r="K64" s="9"/>
      <c r="L64" s="10"/>
      <c r="M64" s="12"/>
      <c r="N64" s="12"/>
      <c r="O64" s="12"/>
      <c r="P64" s="12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1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1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1">
        <f>IFERROR(__xludf.DUMMYFUNCTION("""COMPUTED_VALUE"""),0.0)</f>
        <v>0</v>
      </c>
      <c r="BD64" s="11">
        <f>IFERROR(__xludf.DUMMYFUNCTION("""COMPUTED_VALUE"""),0.0)</f>
        <v>0</v>
      </c>
      <c r="BE64" s="11">
        <f>IFERROR(__xludf.DUMMYFUNCTION("""COMPUTED_VALUE"""),0.0)</f>
        <v>0</v>
      </c>
      <c r="BF64" s="13">
        <f>IFERROR(__xludf.DUMMYFUNCTION("""COMPUTED_VALUE"""),0.0)</f>
        <v>0</v>
      </c>
      <c r="BG64" s="12"/>
      <c r="BH64" s="12"/>
      <c r="BI64" s="12"/>
      <c r="BJ64" s="14"/>
      <c r="BK64" s="14"/>
      <c r="BL64" s="14"/>
      <c r="BM64" s="14"/>
      <c r="BN64" s="14"/>
      <c r="BO64" s="14"/>
    </row>
    <row r="65">
      <c r="A65" s="15" t="str">
        <f>IFERROR(__xludf.DUMMYFUNCTION("""COMPUTED_VALUE"""),"")</f>
        <v/>
      </c>
      <c r="B65" s="16"/>
      <c r="C65" s="17"/>
      <c r="D65" s="16"/>
      <c r="E65" s="16"/>
      <c r="F65" s="16"/>
      <c r="G65" s="17"/>
      <c r="H65" s="15"/>
      <c r="I65" s="18"/>
      <c r="J65" s="18"/>
      <c r="K65" s="18"/>
      <c r="L65" s="19"/>
      <c r="M65" s="21"/>
      <c r="N65" s="21"/>
      <c r="O65" s="21"/>
      <c r="P65" s="21"/>
      <c r="Q65" s="21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1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1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1">
        <f>IFERROR(__xludf.DUMMYFUNCTION("""COMPUTED_VALUE"""),0.0)</f>
        <v>0</v>
      </c>
      <c r="BD65" s="21">
        <f>IFERROR(__xludf.DUMMYFUNCTION("""COMPUTED_VALUE"""),0.0)</f>
        <v>0</v>
      </c>
      <c r="BE65" s="21">
        <f>IFERROR(__xludf.DUMMYFUNCTION("""COMPUTED_VALUE"""),0.0)</f>
        <v>0</v>
      </c>
      <c r="BF65" s="22">
        <f>IFERROR(__xludf.DUMMYFUNCTION("""COMPUTED_VALUE"""),0.0)</f>
        <v>0</v>
      </c>
      <c r="BG65" s="20"/>
      <c r="BH65" s="20"/>
      <c r="BI65" s="20"/>
      <c r="BJ65" s="14"/>
      <c r="BK65" s="14"/>
      <c r="BL65" s="14"/>
      <c r="BM65" s="14"/>
      <c r="BN65" s="14"/>
      <c r="BO65" s="14"/>
    </row>
    <row r="66">
      <c r="A66" s="6" t="str">
        <f>IFERROR(__xludf.DUMMYFUNCTION("""COMPUTED_VALUE"""),"")</f>
        <v/>
      </c>
      <c r="B66" s="7"/>
      <c r="C66" s="8"/>
      <c r="D66" s="7"/>
      <c r="E66" s="7"/>
      <c r="F66" s="7"/>
      <c r="G66" s="8"/>
      <c r="H66" s="6"/>
      <c r="I66" s="9"/>
      <c r="J66" s="9"/>
      <c r="K66" s="9"/>
      <c r="L66" s="10"/>
      <c r="M66" s="12"/>
      <c r="N66" s="12"/>
      <c r="O66" s="12"/>
      <c r="P66" s="12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1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1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1">
        <f>IFERROR(__xludf.DUMMYFUNCTION("""COMPUTED_VALUE"""),0.0)</f>
        <v>0</v>
      </c>
      <c r="BD66" s="11">
        <f>IFERROR(__xludf.DUMMYFUNCTION("""COMPUTED_VALUE"""),0.0)</f>
        <v>0</v>
      </c>
      <c r="BE66" s="11">
        <f>IFERROR(__xludf.DUMMYFUNCTION("""COMPUTED_VALUE"""),0.0)</f>
        <v>0</v>
      </c>
      <c r="BF66" s="13">
        <f>IFERROR(__xludf.DUMMYFUNCTION("""COMPUTED_VALUE"""),0.0)</f>
        <v>0</v>
      </c>
      <c r="BG66" s="12"/>
      <c r="BH66" s="12"/>
      <c r="BI66" s="12"/>
      <c r="BJ66" s="14"/>
      <c r="BK66" s="14"/>
      <c r="BL66" s="14"/>
      <c r="BM66" s="14"/>
      <c r="BN66" s="14"/>
      <c r="BO66" s="14"/>
    </row>
    <row r="67">
      <c r="A67" s="15" t="str">
        <f>IFERROR(__xludf.DUMMYFUNCTION("""COMPUTED_VALUE"""),"")</f>
        <v/>
      </c>
      <c r="B67" s="16"/>
      <c r="C67" s="17"/>
      <c r="D67" s="16"/>
      <c r="E67" s="16"/>
      <c r="F67" s="16"/>
      <c r="G67" s="17"/>
      <c r="H67" s="15"/>
      <c r="I67" s="18"/>
      <c r="J67" s="18"/>
      <c r="K67" s="18"/>
      <c r="L67" s="19"/>
      <c r="M67" s="20"/>
      <c r="N67" s="20"/>
      <c r="O67" s="20"/>
      <c r="P67" s="20"/>
      <c r="Q67" s="21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1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1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1">
        <f>IFERROR(__xludf.DUMMYFUNCTION("""COMPUTED_VALUE"""),0.0)</f>
        <v>0</v>
      </c>
      <c r="BD67" s="21">
        <f>IFERROR(__xludf.DUMMYFUNCTION("""COMPUTED_VALUE"""),0.0)</f>
        <v>0</v>
      </c>
      <c r="BE67" s="21">
        <f>IFERROR(__xludf.DUMMYFUNCTION("""COMPUTED_VALUE"""),0.0)</f>
        <v>0</v>
      </c>
      <c r="BF67" s="22">
        <f>IFERROR(__xludf.DUMMYFUNCTION("""COMPUTED_VALUE"""),0.0)</f>
        <v>0</v>
      </c>
      <c r="BG67" s="20"/>
      <c r="BH67" s="20"/>
      <c r="BI67" s="20"/>
      <c r="BJ67" s="14"/>
      <c r="BK67" s="14"/>
      <c r="BL67" s="14"/>
      <c r="BM67" s="14"/>
      <c r="BN67" s="14"/>
      <c r="BO67" s="14"/>
    </row>
    <row r="68">
      <c r="A68" s="6" t="str">
        <f>IFERROR(__xludf.DUMMYFUNCTION("""COMPUTED_VALUE"""),"")</f>
        <v/>
      </c>
      <c r="B68" s="7"/>
      <c r="C68" s="8"/>
      <c r="D68" s="7"/>
      <c r="E68" s="7"/>
      <c r="F68" s="7"/>
      <c r="G68" s="8"/>
      <c r="H68" s="6"/>
      <c r="I68" s="9"/>
      <c r="J68" s="9"/>
      <c r="K68" s="9"/>
      <c r="L68" s="10"/>
      <c r="M68" s="12"/>
      <c r="N68" s="12"/>
      <c r="O68" s="12"/>
      <c r="P68" s="12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1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1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1">
        <f>IFERROR(__xludf.DUMMYFUNCTION("""COMPUTED_VALUE"""),0.0)</f>
        <v>0</v>
      </c>
      <c r="BD68" s="11">
        <f>IFERROR(__xludf.DUMMYFUNCTION("""COMPUTED_VALUE"""),0.0)</f>
        <v>0</v>
      </c>
      <c r="BE68" s="11">
        <f>IFERROR(__xludf.DUMMYFUNCTION("""COMPUTED_VALUE"""),0.0)</f>
        <v>0</v>
      </c>
      <c r="BF68" s="13">
        <f>IFERROR(__xludf.DUMMYFUNCTION("""COMPUTED_VALUE"""),0.0)</f>
        <v>0</v>
      </c>
      <c r="BG68" s="12"/>
      <c r="BH68" s="12"/>
      <c r="BI68" s="12"/>
      <c r="BJ68" s="14"/>
      <c r="BK68" s="14"/>
      <c r="BL68" s="14"/>
      <c r="BM68" s="14"/>
      <c r="BN68" s="14"/>
      <c r="BO68" s="14"/>
    </row>
    <row r="69">
      <c r="A69" s="15" t="str">
        <f>IFERROR(__xludf.DUMMYFUNCTION("""COMPUTED_VALUE"""),"")</f>
        <v/>
      </c>
      <c r="B69" s="16"/>
      <c r="C69" s="17"/>
      <c r="D69" s="16"/>
      <c r="E69" s="16"/>
      <c r="F69" s="16"/>
      <c r="G69" s="17"/>
      <c r="H69" s="15"/>
      <c r="I69" s="18"/>
      <c r="J69" s="18"/>
      <c r="K69" s="18"/>
      <c r="L69" s="19"/>
      <c r="M69" s="20"/>
      <c r="N69" s="20"/>
      <c r="O69" s="20"/>
      <c r="P69" s="20"/>
      <c r="Q69" s="21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1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1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1">
        <f>IFERROR(__xludf.DUMMYFUNCTION("""COMPUTED_VALUE"""),0.0)</f>
        <v>0</v>
      </c>
      <c r="BD69" s="21">
        <f>IFERROR(__xludf.DUMMYFUNCTION("""COMPUTED_VALUE"""),0.0)</f>
        <v>0</v>
      </c>
      <c r="BE69" s="21">
        <f>IFERROR(__xludf.DUMMYFUNCTION("""COMPUTED_VALUE"""),0.0)</f>
        <v>0</v>
      </c>
      <c r="BF69" s="22">
        <f>IFERROR(__xludf.DUMMYFUNCTION("""COMPUTED_VALUE"""),0.0)</f>
        <v>0</v>
      </c>
      <c r="BG69" s="20"/>
      <c r="BH69" s="20"/>
      <c r="BI69" s="20"/>
      <c r="BJ69" s="14"/>
      <c r="BK69" s="14"/>
      <c r="BL69" s="14"/>
      <c r="BM69" s="14"/>
      <c r="BN69" s="14"/>
      <c r="BO69" s="14"/>
    </row>
    <row r="70">
      <c r="A70" s="6" t="str">
        <f>IFERROR(__xludf.DUMMYFUNCTION("""COMPUTED_VALUE"""),"")</f>
        <v/>
      </c>
      <c r="B70" s="7"/>
      <c r="C70" s="8"/>
      <c r="D70" s="7"/>
      <c r="E70" s="7"/>
      <c r="F70" s="7"/>
      <c r="G70" s="8"/>
      <c r="H70" s="6"/>
      <c r="I70" s="9"/>
      <c r="J70" s="9"/>
      <c r="K70" s="9"/>
      <c r="L70" s="10"/>
      <c r="M70" s="11"/>
      <c r="N70" s="12"/>
      <c r="O70" s="12"/>
      <c r="P70" s="12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1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1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1">
        <f>IFERROR(__xludf.DUMMYFUNCTION("""COMPUTED_VALUE"""),0.0)</f>
        <v>0</v>
      </c>
      <c r="BD70" s="11">
        <f>IFERROR(__xludf.DUMMYFUNCTION("""COMPUTED_VALUE"""),0.0)</f>
        <v>0</v>
      </c>
      <c r="BE70" s="11">
        <f>IFERROR(__xludf.DUMMYFUNCTION("""COMPUTED_VALUE"""),0.0)</f>
        <v>0</v>
      </c>
      <c r="BF70" s="13">
        <f>IFERROR(__xludf.DUMMYFUNCTION("""COMPUTED_VALUE"""),0.0)</f>
        <v>0</v>
      </c>
      <c r="BG70" s="12"/>
      <c r="BH70" s="12"/>
      <c r="BI70" s="12"/>
      <c r="BJ70" s="14"/>
      <c r="BK70" s="14"/>
      <c r="BL70" s="14"/>
      <c r="BM70" s="14"/>
      <c r="BN70" s="14"/>
      <c r="BO70" s="14"/>
    </row>
    <row r="71">
      <c r="A71" s="15" t="str">
        <f>IFERROR(__xludf.DUMMYFUNCTION("""COMPUTED_VALUE"""),"")</f>
        <v/>
      </c>
      <c r="B71" s="16"/>
      <c r="C71" s="17"/>
      <c r="D71" s="16"/>
      <c r="E71" s="16"/>
      <c r="F71" s="16"/>
      <c r="G71" s="17"/>
      <c r="H71" s="15"/>
      <c r="I71" s="18"/>
      <c r="J71" s="18"/>
      <c r="K71" s="18"/>
      <c r="L71" s="19"/>
      <c r="M71" s="20"/>
      <c r="N71" s="20"/>
      <c r="O71" s="20"/>
      <c r="P71" s="20"/>
      <c r="Q71" s="21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1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1">
        <f>IFERROR(__xludf.DUMMYFUNCTION("""COMPUTED_VALUE"""),0.0)</f>
        <v>0</v>
      </c>
      <c r="BD71" s="21">
        <f>IFERROR(__xludf.DUMMYFUNCTION("""COMPUTED_VALUE"""),0.0)</f>
        <v>0</v>
      </c>
      <c r="BE71" s="21">
        <f>IFERROR(__xludf.DUMMYFUNCTION("""COMPUTED_VALUE"""),0.0)</f>
        <v>0</v>
      </c>
      <c r="BF71" s="22">
        <f>IFERROR(__xludf.DUMMYFUNCTION("""COMPUTED_VALUE"""),0.0)</f>
        <v>0</v>
      </c>
      <c r="BG71" s="20"/>
      <c r="BH71" s="20"/>
      <c r="BI71" s="20"/>
      <c r="BJ71" s="14"/>
      <c r="BK71" s="14"/>
      <c r="BL71" s="14"/>
      <c r="BM71" s="14"/>
      <c r="BN71" s="14"/>
      <c r="BO71" s="14"/>
    </row>
    <row r="72">
      <c r="A72" s="6" t="str">
        <f>IFERROR(__xludf.DUMMYFUNCTION("""COMPUTED_VALUE"""),"")</f>
        <v/>
      </c>
      <c r="B72" s="7"/>
      <c r="C72" s="8"/>
      <c r="D72" s="7"/>
      <c r="E72" s="7"/>
      <c r="F72" s="7"/>
      <c r="G72" s="8"/>
      <c r="H72" s="6"/>
      <c r="I72" s="9"/>
      <c r="J72" s="9"/>
      <c r="K72" s="9"/>
      <c r="L72" s="10"/>
      <c r="M72" s="12"/>
      <c r="N72" s="12"/>
      <c r="O72" s="12"/>
      <c r="P72" s="12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1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1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1">
        <f>IFERROR(__xludf.DUMMYFUNCTION("""COMPUTED_VALUE"""),0.0)</f>
        <v>0</v>
      </c>
      <c r="BD72" s="11">
        <f>IFERROR(__xludf.DUMMYFUNCTION("""COMPUTED_VALUE"""),0.0)</f>
        <v>0</v>
      </c>
      <c r="BE72" s="11">
        <f>IFERROR(__xludf.DUMMYFUNCTION("""COMPUTED_VALUE"""),0.0)</f>
        <v>0</v>
      </c>
      <c r="BF72" s="13">
        <f>IFERROR(__xludf.DUMMYFUNCTION("""COMPUTED_VALUE"""),0.0)</f>
        <v>0</v>
      </c>
      <c r="BG72" s="12"/>
      <c r="BH72" s="12"/>
      <c r="BI72" s="12"/>
      <c r="BJ72" s="14"/>
      <c r="BK72" s="14"/>
      <c r="BL72" s="14"/>
      <c r="BM72" s="14"/>
      <c r="BN72" s="14"/>
      <c r="BO72" s="14"/>
    </row>
    <row r="73">
      <c r="A73" s="15" t="str">
        <f>IFERROR(__xludf.DUMMYFUNCTION("""COMPUTED_VALUE"""),"")</f>
        <v/>
      </c>
      <c r="B73" s="16"/>
      <c r="C73" s="17"/>
      <c r="D73" s="16"/>
      <c r="E73" s="16"/>
      <c r="F73" s="16"/>
      <c r="G73" s="17"/>
      <c r="H73" s="15"/>
      <c r="I73" s="20"/>
      <c r="J73" s="18"/>
      <c r="K73" s="18"/>
      <c r="L73" s="19"/>
      <c r="M73" s="20"/>
      <c r="N73" s="20"/>
      <c r="O73" s="20"/>
      <c r="P73" s="21"/>
      <c r="Q73" s="21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1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1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1">
        <f>IFERROR(__xludf.DUMMYFUNCTION("""COMPUTED_VALUE"""),0.0)</f>
        <v>0</v>
      </c>
      <c r="BD73" s="21">
        <f>IFERROR(__xludf.DUMMYFUNCTION("""COMPUTED_VALUE"""),0.0)</f>
        <v>0</v>
      </c>
      <c r="BE73" s="21">
        <f>IFERROR(__xludf.DUMMYFUNCTION("""COMPUTED_VALUE"""),0.0)</f>
        <v>0</v>
      </c>
      <c r="BF73" s="22">
        <f>IFERROR(__xludf.DUMMYFUNCTION("""COMPUTED_VALUE"""),0.0)</f>
        <v>0</v>
      </c>
      <c r="BG73" s="20"/>
      <c r="BH73" s="20"/>
      <c r="BI73" s="20"/>
      <c r="BJ73" s="14"/>
      <c r="BK73" s="14"/>
      <c r="BL73" s="14"/>
      <c r="BM73" s="14"/>
      <c r="BN73" s="14"/>
      <c r="BO73" s="14"/>
    </row>
    <row r="74">
      <c r="A74" s="6" t="str">
        <f>IFERROR(__xludf.DUMMYFUNCTION("""COMPUTED_VALUE"""),"")</f>
        <v/>
      </c>
      <c r="B74" s="7"/>
      <c r="C74" s="8"/>
      <c r="D74" s="7"/>
      <c r="E74" s="7"/>
      <c r="F74" s="7"/>
      <c r="G74" s="8"/>
      <c r="H74" s="6"/>
      <c r="I74" s="9"/>
      <c r="J74" s="9"/>
      <c r="K74" s="9"/>
      <c r="L74" s="10"/>
      <c r="M74" s="12"/>
      <c r="N74" s="12"/>
      <c r="O74" s="12"/>
      <c r="P74" s="12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1">
        <f>IFERROR(__xludf.DUMMYFUNCTION("""COMPUTED_VALUE"""),0.0)</f>
        <v>0</v>
      </c>
      <c r="BD74" s="11">
        <f>IFERROR(__xludf.DUMMYFUNCTION("""COMPUTED_VALUE"""),0.0)</f>
        <v>0</v>
      </c>
      <c r="BE74" s="11">
        <f>IFERROR(__xludf.DUMMYFUNCTION("""COMPUTED_VALUE"""),0.0)</f>
        <v>0</v>
      </c>
      <c r="BF74" s="13">
        <f>IFERROR(__xludf.DUMMYFUNCTION("""COMPUTED_VALUE"""),0.0)</f>
        <v>0</v>
      </c>
      <c r="BG74" s="12"/>
      <c r="BH74" s="12"/>
      <c r="BI74" s="12"/>
      <c r="BJ74" s="14"/>
      <c r="BK74" s="14"/>
      <c r="BL74" s="14"/>
      <c r="BM74" s="14"/>
      <c r="BN74" s="14"/>
      <c r="BO74" s="14"/>
    </row>
    <row r="75">
      <c r="A75" s="15" t="str">
        <f>IFERROR(__xludf.DUMMYFUNCTION("""COMPUTED_VALUE"""),"")</f>
        <v/>
      </c>
      <c r="B75" s="16"/>
      <c r="C75" s="17"/>
      <c r="D75" s="16"/>
      <c r="E75" s="16"/>
      <c r="F75" s="16"/>
      <c r="G75" s="17"/>
      <c r="H75" s="15"/>
      <c r="I75" s="20"/>
      <c r="J75" s="18"/>
      <c r="K75" s="18"/>
      <c r="L75" s="19"/>
      <c r="M75" s="20"/>
      <c r="N75" s="20"/>
      <c r="O75" s="20"/>
      <c r="P75" s="21"/>
      <c r="Q75" s="21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1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1">
        <f>IFERROR(__xludf.DUMMYFUNCTION("""COMPUTED_VALUE"""),0.0)</f>
        <v>0</v>
      </c>
      <c r="BD75" s="21">
        <f>IFERROR(__xludf.DUMMYFUNCTION("""COMPUTED_VALUE"""),0.0)</f>
        <v>0</v>
      </c>
      <c r="BE75" s="21">
        <f>IFERROR(__xludf.DUMMYFUNCTION("""COMPUTED_VALUE"""),0.0)</f>
        <v>0</v>
      </c>
      <c r="BF75" s="22">
        <f>IFERROR(__xludf.DUMMYFUNCTION("""COMPUTED_VALUE"""),0.0)</f>
        <v>0</v>
      </c>
      <c r="BG75" s="20"/>
      <c r="BH75" s="20"/>
      <c r="BI75" s="20"/>
      <c r="BJ75" s="14"/>
      <c r="BK75" s="14"/>
      <c r="BL75" s="14"/>
      <c r="BM75" s="14"/>
      <c r="BN75" s="14"/>
      <c r="BO75" s="14"/>
    </row>
    <row r="76">
      <c r="A76" s="6" t="str">
        <f>IFERROR(__xludf.DUMMYFUNCTION("""COMPUTED_VALUE"""),"")</f>
        <v/>
      </c>
      <c r="B76" s="7"/>
      <c r="C76" s="8"/>
      <c r="D76" s="7"/>
      <c r="E76" s="7"/>
      <c r="F76" s="7"/>
      <c r="G76" s="8"/>
      <c r="H76" s="6"/>
      <c r="I76" s="9"/>
      <c r="J76" s="9"/>
      <c r="K76" s="9"/>
      <c r="L76" s="10"/>
      <c r="M76" s="11"/>
      <c r="N76" s="11"/>
      <c r="O76" s="11"/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1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1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1">
        <f>IFERROR(__xludf.DUMMYFUNCTION("""COMPUTED_VALUE"""),0.0)</f>
        <v>0</v>
      </c>
      <c r="BD76" s="11">
        <f>IFERROR(__xludf.DUMMYFUNCTION("""COMPUTED_VALUE"""),0.0)</f>
        <v>0</v>
      </c>
      <c r="BE76" s="11">
        <f>IFERROR(__xludf.DUMMYFUNCTION("""COMPUTED_VALUE"""),0.0)</f>
        <v>0</v>
      </c>
      <c r="BF76" s="13">
        <f>IFERROR(__xludf.DUMMYFUNCTION("""COMPUTED_VALUE"""),0.0)</f>
        <v>0</v>
      </c>
      <c r="BG76" s="12"/>
      <c r="BH76" s="12"/>
      <c r="BI76" s="12"/>
      <c r="BJ76" s="14"/>
      <c r="BK76" s="14"/>
      <c r="BL76" s="14"/>
      <c r="BM76" s="14"/>
      <c r="BN76" s="14"/>
      <c r="BO76" s="14"/>
    </row>
    <row r="77">
      <c r="A77" s="15" t="str">
        <f>IFERROR(__xludf.DUMMYFUNCTION("""COMPUTED_VALUE"""),"")</f>
        <v/>
      </c>
      <c r="B77" s="16"/>
      <c r="C77" s="17"/>
      <c r="D77" s="16"/>
      <c r="E77" s="16"/>
      <c r="F77" s="16"/>
      <c r="G77" s="17"/>
      <c r="H77" s="15"/>
      <c r="I77" s="20"/>
      <c r="J77" s="18"/>
      <c r="K77" s="18"/>
      <c r="L77" s="19"/>
      <c r="M77" s="20"/>
      <c r="N77" s="20"/>
      <c r="O77" s="20"/>
      <c r="P77" s="20"/>
      <c r="Q77" s="21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1">
        <f>IFERROR(__xludf.DUMMYFUNCTION("""COMPUTED_VALUE"""),0.0)</f>
        <v>0</v>
      </c>
      <c r="BD77" s="21">
        <f>IFERROR(__xludf.DUMMYFUNCTION("""COMPUTED_VALUE"""),0.0)</f>
        <v>0</v>
      </c>
      <c r="BE77" s="21">
        <f>IFERROR(__xludf.DUMMYFUNCTION("""COMPUTED_VALUE"""),0.0)</f>
        <v>0</v>
      </c>
      <c r="BF77" s="22">
        <f>IFERROR(__xludf.DUMMYFUNCTION("""COMPUTED_VALUE"""),0.0)</f>
        <v>0</v>
      </c>
      <c r="BG77" s="20"/>
      <c r="BH77" s="20"/>
      <c r="BI77" s="20"/>
      <c r="BJ77" s="14"/>
      <c r="BK77" s="14"/>
      <c r="BL77" s="14"/>
      <c r="BM77" s="14"/>
      <c r="BN77" s="14"/>
      <c r="BO77" s="14"/>
    </row>
    <row r="78">
      <c r="A78" s="6" t="str">
        <f>IFERROR(__xludf.DUMMYFUNCTION("""COMPUTED_VALUE"""),"")</f>
        <v/>
      </c>
      <c r="B78" s="7"/>
      <c r="C78" s="8"/>
      <c r="D78" s="7"/>
      <c r="E78" s="7"/>
      <c r="F78" s="7"/>
      <c r="G78" s="8"/>
      <c r="H78" s="6"/>
      <c r="I78" s="9"/>
      <c r="J78" s="9"/>
      <c r="K78" s="9"/>
      <c r="L78" s="10"/>
      <c r="M78" s="12"/>
      <c r="N78" s="12"/>
      <c r="O78" s="12"/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1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1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1">
        <f>IFERROR(__xludf.DUMMYFUNCTION("""COMPUTED_VALUE"""),0.0)</f>
        <v>0</v>
      </c>
      <c r="BD78" s="11">
        <f>IFERROR(__xludf.DUMMYFUNCTION("""COMPUTED_VALUE"""),0.0)</f>
        <v>0</v>
      </c>
      <c r="BE78" s="11">
        <f>IFERROR(__xludf.DUMMYFUNCTION("""COMPUTED_VALUE"""),0.0)</f>
        <v>0</v>
      </c>
      <c r="BF78" s="13">
        <f>IFERROR(__xludf.DUMMYFUNCTION("""COMPUTED_VALUE"""),0.0)</f>
        <v>0</v>
      </c>
      <c r="BG78" s="12"/>
      <c r="BH78" s="12"/>
      <c r="BI78" s="12"/>
      <c r="BJ78" s="14"/>
      <c r="BK78" s="14"/>
      <c r="BL78" s="14"/>
      <c r="BM78" s="14"/>
      <c r="BN78" s="14"/>
      <c r="BO78" s="14"/>
    </row>
    <row r="79">
      <c r="A79" s="15" t="str">
        <f>IFERROR(__xludf.DUMMYFUNCTION("""COMPUTED_VALUE"""),"")</f>
        <v/>
      </c>
      <c r="B79" s="16"/>
      <c r="C79" s="17"/>
      <c r="D79" s="16"/>
      <c r="E79" s="16"/>
      <c r="F79" s="16"/>
      <c r="G79" s="17"/>
      <c r="H79" s="15"/>
      <c r="I79" s="18"/>
      <c r="J79" s="18"/>
      <c r="K79" s="18"/>
      <c r="L79" s="19"/>
      <c r="M79" s="21"/>
      <c r="N79" s="20"/>
      <c r="O79" s="20"/>
      <c r="P79" s="20"/>
      <c r="Q79" s="21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1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1">
        <f>IFERROR(__xludf.DUMMYFUNCTION("""COMPUTED_VALUE"""),0.0)</f>
        <v>0</v>
      </c>
      <c r="BD79" s="21">
        <f>IFERROR(__xludf.DUMMYFUNCTION("""COMPUTED_VALUE"""),0.0)</f>
        <v>0</v>
      </c>
      <c r="BE79" s="21">
        <f>IFERROR(__xludf.DUMMYFUNCTION("""COMPUTED_VALUE"""),0.0)</f>
        <v>0</v>
      </c>
      <c r="BF79" s="22">
        <f>IFERROR(__xludf.DUMMYFUNCTION("""COMPUTED_VALUE"""),0.0)</f>
        <v>0</v>
      </c>
      <c r="BG79" s="20"/>
      <c r="BH79" s="20"/>
      <c r="BI79" s="20"/>
      <c r="BJ79" s="14"/>
      <c r="BK79" s="14"/>
      <c r="BL79" s="14"/>
      <c r="BM79" s="14"/>
      <c r="BN79" s="14"/>
      <c r="BO79" s="14"/>
    </row>
    <row r="80">
      <c r="A80" s="6" t="str">
        <f>IFERROR(__xludf.DUMMYFUNCTION("""COMPUTED_VALUE"""),"")</f>
        <v/>
      </c>
      <c r="B80" s="7"/>
      <c r="C80" s="8"/>
      <c r="D80" s="7"/>
      <c r="E80" s="7"/>
      <c r="F80" s="7"/>
      <c r="G80" s="8"/>
      <c r="H80" s="6"/>
      <c r="I80" s="9"/>
      <c r="J80" s="9"/>
      <c r="K80" s="9"/>
      <c r="L80" s="10"/>
      <c r="M80" s="12"/>
      <c r="N80" s="12"/>
      <c r="O80" s="12"/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1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1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1">
        <f>IFERROR(__xludf.DUMMYFUNCTION("""COMPUTED_VALUE"""),0.0)</f>
        <v>0</v>
      </c>
      <c r="BD80" s="11">
        <f>IFERROR(__xludf.DUMMYFUNCTION("""COMPUTED_VALUE"""),0.0)</f>
        <v>0</v>
      </c>
      <c r="BE80" s="11">
        <f>IFERROR(__xludf.DUMMYFUNCTION("""COMPUTED_VALUE"""),0.0)</f>
        <v>0</v>
      </c>
      <c r="BF80" s="13">
        <f>IFERROR(__xludf.DUMMYFUNCTION("""COMPUTED_VALUE"""),0.0)</f>
        <v>0</v>
      </c>
      <c r="BG80" s="12"/>
      <c r="BH80" s="12"/>
      <c r="BI80" s="12"/>
      <c r="BJ80" s="14"/>
      <c r="BK80" s="14"/>
      <c r="BL80" s="14"/>
      <c r="BM80" s="14"/>
      <c r="BN80" s="14"/>
      <c r="BO80" s="14"/>
    </row>
    <row r="81">
      <c r="A81" s="15" t="str">
        <f>IFERROR(__xludf.DUMMYFUNCTION("""COMPUTED_VALUE"""),"")</f>
        <v/>
      </c>
      <c r="B81" s="16"/>
      <c r="C81" s="17"/>
      <c r="D81" s="16"/>
      <c r="E81" s="16"/>
      <c r="F81" s="16"/>
      <c r="G81" s="17"/>
      <c r="H81" s="15"/>
      <c r="I81" s="18"/>
      <c r="J81" s="18"/>
      <c r="K81" s="18"/>
      <c r="L81" s="19"/>
      <c r="M81" s="20"/>
      <c r="N81" s="20"/>
      <c r="O81" s="20"/>
      <c r="P81" s="21"/>
      <c r="Q81" s="21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1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1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1">
        <f>IFERROR(__xludf.DUMMYFUNCTION("""COMPUTED_VALUE"""),0.0)</f>
        <v>0</v>
      </c>
      <c r="BD81" s="21">
        <f>IFERROR(__xludf.DUMMYFUNCTION("""COMPUTED_VALUE"""),0.0)</f>
        <v>0</v>
      </c>
      <c r="BE81" s="21">
        <f>IFERROR(__xludf.DUMMYFUNCTION("""COMPUTED_VALUE"""),0.0)</f>
        <v>0</v>
      </c>
      <c r="BF81" s="22">
        <f>IFERROR(__xludf.DUMMYFUNCTION("""COMPUTED_VALUE"""),0.0)</f>
        <v>0</v>
      </c>
      <c r="BG81" s="20"/>
      <c r="BH81" s="20"/>
      <c r="BI81" s="20"/>
      <c r="BJ81" s="14"/>
      <c r="BK81" s="14"/>
      <c r="BL81" s="14"/>
      <c r="BM81" s="14"/>
      <c r="BN81" s="14"/>
      <c r="BO81" s="14"/>
    </row>
    <row r="82">
      <c r="A82" s="6" t="str">
        <f>IFERROR(__xludf.DUMMYFUNCTION("""COMPUTED_VALUE"""),"")</f>
        <v/>
      </c>
      <c r="B82" s="7"/>
      <c r="C82" s="8"/>
      <c r="D82" s="7"/>
      <c r="E82" s="7"/>
      <c r="F82" s="7"/>
      <c r="G82" s="8"/>
      <c r="H82" s="6"/>
      <c r="I82" s="9"/>
      <c r="J82" s="9"/>
      <c r="K82" s="9"/>
      <c r="L82" s="10"/>
      <c r="M82" s="11"/>
      <c r="N82" s="12"/>
      <c r="O82" s="12"/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1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1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1">
        <f>IFERROR(__xludf.DUMMYFUNCTION("""COMPUTED_VALUE"""),0.0)</f>
        <v>0</v>
      </c>
      <c r="BD82" s="11">
        <f>IFERROR(__xludf.DUMMYFUNCTION("""COMPUTED_VALUE"""),0.0)</f>
        <v>0</v>
      </c>
      <c r="BE82" s="11">
        <f>IFERROR(__xludf.DUMMYFUNCTION("""COMPUTED_VALUE"""),0.0)</f>
        <v>0</v>
      </c>
      <c r="BF82" s="13">
        <f>IFERROR(__xludf.DUMMYFUNCTION("""COMPUTED_VALUE"""),0.0)</f>
        <v>0</v>
      </c>
      <c r="BG82" s="12"/>
      <c r="BH82" s="12"/>
      <c r="BI82" s="12"/>
      <c r="BJ82" s="14"/>
      <c r="BK82" s="14"/>
      <c r="BL82" s="14"/>
      <c r="BM82" s="14"/>
      <c r="BN82" s="14"/>
      <c r="BO82" s="14"/>
    </row>
    <row r="83">
      <c r="A83" s="15" t="str">
        <f>IFERROR(__xludf.DUMMYFUNCTION("""COMPUTED_VALUE"""),"")</f>
        <v/>
      </c>
      <c r="B83" s="16"/>
      <c r="C83" s="17"/>
      <c r="D83" s="16"/>
      <c r="E83" s="16"/>
      <c r="F83" s="16"/>
      <c r="G83" s="17"/>
      <c r="H83" s="15"/>
      <c r="I83" s="18"/>
      <c r="J83" s="18"/>
      <c r="K83" s="18"/>
      <c r="L83" s="19"/>
      <c r="M83" s="20"/>
      <c r="N83" s="20"/>
      <c r="O83" s="20"/>
      <c r="P83" s="21"/>
      <c r="Q83" s="21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1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1">
        <f>IFERROR(__xludf.DUMMYFUNCTION("""COMPUTED_VALUE"""),0.0)</f>
        <v>0</v>
      </c>
      <c r="BD83" s="21">
        <f>IFERROR(__xludf.DUMMYFUNCTION("""COMPUTED_VALUE"""),0.0)</f>
        <v>0</v>
      </c>
      <c r="BE83" s="21">
        <f>IFERROR(__xludf.DUMMYFUNCTION("""COMPUTED_VALUE"""),0.0)</f>
        <v>0</v>
      </c>
      <c r="BF83" s="22">
        <f>IFERROR(__xludf.DUMMYFUNCTION("""COMPUTED_VALUE"""),0.0)</f>
        <v>0</v>
      </c>
      <c r="BG83" s="20"/>
      <c r="BH83" s="20"/>
      <c r="BI83" s="20"/>
      <c r="BJ83" s="14"/>
      <c r="BK83" s="14"/>
      <c r="BL83" s="14"/>
      <c r="BM83" s="14"/>
      <c r="BN83" s="14"/>
      <c r="BO83" s="14"/>
    </row>
    <row r="84">
      <c r="A84" s="6" t="str">
        <f>IFERROR(__xludf.DUMMYFUNCTION("""COMPUTED_VALUE"""),"")</f>
        <v/>
      </c>
      <c r="B84" s="7"/>
      <c r="C84" s="8"/>
      <c r="D84" s="7"/>
      <c r="E84" s="7"/>
      <c r="F84" s="7"/>
      <c r="G84" s="8"/>
      <c r="H84" s="6"/>
      <c r="I84" s="9"/>
      <c r="J84" s="9"/>
      <c r="K84" s="9"/>
      <c r="L84" s="10"/>
      <c r="M84" s="12"/>
      <c r="N84" s="12"/>
      <c r="O84" s="12"/>
      <c r="P84" s="12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1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1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1">
        <f>IFERROR(__xludf.DUMMYFUNCTION("""COMPUTED_VALUE"""),0.0)</f>
        <v>0</v>
      </c>
      <c r="BD84" s="11">
        <f>IFERROR(__xludf.DUMMYFUNCTION("""COMPUTED_VALUE"""),0.0)</f>
        <v>0</v>
      </c>
      <c r="BE84" s="11">
        <f>IFERROR(__xludf.DUMMYFUNCTION("""COMPUTED_VALUE"""),0.0)</f>
        <v>0</v>
      </c>
      <c r="BF84" s="13">
        <f>IFERROR(__xludf.DUMMYFUNCTION("""COMPUTED_VALUE"""),0.0)</f>
        <v>0</v>
      </c>
      <c r="BG84" s="12"/>
      <c r="BH84" s="12"/>
      <c r="BI84" s="12"/>
      <c r="BJ84" s="14"/>
      <c r="BK84" s="14"/>
      <c r="BL84" s="14"/>
      <c r="BM84" s="14"/>
      <c r="BN84" s="14"/>
      <c r="BO84" s="14"/>
    </row>
    <row r="85">
      <c r="A85" s="15" t="str">
        <f>IFERROR(__xludf.DUMMYFUNCTION("""COMPUTED_VALUE"""),"")</f>
        <v/>
      </c>
      <c r="B85" s="16"/>
      <c r="C85" s="17"/>
      <c r="D85" s="16"/>
      <c r="E85" s="16"/>
      <c r="F85" s="16"/>
      <c r="G85" s="17"/>
      <c r="H85" s="15"/>
      <c r="I85" s="18"/>
      <c r="J85" s="18"/>
      <c r="K85" s="18"/>
      <c r="L85" s="19"/>
      <c r="M85" s="20"/>
      <c r="N85" s="20"/>
      <c r="O85" s="20"/>
      <c r="P85" s="20"/>
      <c r="Q85" s="2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1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1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1">
        <f>IFERROR(__xludf.DUMMYFUNCTION("""COMPUTED_VALUE"""),0.0)</f>
        <v>0</v>
      </c>
      <c r="BD85" s="21">
        <f>IFERROR(__xludf.DUMMYFUNCTION("""COMPUTED_VALUE"""),0.0)</f>
        <v>0</v>
      </c>
      <c r="BE85" s="21">
        <f>IFERROR(__xludf.DUMMYFUNCTION("""COMPUTED_VALUE"""),0.0)</f>
        <v>0</v>
      </c>
      <c r="BF85" s="22">
        <f>IFERROR(__xludf.DUMMYFUNCTION("""COMPUTED_VALUE"""),0.0)</f>
        <v>0</v>
      </c>
      <c r="BG85" s="20"/>
      <c r="BH85" s="20"/>
      <c r="BI85" s="20"/>
      <c r="BJ85" s="14"/>
      <c r="BK85" s="14"/>
      <c r="BL85" s="14"/>
      <c r="BM85" s="14"/>
      <c r="BN85" s="14"/>
      <c r="BO85" s="14"/>
    </row>
    <row r="86">
      <c r="A86" s="6" t="str">
        <f>IFERROR(__xludf.DUMMYFUNCTION("""COMPUTED_VALUE"""),"")</f>
        <v/>
      </c>
      <c r="B86" s="7"/>
      <c r="C86" s="8"/>
      <c r="D86" s="7"/>
      <c r="E86" s="7"/>
      <c r="F86" s="7"/>
      <c r="G86" s="8"/>
      <c r="H86" s="6"/>
      <c r="I86" s="9"/>
      <c r="J86" s="9"/>
      <c r="K86" s="9"/>
      <c r="L86" s="10"/>
      <c r="M86" s="12"/>
      <c r="N86" s="12"/>
      <c r="O86" s="12"/>
      <c r="P86" s="12"/>
      <c r="Q86" s="11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1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1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1">
        <f>IFERROR(__xludf.DUMMYFUNCTION("""COMPUTED_VALUE"""),0.0)</f>
        <v>0</v>
      </c>
      <c r="BD86" s="11">
        <f>IFERROR(__xludf.DUMMYFUNCTION("""COMPUTED_VALUE"""),0.0)</f>
        <v>0</v>
      </c>
      <c r="BE86" s="11">
        <f>IFERROR(__xludf.DUMMYFUNCTION("""COMPUTED_VALUE"""),0.0)</f>
        <v>0</v>
      </c>
      <c r="BF86" s="13">
        <f>IFERROR(__xludf.DUMMYFUNCTION("""COMPUTED_VALUE"""),0.0)</f>
        <v>0</v>
      </c>
      <c r="BG86" s="12"/>
      <c r="BH86" s="12"/>
      <c r="BI86" s="12"/>
      <c r="BJ86" s="14"/>
      <c r="BK86" s="14"/>
      <c r="BL86" s="14"/>
      <c r="BM86" s="14"/>
      <c r="BN86" s="14"/>
      <c r="BO86" s="14"/>
    </row>
    <row r="87">
      <c r="A87" s="15" t="str">
        <f>IFERROR(__xludf.DUMMYFUNCTION("""COMPUTED_VALUE"""),"")</f>
        <v/>
      </c>
      <c r="B87" s="16"/>
      <c r="C87" s="17"/>
      <c r="D87" s="16"/>
      <c r="E87" s="16"/>
      <c r="F87" s="16"/>
      <c r="G87" s="17"/>
      <c r="H87" s="15"/>
      <c r="I87" s="18"/>
      <c r="J87" s="18"/>
      <c r="K87" s="18"/>
      <c r="L87" s="19"/>
      <c r="M87" s="21"/>
      <c r="N87" s="20"/>
      <c r="O87" s="21"/>
      <c r="P87" s="21"/>
      <c r="Q87" s="2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1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1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1">
        <f>IFERROR(__xludf.DUMMYFUNCTION("""COMPUTED_VALUE"""),0.0)</f>
        <v>0</v>
      </c>
      <c r="BD87" s="21">
        <f>IFERROR(__xludf.DUMMYFUNCTION("""COMPUTED_VALUE"""),0.0)</f>
        <v>0</v>
      </c>
      <c r="BE87" s="21">
        <f>IFERROR(__xludf.DUMMYFUNCTION("""COMPUTED_VALUE"""),0.0)</f>
        <v>0</v>
      </c>
      <c r="BF87" s="22">
        <f>IFERROR(__xludf.DUMMYFUNCTION("""COMPUTED_VALUE"""),0.0)</f>
        <v>0</v>
      </c>
      <c r="BG87" s="20"/>
      <c r="BH87" s="20"/>
      <c r="BI87" s="20"/>
      <c r="BJ87" s="14"/>
      <c r="BK87" s="14"/>
      <c r="BL87" s="14"/>
      <c r="BM87" s="14"/>
      <c r="BN87" s="14"/>
      <c r="BO87" s="14"/>
    </row>
    <row r="88">
      <c r="A88" s="6" t="str">
        <f>IFERROR(__xludf.DUMMYFUNCTION("""COMPUTED_VALUE"""),"")</f>
        <v/>
      </c>
      <c r="B88" s="7"/>
      <c r="C88" s="8"/>
      <c r="D88" s="7"/>
      <c r="E88" s="7"/>
      <c r="F88" s="7"/>
      <c r="G88" s="8"/>
      <c r="H88" s="6"/>
      <c r="I88" s="9"/>
      <c r="J88" s="9"/>
      <c r="K88" s="9"/>
      <c r="L88" s="10"/>
      <c r="M88" s="12"/>
      <c r="N88" s="12"/>
      <c r="O88" s="12"/>
      <c r="P88" s="12"/>
      <c r="Q88" s="1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1">
        <f>IFERROR(__xludf.DUMMYFUNCTION("""COMPUTED_VALUE"""),0.0)</f>
        <v>0</v>
      </c>
      <c r="BD88" s="11">
        <f>IFERROR(__xludf.DUMMYFUNCTION("""COMPUTED_VALUE"""),0.0)</f>
        <v>0</v>
      </c>
      <c r="BE88" s="11">
        <f>IFERROR(__xludf.DUMMYFUNCTION("""COMPUTED_VALUE"""),0.0)</f>
        <v>0</v>
      </c>
      <c r="BF88" s="13">
        <f>IFERROR(__xludf.DUMMYFUNCTION("""COMPUTED_VALUE"""),0.0)</f>
        <v>0</v>
      </c>
      <c r="BG88" s="12"/>
      <c r="BH88" s="12"/>
      <c r="BI88" s="12"/>
      <c r="BJ88" s="14"/>
      <c r="BK88" s="14"/>
      <c r="BL88" s="14"/>
      <c r="BM88" s="14"/>
      <c r="BN88" s="14"/>
      <c r="BO88" s="14"/>
    </row>
    <row r="89">
      <c r="A89" s="15" t="str">
        <f>IFERROR(__xludf.DUMMYFUNCTION("""COMPUTED_VALUE"""),"")</f>
        <v/>
      </c>
      <c r="B89" s="16"/>
      <c r="C89" s="17"/>
      <c r="D89" s="16"/>
      <c r="E89" s="16"/>
      <c r="F89" s="16"/>
      <c r="G89" s="17"/>
      <c r="H89" s="15"/>
      <c r="I89" s="18"/>
      <c r="J89" s="18"/>
      <c r="K89" s="18"/>
      <c r="L89" s="19"/>
      <c r="M89" s="20"/>
      <c r="N89" s="20"/>
      <c r="O89" s="20"/>
      <c r="P89" s="21"/>
      <c r="Q89" s="2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1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1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1">
        <f>IFERROR(__xludf.DUMMYFUNCTION("""COMPUTED_VALUE"""),0.0)</f>
        <v>0</v>
      </c>
      <c r="BD89" s="21">
        <f>IFERROR(__xludf.DUMMYFUNCTION("""COMPUTED_VALUE"""),0.0)</f>
        <v>0</v>
      </c>
      <c r="BE89" s="21">
        <f>IFERROR(__xludf.DUMMYFUNCTION("""COMPUTED_VALUE"""),0.0)</f>
        <v>0</v>
      </c>
      <c r="BF89" s="22">
        <f>IFERROR(__xludf.DUMMYFUNCTION("""COMPUTED_VALUE"""),0.0)</f>
        <v>0</v>
      </c>
      <c r="BG89" s="20"/>
      <c r="BH89" s="20"/>
      <c r="BI89" s="20"/>
      <c r="BJ89" s="14"/>
      <c r="BK89" s="14"/>
      <c r="BL89" s="14"/>
      <c r="BM89" s="14"/>
      <c r="BN89" s="14"/>
      <c r="BO89" s="14"/>
    </row>
    <row r="90">
      <c r="A90" s="6" t="str">
        <f>IFERROR(__xludf.DUMMYFUNCTION("""COMPUTED_VALUE"""),"")</f>
        <v/>
      </c>
      <c r="B90" s="7"/>
      <c r="C90" s="8"/>
      <c r="D90" s="7"/>
      <c r="E90" s="7"/>
      <c r="F90" s="7"/>
      <c r="G90" s="8"/>
      <c r="H90" s="6"/>
      <c r="I90" s="9"/>
      <c r="J90" s="9"/>
      <c r="K90" s="9"/>
      <c r="L90" s="10"/>
      <c r="M90" s="12"/>
      <c r="N90" s="12"/>
      <c r="O90" s="12"/>
      <c r="P90" s="12"/>
      <c r="Q90" s="11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1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1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1">
        <f>IFERROR(__xludf.DUMMYFUNCTION("""COMPUTED_VALUE"""),0.0)</f>
        <v>0</v>
      </c>
      <c r="BD90" s="11">
        <f>IFERROR(__xludf.DUMMYFUNCTION("""COMPUTED_VALUE"""),0.0)</f>
        <v>0</v>
      </c>
      <c r="BE90" s="11">
        <f>IFERROR(__xludf.DUMMYFUNCTION("""COMPUTED_VALUE"""),0.0)</f>
        <v>0</v>
      </c>
      <c r="BF90" s="13">
        <f>IFERROR(__xludf.DUMMYFUNCTION("""COMPUTED_VALUE"""),0.0)</f>
        <v>0</v>
      </c>
      <c r="BG90" s="12"/>
      <c r="BH90" s="12"/>
      <c r="BI90" s="12"/>
      <c r="BJ90" s="14"/>
      <c r="BK90" s="14"/>
      <c r="BL90" s="14"/>
      <c r="BM90" s="14"/>
      <c r="BN90" s="14"/>
      <c r="BO90" s="14"/>
    </row>
    <row r="91">
      <c r="A91" s="15" t="str">
        <f>IFERROR(__xludf.DUMMYFUNCTION("""COMPUTED_VALUE"""),"")</f>
        <v/>
      </c>
      <c r="B91" s="16"/>
      <c r="C91" s="17"/>
      <c r="D91" s="16"/>
      <c r="E91" s="16"/>
      <c r="F91" s="16"/>
      <c r="G91" s="17"/>
      <c r="H91" s="15"/>
      <c r="I91" s="18"/>
      <c r="J91" s="18"/>
      <c r="K91" s="18"/>
      <c r="L91" s="19"/>
      <c r="M91" s="20"/>
      <c r="N91" s="20"/>
      <c r="O91" s="20"/>
      <c r="P91" s="21"/>
      <c r="Q91" s="21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1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1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1">
        <f>IFERROR(__xludf.DUMMYFUNCTION("""COMPUTED_VALUE"""),0.0)</f>
        <v>0</v>
      </c>
      <c r="BD91" s="21">
        <f>IFERROR(__xludf.DUMMYFUNCTION("""COMPUTED_VALUE"""),0.0)</f>
        <v>0</v>
      </c>
      <c r="BE91" s="21">
        <f>IFERROR(__xludf.DUMMYFUNCTION("""COMPUTED_VALUE"""),0.0)</f>
        <v>0</v>
      </c>
      <c r="BF91" s="22">
        <f>IFERROR(__xludf.DUMMYFUNCTION("""COMPUTED_VALUE"""),0.0)</f>
        <v>0</v>
      </c>
      <c r="BG91" s="20"/>
      <c r="BH91" s="20"/>
      <c r="BI91" s="20"/>
      <c r="BJ91" s="14"/>
      <c r="BK91" s="14"/>
      <c r="BL91" s="14"/>
      <c r="BM91" s="14"/>
      <c r="BN91" s="14"/>
      <c r="BO91" s="14"/>
    </row>
    <row r="92">
      <c r="A92" s="6" t="str">
        <f>IFERROR(__xludf.DUMMYFUNCTION("""COMPUTED_VALUE"""),"")</f>
        <v/>
      </c>
      <c r="B92" s="7"/>
      <c r="C92" s="8"/>
      <c r="D92" s="7"/>
      <c r="E92" s="7"/>
      <c r="F92" s="7"/>
      <c r="G92" s="8"/>
      <c r="H92" s="6"/>
      <c r="I92" s="9"/>
      <c r="J92" s="9"/>
      <c r="K92" s="9"/>
      <c r="L92" s="10"/>
      <c r="M92" s="11"/>
      <c r="N92" s="12"/>
      <c r="O92" s="12"/>
      <c r="P92" s="12"/>
      <c r="Q92" s="11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1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1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1">
        <f>IFERROR(__xludf.DUMMYFUNCTION("""COMPUTED_VALUE"""),0.0)</f>
        <v>0</v>
      </c>
      <c r="BD92" s="11">
        <f>IFERROR(__xludf.DUMMYFUNCTION("""COMPUTED_VALUE"""),0.0)</f>
        <v>0</v>
      </c>
      <c r="BE92" s="11">
        <f>IFERROR(__xludf.DUMMYFUNCTION("""COMPUTED_VALUE"""),0.0)</f>
        <v>0</v>
      </c>
      <c r="BF92" s="13">
        <f>IFERROR(__xludf.DUMMYFUNCTION("""COMPUTED_VALUE"""),0.0)</f>
        <v>0</v>
      </c>
      <c r="BG92" s="12"/>
      <c r="BH92" s="12"/>
      <c r="BI92" s="12"/>
      <c r="BJ92" s="14"/>
      <c r="BK92" s="14"/>
      <c r="BL92" s="14"/>
      <c r="BM92" s="14"/>
      <c r="BN92" s="14"/>
      <c r="BO92" s="14"/>
    </row>
    <row r="93">
      <c r="A93" s="15" t="str">
        <f>IFERROR(__xludf.DUMMYFUNCTION("""COMPUTED_VALUE"""),"")</f>
        <v/>
      </c>
      <c r="B93" s="16"/>
      <c r="C93" s="17"/>
      <c r="D93" s="16"/>
      <c r="E93" s="16"/>
      <c r="F93" s="16"/>
      <c r="G93" s="17"/>
      <c r="H93" s="15"/>
      <c r="I93" s="18"/>
      <c r="J93" s="18"/>
      <c r="K93" s="18"/>
      <c r="L93" s="19"/>
      <c r="M93" s="20"/>
      <c r="N93" s="20"/>
      <c r="O93" s="20"/>
      <c r="P93" s="21"/>
      <c r="Q93" s="21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1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1">
        <f>IFERROR(__xludf.DUMMYFUNCTION("""COMPUTED_VALUE"""),0.0)</f>
        <v>0</v>
      </c>
      <c r="BD93" s="21">
        <f>IFERROR(__xludf.DUMMYFUNCTION("""COMPUTED_VALUE"""),0.0)</f>
        <v>0</v>
      </c>
      <c r="BE93" s="21">
        <f>IFERROR(__xludf.DUMMYFUNCTION("""COMPUTED_VALUE"""),0.0)</f>
        <v>0</v>
      </c>
      <c r="BF93" s="22">
        <f>IFERROR(__xludf.DUMMYFUNCTION("""COMPUTED_VALUE"""),0.0)</f>
        <v>0</v>
      </c>
      <c r="BG93" s="20"/>
      <c r="BH93" s="20"/>
      <c r="BI93" s="20"/>
      <c r="BJ93" s="14"/>
      <c r="BK93" s="14"/>
      <c r="BL93" s="14"/>
      <c r="BM93" s="14"/>
      <c r="BN93" s="14"/>
      <c r="BO93" s="14"/>
    </row>
    <row r="94">
      <c r="A94" s="6" t="str">
        <f>IFERROR(__xludf.DUMMYFUNCTION("""COMPUTED_VALUE"""),"")</f>
        <v/>
      </c>
      <c r="B94" s="7"/>
      <c r="C94" s="8"/>
      <c r="D94" s="7"/>
      <c r="E94" s="7"/>
      <c r="F94" s="7"/>
      <c r="G94" s="8"/>
      <c r="H94" s="6"/>
      <c r="I94" s="9"/>
      <c r="J94" s="9"/>
      <c r="K94" s="9"/>
      <c r="L94" s="10"/>
      <c r="M94" s="12"/>
      <c r="N94" s="12"/>
      <c r="O94" s="12"/>
      <c r="P94" s="11"/>
      <c r="Q94" s="11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1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1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1">
        <f>IFERROR(__xludf.DUMMYFUNCTION("""COMPUTED_VALUE"""),0.0)</f>
        <v>0</v>
      </c>
      <c r="BD94" s="11">
        <f>IFERROR(__xludf.DUMMYFUNCTION("""COMPUTED_VALUE"""),0.0)</f>
        <v>0</v>
      </c>
      <c r="BE94" s="11">
        <f>IFERROR(__xludf.DUMMYFUNCTION("""COMPUTED_VALUE"""),0.0)</f>
        <v>0</v>
      </c>
      <c r="BF94" s="13">
        <f>IFERROR(__xludf.DUMMYFUNCTION("""COMPUTED_VALUE"""),0.0)</f>
        <v>0</v>
      </c>
      <c r="BG94" s="12"/>
      <c r="BH94" s="12"/>
      <c r="BI94" s="12"/>
      <c r="BJ94" s="14"/>
      <c r="BK94" s="14"/>
      <c r="BL94" s="14"/>
      <c r="BM94" s="14"/>
      <c r="BN94" s="14"/>
      <c r="BO94" s="14"/>
    </row>
    <row r="95">
      <c r="A95" s="15" t="str">
        <f>IFERROR(__xludf.DUMMYFUNCTION("""COMPUTED_VALUE"""),"")</f>
        <v/>
      </c>
      <c r="B95" s="16"/>
      <c r="C95" s="17"/>
      <c r="D95" s="16"/>
      <c r="E95" s="16"/>
      <c r="F95" s="16"/>
      <c r="G95" s="17"/>
      <c r="H95" s="15"/>
      <c r="I95" s="18"/>
      <c r="J95" s="18"/>
      <c r="K95" s="18"/>
      <c r="L95" s="19"/>
      <c r="M95" s="21"/>
      <c r="N95" s="20"/>
      <c r="O95" s="20"/>
      <c r="P95" s="21"/>
      <c r="Q95" s="21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1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1">
        <f>IFERROR(__xludf.DUMMYFUNCTION("""COMPUTED_VALUE"""),0.0)</f>
        <v>0</v>
      </c>
      <c r="BD95" s="21">
        <f>IFERROR(__xludf.DUMMYFUNCTION("""COMPUTED_VALUE"""),0.0)</f>
        <v>0</v>
      </c>
      <c r="BE95" s="21">
        <f>IFERROR(__xludf.DUMMYFUNCTION("""COMPUTED_VALUE"""),0.0)</f>
        <v>0</v>
      </c>
      <c r="BF95" s="22">
        <f>IFERROR(__xludf.DUMMYFUNCTION("""COMPUTED_VALUE"""),0.0)</f>
        <v>0</v>
      </c>
      <c r="BG95" s="20"/>
      <c r="BH95" s="20"/>
      <c r="BI95" s="20"/>
      <c r="BJ95" s="14"/>
      <c r="BK95" s="14"/>
      <c r="BL95" s="14"/>
      <c r="BM95" s="14"/>
      <c r="BN95" s="14"/>
      <c r="BO95" s="14"/>
    </row>
    <row r="96">
      <c r="A96" s="6" t="str">
        <f>IFERROR(__xludf.DUMMYFUNCTION("""COMPUTED_VALUE"""),"")</f>
        <v/>
      </c>
      <c r="B96" s="7"/>
      <c r="C96" s="8"/>
      <c r="D96" s="7"/>
      <c r="E96" s="7"/>
      <c r="F96" s="7"/>
      <c r="G96" s="8"/>
      <c r="H96" s="6"/>
      <c r="I96" s="9"/>
      <c r="J96" s="9"/>
      <c r="K96" s="9"/>
      <c r="L96" s="10"/>
      <c r="M96" s="12"/>
      <c r="N96" s="12"/>
      <c r="O96" s="12"/>
      <c r="P96" s="12"/>
      <c r="Q96" s="11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1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1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1">
        <f>IFERROR(__xludf.DUMMYFUNCTION("""COMPUTED_VALUE"""),0.0)</f>
        <v>0</v>
      </c>
      <c r="BD96" s="11">
        <f>IFERROR(__xludf.DUMMYFUNCTION("""COMPUTED_VALUE"""),0.0)</f>
        <v>0</v>
      </c>
      <c r="BE96" s="11">
        <f>IFERROR(__xludf.DUMMYFUNCTION("""COMPUTED_VALUE"""),0.0)</f>
        <v>0</v>
      </c>
      <c r="BF96" s="13">
        <f>IFERROR(__xludf.DUMMYFUNCTION("""COMPUTED_VALUE"""),0.0)</f>
        <v>0</v>
      </c>
      <c r="BG96" s="12"/>
      <c r="BH96" s="12"/>
      <c r="BI96" s="12"/>
      <c r="BJ96" s="14"/>
      <c r="BK96" s="14"/>
      <c r="BL96" s="14"/>
      <c r="BM96" s="14"/>
      <c r="BN96" s="14"/>
      <c r="BO96" s="14"/>
    </row>
    <row r="97">
      <c r="A97" s="15" t="str">
        <f>IFERROR(__xludf.DUMMYFUNCTION("""COMPUTED_VALUE"""),"")</f>
        <v/>
      </c>
      <c r="B97" s="16"/>
      <c r="C97" s="17"/>
      <c r="D97" s="16"/>
      <c r="E97" s="16"/>
      <c r="F97" s="16"/>
      <c r="G97" s="17"/>
      <c r="H97" s="15"/>
      <c r="I97" s="18"/>
      <c r="J97" s="18"/>
      <c r="K97" s="18"/>
      <c r="L97" s="19"/>
      <c r="M97" s="20"/>
      <c r="N97" s="20"/>
      <c r="O97" s="20"/>
      <c r="P97" s="20"/>
      <c r="Q97" s="21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1">
        <f>IFERROR(__xludf.DUMMYFUNCTION("""COMPUTED_VALUE"""),0.0)</f>
        <v>0</v>
      </c>
      <c r="BD97" s="21">
        <f>IFERROR(__xludf.DUMMYFUNCTION("""COMPUTED_VALUE"""),0.0)</f>
        <v>0</v>
      </c>
      <c r="BE97" s="21">
        <f>IFERROR(__xludf.DUMMYFUNCTION("""COMPUTED_VALUE"""),0.0)</f>
        <v>0</v>
      </c>
      <c r="BF97" s="22">
        <f>IFERROR(__xludf.DUMMYFUNCTION("""COMPUTED_VALUE"""),0.0)</f>
        <v>0</v>
      </c>
      <c r="BG97" s="20"/>
      <c r="BH97" s="20"/>
      <c r="BI97" s="20"/>
      <c r="BJ97" s="14"/>
      <c r="BK97" s="14"/>
      <c r="BL97" s="14"/>
      <c r="BM97" s="14"/>
      <c r="BN97" s="14"/>
      <c r="BO97" s="14"/>
    </row>
    <row r="98">
      <c r="A98" s="6" t="str">
        <f>IFERROR(__xludf.DUMMYFUNCTION("""COMPUTED_VALUE"""),"")</f>
        <v/>
      </c>
      <c r="B98" s="7"/>
      <c r="C98" s="8"/>
      <c r="D98" s="7"/>
      <c r="E98" s="7"/>
      <c r="F98" s="7"/>
      <c r="G98" s="8"/>
      <c r="H98" s="6"/>
      <c r="I98" s="9"/>
      <c r="J98" s="9"/>
      <c r="K98" s="9"/>
      <c r="L98" s="10"/>
      <c r="M98" s="12"/>
      <c r="N98" s="12"/>
      <c r="O98" s="12"/>
      <c r="P98" s="12"/>
      <c r="Q98" s="11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1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1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1">
        <f>IFERROR(__xludf.DUMMYFUNCTION("""COMPUTED_VALUE"""),0.0)</f>
        <v>0</v>
      </c>
      <c r="BD98" s="11">
        <f>IFERROR(__xludf.DUMMYFUNCTION("""COMPUTED_VALUE"""),0.0)</f>
        <v>0</v>
      </c>
      <c r="BE98" s="11">
        <f>IFERROR(__xludf.DUMMYFUNCTION("""COMPUTED_VALUE"""),0.0)</f>
        <v>0</v>
      </c>
      <c r="BF98" s="13">
        <f>IFERROR(__xludf.DUMMYFUNCTION("""COMPUTED_VALUE"""),0.0)</f>
        <v>0</v>
      </c>
      <c r="BG98" s="12"/>
      <c r="BH98" s="12"/>
      <c r="BI98" s="12"/>
      <c r="BJ98" s="14"/>
      <c r="BK98" s="14"/>
      <c r="BL98" s="14"/>
      <c r="BM98" s="14"/>
      <c r="BN98" s="14"/>
      <c r="BO98" s="14"/>
    </row>
    <row r="99">
      <c r="A99" s="15" t="str">
        <f>IFERROR(__xludf.DUMMYFUNCTION("""COMPUTED_VALUE"""),"")</f>
        <v/>
      </c>
      <c r="B99" s="16"/>
      <c r="C99" s="17"/>
      <c r="D99" s="16"/>
      <c r="E99" s="16"/>
      <c r="F99" s="16"/>
      <c r="G99" s="17"/>
      <c r="H99" s="15"/>
      <c r="I99" s="18"/>
      <c r="J99" s="18"/>
      <c r="K99" s="18"/>
      <c r="L99" s="19"/>
      <c r="M99" s="20"/>
      <c r="N99" s="20"/>
      <c r="O99" s="20"/>
      <c r="P99" s="20"/>
      <c r="Q99" s="21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1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1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1">
        <f>IFERROR(__xludf.DUMMYFUNCTION("""COMPUTED_VALUE"""),0.0)</f>
        <v>0</v>
      </c>
      <c r="BD99" s="21">
        <f>IFERROR(__xludf.DUMMYFUNCTION("""COMPUTED_VALUE"""),0.0)</f>
        <v>0</v>
      </c>
      <c r="BE99" s="21">
        <f>IFERROR(__xludf.DUMMYFUNCTION("""COMPUTED_VALUE"""),0.0)</f>
        <v>0</v>
      </c>
      <c r="BF99" s="22">
        <f>IFERROR(__xludf.DUMMYFUNCTION("""COMPUTED_VALUE"""),0.0)</f>
        <v>0</v>
      </c>
      <c r="BG99" s="20"/>
      <c r="BH99" s="20"/>
      <c r="BI99" s="20"/>
      <c r="BJ99" s="14"/>
      <c r="BK99" s="14"/>
      <c r="BL99" s="14"/>
      <c r="BM99" s="14"/>
      <c r="BN99" s="14"/>
      <c r="BO99" s="14"/>
    </row>
    <row r="100">
      <c r="A100" s="6" t="str">
        <f>IFERROR(__xludf.DUMMYFUNCTION("""COMPUTED_VALUE"""),"")</f>
        <v/>
      </c>
      <c r="B100" s="7"/>
      <c r="C100" s="8"/>
      <c r="D100" s="7"/>
      <c r="E100" s="7"/>
      <c r="F100" s="7"/>
      <c r="G100" s="8"/>
      <c r="H100" s="6"/>
      <c r="I100" s="9"/>
      <c r="J100" s="9"/>
      <c r="K100" s="9"/>
      <c r="L100" s="10"/>
      <c r="M100" s="12"/>
      <c r="N100" s="12"/>
      <c r="O100" s="12"/>
      <c r="P100" s="12"/>
      <c r="Q100" s="11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1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1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1">
        <f>IFERROR(__xludf.DUMMYFUNCTION("""COMPUTED_VALUE"""),0.0)</f>
        <v>0</v>
      </c>
      <c r="BD100" s="11">
        <f>IFERROR(__xludf.DUMMYFUNCTION("""COMPUTED_VALUE"""),0.0)</f>
        <v>0</v>
      </c>
      <c r="BE100" s="11">
        <f>IFERROR(__xludf.DUMMYFUNCTION("""COMPUTED_VALUE"""),0.0)</f>
        <v>0</v>
      </c>
      <c r="BF100" s="13">
        <f>IFERROR(__xludf.DUMMYFUNCTION("""COMPUTED_VALUE"""),0.0)</f>
        <v>0</v>
      </c>
      <c r="BG100" s="12"/>
      <c r="BH100" s="12"/>
      <c r="BI100" s="12"/>
      <c r="BJ100" s="14"/>
      <c r="BK100" s="14"/>
      <c r="BL100" s="14"/>
      <c r="BM100" s="14"/>
      <c r="BN100" s="14"/>
      <c r="BO100" s="14"/>
    </row>
    <row r="101">
      <c r="A101" s="15" t="str">
        <f>IFERROR(__xludf.DUMMYFUNCTION("""COMPUTED_VALUE"""),"")</f>
        <v/>
      </c>
      <c r="B101" s="16"/>
      <c r="C101" s="17"/>
      <c r="D101" s="16"/>
      <c r="E101" s="16"/>
      <c r="F101" s="16"/>
      <c r="G101" s="17"/>
      <c r="H101" s="15"/>
      <c r="I101" s="18"/>
      <c r="J101" s="18"/>
      <c r="K101" s="18"/>
      <c r="L101" s="19"/>
      <c r="M101" s="21"/>
      <c r="N101" s="20"/>
      <c r="O101" s="20"/>
      <c r="P101" s="20"/>
      <c r="Q101" s="21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1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1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1">
        <f>IFERROR(__xludf.DUMMYFUNCTION("""COMPUTED_VALUE"""),0.0)</f>
        <v>0</v>
      </c>
      <c r="BD101" s="21">
        <f>IFERROR(__xludf.DUMMYFUNCTION("""COMPUTED_VALUE"""),0.0)</f>
        <v>0</v>
      </c>
      <c r="BE101" s="21">
        <f>IFERROR(__xludf.DUMMYFUNCTION("""COMPUTED_VALUE"""),0.0)</f>
        <v>0</v>
      </c>
      <c r="BF101" s="22">
        <f>IFERROR(__xludf.DUMMYFUNCTION("""COMPUTED_VALUE"""),0.0)</f>
        <v>0</v>
      </c>
      <c r="BG101" s="20"/>
      <c r="BH101" s="20"/>
      <c r="BI101" s="20"/>
      <c r="BJ101" s="14"/>
      <c r="BK101" s="14"/>
      <c r="BL101" s="14"/>
      <c r="BM101" s="14"/>
      <c r="BN101" s="14"/>
      <c r="BO101" s="14"/>
    </row>
    <row r="102">
      <c r="A102" s="6" t="str">
        <f>IFERROR(__xludf.DUMMYFUNCTION("""COMPUTED_VALUE"""),"")</f>
        <v/>
      </c>
      <c r="B102" s="7"/>
      <c r="C102" s="8"/>
      <c r="D102" s="7"/>
      <c r="E102" s="7"/>
      <c r="F102" s="7"/>
      <c r="G102" s="8"/>
      <c r="H102" s="6"/>
      <c r="I102" s="9"/>
      <c r="J102" s="9"/>
      <c r="K102" s="9"/>
      <c r="L102" s="10"/>
      <c r="M102" s="12"/>
      <c r="N102" s="12"/>
      <c r="O102" s="12"/>
      <c r="P102" s="12"/>
      <c r="Q102" s="11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1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1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1">
        <f>IFERROR(__xludf.DUMMYFUNCTION("""COMPUTED_VALUE"""),0.0)</f>
        <v>0</v>
      </c>
      <c r="BD102" s="11">
        <f>IFERROR(__xludf.DUMMYFUNCTION("""COMPUTED_VALUE"""),0.0)</f>
        <v>0</v>
      </c>
      <c r="BE102" s="11">
        <f>IFERROR(__xludf.DUMMYFUNCTION("""COMPUTED_VALUE"""),0.0)</f>
        <v>0</v>
      </c>
      <c r="BF102" s="13">
        <f>IFERROR(__xludf.DUMMYFUNCTION("""COMPUTED_VALUE"""),0.0)</f>
        <v>0</v>
      </c>
      <c r="BG102" s="12"/>
      <c r="BH102" s="12"/>
      <c r="BI102" s="12"/>
      <c r="BJ102" s="14"/>
      <c r="BK102" s="14"/>
      <c r="BL102" s="14"/>
      <c r="BM102" s="14"/>
      <c r="BN102" s="14"/>
      <c r="BO102" s="14"/>
    </row>
    <row r="103">
      <c r="A103" s="15" t="str">
        <f>IFERROR(__xludf.DUMMYFUNCTION("""COMPUTED_VALUE"""),"")</f>
        <v/>
      </c>
      <c r="B103" s="16"/>
      <c r="C103" s="17"/>
      <c r="D103" s="16"/>
      <c r="E103" s="16"/>
      <c r="F103" s="16"/>
      <c r="G103" s="17"/>
      <c r="H103" s="15"/>
      <c r="I103" s="18"/>
      <c r="J103" s="18"/>
      <c r="K103" s="18"/>
      <c r="L103" s="19"/>
      <c r="M103" s="20"/>
      <c r="N103" s="20"/>
      <c r="O103" s="20"/>
      <c r="P103" s="20"/>
      <c r="Q103" s="21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1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1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1">
        <f>IFERROR(__xludf.DUMMYFUNCTION("""COMPUTED_VALUE"""),0.0)</f>
        <v>0</v>
      </c>
      <c r="BD103" s="21">
        <f>IFERROR(__xludf.DUMMYFUNCTION("""COMPUTED_VALUE"""),0.0)</f>
        <v>0</v>
      </c>
      <c r="BE103" s="21">
        <f>IFERROR(__xludf.DUMMYFUNCTION("""COMPUTED_VALUE"""),0.0)</f>
        <v>0</v>
      </c>
      <c r="BF103" s="22">
        <f>IFERROR(__xludf.DUMMYFUNCTION("""COMPUTED_VALUE"""),0.0)</f>
        <v>0</v>
      </c>
      <c r="BG103" s="20"/>
      <c r="BH103" s="20"/>
      <c r="BI103" s="20"/>
      <c r="BJ103" s="14"/>
      <c r="BK103" s="14"/>
      <c r="BL103" s="14"/>
      <c r="BM103" s="14"/>
      <c r="BN103" s="14"/>
      <c r="BO103" s="14"/>
    </row>
    <row r="104">
      <c r="A104" s="6" t="str">
        <f>IFERROR(__xludf.DUMMYFUNCTION("""COMPUTED_VALUE"""),"")</f>
        <v/>
      </c>
      <c r="B104" s="7"/>
      <c r="C104" s="8"/>
      <c r="D104" s="7"/>
      <c r="E104" s="7"/>
      <c r="F104" s="7"/>
      <c r="G104" s="8"/>
      <c r="H104" s="6"/>
      <c r="I104" s="9"/>
      <c r="J104" s="9"/>
      <c r="K104" s="9"/>
      <c r="L104" s="1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1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1">
        <f>IFERROR(__xludf.DUMMYFUNCTION("""COMPUTED_VALUE"""),0.0)</f>
        <v>0</v>
      </c>
      <c r="BD104" s="11">
        <f>IFERROR(__xludf.DUMMYFUNCTION("""COMPUTED_VALUE"""),0.0)</f>
        <v>0</v>
      </c>
      <c r="BE104" s="11">
        <f>IFERROR(__xludf.DUMMYFUNCTION("""COMPUTED_VALUE"""),0.0)</f>
        <v>0</v>
      </c>
      <c r="BF104" s="13">
        <f>IFERROR(__xludf.DUMMYFUNCTION("""COMPUTED_VALUE"""),0.0)</f>
        <v>0</v>
      </c>
      <c r="BG104" s="12"/>
      <c r="BH104" s="12"/>
      <c r="BI104" s="12"/>
      <c r="BJ104" s="14"/>
      <c r="BK104" s="14"/>
      <c r="BL104" s="14"/>
      <c r="BM104" s="14"/>
      <c r="BN104" s="14"/>
      <c r="BO104" s="14"/>
    </row>
    <row r="105">
      <c r="A105" s="15" t="str">
        <f>IFERROR(__xludf.DUMMYFUNCTION("""COMPUTED_VALUE"""),"")</f>
        <v/>
      </c>
      <c r="B105" s="16"/>
      <c r="C105" s="17"/>
      <c r="D105" s="16"/>
      <c r="E105" s="16"/>
      <c r="F105" s="16"/>
      <c r="G105" s="17"/>
      <c r="H105" s="15"/>
      <c r="I105" s="18"/>
      <c r="J105" s="18"/>
      <c r="K105" s="18"/>
      <c r="L105" s="19"/>
      <c r="M105" s="20"/>
      <c r="N105" s="20"/>
      <c r="O105" s="20"/>
      <c r="P105" s="20"/>
      <c r="Q105" s="21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1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1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1">
        <f>IFERROR(__xludf.DUMMYFUNCTION("""COMPUTED_VALUE"""),0.0)</f>
        <v>0</v>
      </c>
      <c r="BD105" s="21">
        <f>IFERROR(__xludf.DUMMYFUNCTION("""COMPUTED_VALUE"""),0.0)</f>
        <v>0</v>
      </c>
      <c r="BE105" s="21">
        <f>IFERROR(__xludf.DUMMYFUNCTION("""COMPUTED_VALUE"""),0.0)</f>
        <v>0</v>
      </c>
      <c r="BF105" s="22">
        <f>IFERROR(__xludf.DUMMYFUNCTION("""COMPUTED_VALUE"""),0.0)</f>
        <v>0</v>
      </c>
      <c r="BG105" s="20"/>
      <c r="BH105" s="20"/>
      <c r="BI105" s="20"/>
      <c r="BJ105" s="14"/>
      <c r="BK105" s="14"/>
      <c r="BL105" s="14"/>
      <c r="BM105" s="14"/>
      <c r="BN105" s="14"/>
      <c r="BO105" s="14"/>
    </row>
    <row r="106">
      <c r="A106" s="6" t="str">
        <f>IFERROR(__xludf.DUMMYFUNCTION("""COMPUTED_VALUE"""),"")</f>
        <v/>
      </c>
      <c r="B106" s="7"/>
      <c r="C106" s="8"/>
      <c r="D106" s="7"/>
      <c r="E106" s="7"/>
      <c r="F106" s="7"/>
      <c r="G106" s="8"/>
      <c r="H106" s="6"/>
      <c r="I106" s="12"/>
      <c r="J106" s="9"/>
      <c r="K106" s="9"/>
      <c r="L106" s="10"/>
      <c r="M106" s="12"/>
      <c r="N106" s="12"/>
      <c r="O106" s="12"/>
      <c r="P106" s="11"/>
      <c r="Q106" s="11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1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1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1">
        <f>IFERROR(__xludf.DUMMYFUNCTION("""COMPUTED_VALUE"""),0.0)</f>
        <v>0</v>
      </c>
      <c r="BD106" s="11">
        <f>IFERROR(__xludf.DUMMYFUNCTION("""COMPUTED_VALUE"""),0.0)</f>
        <v>0</v>
      </c>
      <c r="BE106" s="11">
        <f>IFERROR(__xludf.DUMMYFUNCTION("""COMPUTED_VALUE"""),0.0)</f>
        <v>0</v>
      </c>
      <c r="BF106" s="13">
        <f>IFERROR(__xludf.DUMMYFUNCTION("""COMPUTED_VALUE"""),0.0)</f>
        <v>0</v>
      </c>
      <c r="BG106" s="12"/>
      <c r="BH106" s="12"/>
      <c r="BI106" s="12"/>
      <c r="BJ106" s="14"/>
      <c r="BK106" s="14"/>
      <c r="BL106" s="14"/>
      <c r="BM106" s="14"/>
      <c r="BN106" s="14"/>
      <c r="BO106" s="14"/>
    </row>
    <row r="107">
      <c r="A107" s="15" t="str">
        <f>IFERROR(__xludf.DUMMYFUNCTION("""COMPUTED_VALUE"""),"")</f>
        <v/>
      </c>
      <c r="B107" s="16"/>
      <c r="C107" s="17"/>
      <c r="D107" s="16"/>
      <c r="E107" s="16"/>
      <c r="F107" s="16"/>
      <c r="G107" s="17"/>
      <c r="H107" s="15"/>
      <c r="I107" s="18"/>
      <c r="J107" s="18"/>
      <c r="K107" s="18"/>
      <c r="L107" s="19"/>
      <c r="M107" s="20"/>
      <c r="N107" s="20"/>
      <c r="O107" s="20"/>
      <c r="P107" s="20"/>
      <c r="Q107" s="21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1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1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1">
        <f>IFERROR(__xludf.DUMMYFUNCTION("""COMPUTED_VALUE"""),0.0)</f>
        <v>0</v>
      </c>
      <c r="BD107" s="21">
        <f>IFERROR(__xludf.DUMMYFUNCTION("""COMPUTED_VALUE"""),0.0)</f>
        <v>0</v>
      </c>
      <c r="BE107" s="21">
        <f>IFERROR(__xludf.DUMMYFUNCTION("""COMPUTED_VALUE"""),0.0)</f>
        <v>0</v>
      </c>
      <c r="BF107" s="22">
        <f>IFERROR(__xludf.DUMMYFUNCTION("""COMPUTED_VALUE"""),0.0)</f>
        <v>0</v>
      </c>
      <c r="BG107" s="20"/>
      <c r="BH107" s="20"/>
      <c r="BI107" s="20"/>
      <c r="BJ107" s="14"/>
      <c r="BK107" s="14"/>
      <c r="BL107" s="14"/>
      <c r="BM107" s="14"/>
      <c r="BN107" s="14"/>
      <c r="BO107" s="14"/>
    </row>
    <row r="108">
      <c r="A108" s="6" t="str">
        <f>IFERROR(__xludf.DUMMYFUNCTION("""COMPUTED_VALUE"""),"")</f>
        <v/>
      </c>
      <c r="B108" s="7"/>
      <c r="C108" s="8"/>
      <c r="D108" s="7"/>
      <c r="E108" s="7"/>
      <c r="F108" s="7"/>
      <c r="G108" s="8"/>
      <c r="H108" s="6"/>
      <c r="I108" s="9"/>
      <c r="J108" s="9"/>
      <c r="K108" s="9"/>
      <c r="L108" s="10"/>
      <c r="M108" s="12"/>
      <c r="N108" s="12"/>
      <c r="O108" s="11"/>
      <c r="P108" s="11"/>
      <c r="Q108" s="11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1">
        <f>IFERROR(__xludf.DUMMYFUNCTION("""COMPUTED_VALUE"""),0.0)</f>
        <v>0</v>
      </c>
      <c r="BD108" s="11">
        <f>IFERROR(__xludf.DUMMYFUNCTION("""COMPUTED_VALUE"""),0.0)</f>
        <v>0</v>
      </c>
      <c r="BE108" s="11">
        <f>IFERROR(__xludf.DUMMYFUNCTION("""COMPUTED_VALUE"""),0.0)</f>
        <v>0</v>
      </c>
      <c r="BF108" s="13">
        <f>IFERROR(__xludf.DUMMYFUNCTION("""COMPUTED_VALUE"""),0.0)</f>
        <v>0</v>
      </c>
      <c r="BG108" s="12"/>
      <c r="BH108" s="12"/>
      <c r="BI108" s="12"/>
      <c r="BJ108" s="14"/>
      <c r="BK108" s="14"/>
      <c r="BL108" s="14"/>
      <c r="BM108" s="14"/>
      <c r="BN108" s="14"/>
      <c r="BO108" s="14"/>
    </row>
    <row r="109">
      <c r="A109" s="15" t="str">
        <f>IFERROR(__xludf.DUMMYFUNCTION("""COMPUTED_VALUE"""),"")</f>
        <v/>
      </c>
      <c r="B109" s="16"/>
      <c r="C109" s="17"/>
      <c r="D109" s="16"/>
      <c r="E109" s="16"/>
      <c r="F109" s="16"/>
      <c r="G109" s="17"/>
      <c r="H109" s="15"/>
      <c r="I109" s="18"/>
      <c r="J109" s="18"/>
      <c r="K109" s="18"/>
      <c r="L109" s="19"/>
      <c r="M109" s="20"/>
      <c r="N109" s="20"/>
      <c r="O109" s="20"/>
      <c r="P109" s="20"/>
      <c r="Q109" s="21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1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1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1">
        <f>IFERROR(__xludf.DUMMYFUNCTION("""COMPUTED_VALUE"""),0.0)</f>
        <v>0</v>
      </c>
      <c r="BD109" s="21">
        <f>IFERROR(__xludf.DUMMYFUNCTION("""COMPUTED_VALUE"""),0.0)</f>
        <v>0</v>
      </c>
      <c r="BE109" s="21">
        <f>IFERROR(__xludf.DUMMYFUNCTION("""COMPUTED_VALUE"""),0.0)</f>
        <v>0</v>
      </c>
      <c r="BF109" s="22">
        <f>IFERROR(__xludf.DUMMYFUNCTION("""COMPUTED_VALUE"""),0.0)</f>
        <v>0</v>
      </c>
      <c r="BG109" s="20"/>
      <c r="BH109" s="20"/>
      <c r="BI109" s="20"/>
      <c r="BJ109" s="14"/>
      <c r="BK109" s="14"/>
      <c r="BL109" s="14"/>
      <c r="BM109" s="14"/>
      <c r="BN109" s="14"/>
      <c r="BO109" s="14"/>
    </row>
    <row r="110">
      <c r="A110" s="6" t="str">
        <f>IFERROR(__xludf.DUMMYFUNCTION("""COMPUTED_VALUE"""),"")</f>
        <v/>
      </c>
      <c r="B110" s="7"/>
      <c r="C110" s="8"/>
      <c r="D110" s="7"/>
      <c r="E110" s="7"/>
      <c r="F110" s="7"/>
      <c r="G110" s="8"/>
      <c r="H110" s="6"/>
      <c r="I110" s="12"/>
      <c r="J110" s="9"/>
      <c r="K110" s="9"/>
      <c r="L110" s="10"/>
      <c r="M110" s="12"/>
      <c r="N110" s="12"/>
      <c r="O110" s="12"/>
      <c r="P110" s="12"/>
      <c r="Q110" s="11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1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1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1">
        <f>IFERROR(__xludf.DUMMYFUNCTION("""COMPUTED_VALUE"""),0.0)</f>
        <v>0</v>
      </c>
      <c r="BD110" s="11">
        <f>IFERROR(__xludf.DUMMYFUNCTION("""COMPUTED_VALUE"""),0.0)</f>
        <v>0</v>
      </c>
      <c r="BE110" s="11">
        <f>IFERROR(__xludf.DUMMYFUNCTION("""COMPUTED_VALUE"""),0.0)</f>
        <v>0</v>
      </c>
      <c r="BF110" s="13">
        <f>IFERROR(__xludf.DUMMYFUNCTION("""COMPUTED_VALUE"""),0.0)</f>
        <v>0</v>
      </c>
      <c r="BG110" s="12"/>
      <c r="BH110" s="12"/>
      <c r="BI110" s="12"/>
      <c r="BJ110" s="14"/>
      <c r="BK110" s="14"/>
      <c r="BL110" s="14"/>
      <c r="BM110" s="14"/>
      <c r="BN110" s="14"/>
      <c r="BO110" s="14"/>
    </row>
    <row r="111">
      <c r="A111" s="15" t="str">
        <f>IFERROR(__xludf.DUMMYFUNCTION("""COMPUTED_VALUE"""),"")</f>
        <v/>
      </c>
      <c r="B111" s="16"/>
      <c r="C111" s="17"/>
      <c r="D111" s="16"/>
      <c r="E111" s="16"/>
      <c r="F111" s="16"/>
      <c r="G111" s="17"/>
      <c r="H111" s="15"/>
      <c r="I111" s="18"/>
      <c r="J111" s="18"/>
      <c r="K111" s="18"/>
      <c r="L111" s="19"/>
      <c r="M111" s="20"/>
      <c r="N111" s="20"/>
      <c r="O111" s="20"/>
      <c r="P111" s="21"/>
      <c r="Q111" s="2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1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1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1">
        <f>IFERROR(__xludf.DUMMYFUNCTION("""COMPUTED_VALUE"""),0.0)</f>
        <v>0</v>
      </c>
      <c r="BD111" s="21">
        <f>IFERROR(__xludf.DUMMYFUNCTION("""COMPUTED_VALUE"""),0.0)</f>
        <v>0</v>
      </c>
      <c r="BE111" s="21">
        <f>IFERROR(__xludf.DUMMYFUNCTION("""COMPUTED_VALUE"""),0.0)</f>
        <v>0</v>
      </c>
      <c r="BF111" s="22">
        <f>IFERROR(__xludf.DUMMYFUNCTION("""COMPUTED_VALUE"""),0.0)</f>
        <v>0</v>
      </c>
      <c r="BG111" s="20"/>
      <c r="BH111" s="20"/>
      <c r="BI111" s="20"/>
      <c r="BJ111" s="14"/>
      <c r="BK111" s="14"/>
      <c r="BL111" s="14"/>
      <c r="BM111" s="14"/>
      <c r="BN111" s="14"/>
      <c r="BO111" s="14"/>
    </row>
    <row r="112">
      <c r="A112" s="6" t="str">
        <f>IFERROR(__xludf.DUMMYFUNCTION("""COMPUTED_VALUE"""),"")</f>
        <v/>
      </c>
      <c r="B112" s="7"/>
      <c r="C112" s="8"/>
      <c r="D112" s="7"/>
      <c r="E112" s="7"/>
      <c r="F112" s="7"/>
      <c r="G112" s="8"/>
      <c r="H112" s="6"/>
      <c r="I112" s="9"/>
      <c r="J112" s="9"/>
      <c r="K112" s="9"/>
      <c r="L112" s="10"/>
      <c r="M112" s="12"/>
      <c r="N112" s="12"/>
      <c r="O112" s="12"/>
      <c r="P112" s="12"/>
      <c r="Q112" s="11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1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1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1">
        <f>IFERROR(__xludf.DUMMYFUNCTION("""COMPUTED_VALUE"""),0.0)</f>
        <v>0</v>
      </c>
      <c r="BD112" s="11">
        <f>IFERROR(__xludf.DUMMYFUNCTION("""COMPUTED_VALUE"""),0.0)</f>
        <v>0</v>
      </c>
      <c r="BE112" s="11">
        <f>IFERROR(__xludf.DUMMYFUNCTION("""COMPUTED_VALUE"""),0.0)</f>
        <v>0</v>
      </c>
      <c r="BF112" s="13">
        <f>IFERROR(__xludf.DUMMYFUNCTION("""COMPUTED_VALUE"""),0.0)</f>
        <v>0</v>
      </c>
      <c r="BG112" s="12"/>
      <c r="BH112" s="12"/>
      <c r="BI112" s="12"/>
      <c r="BJ112" s="14"/>
      <c r="BK112" s="14"/>
      <c r="BL112" s="14"/>
      <c r="BM112" s="14"/>
      <c r="BN112" s="14"/>
      <c r="BO112" s="14"/>
    </row>
    <row r="113">
      <c r="A113" s="15" t="str">
        <f>IFERROR(__xludf.DUMMYFUNCTION("""COMPUTED_VALUE"""),"")</f>
        <v/>
      </c>
      <c r="B113" s="16"/>
      <c r="C113" s="17"/>
      <c r="D113" s="16"/>
      <c r="E113" s="16"/>
      <c r="F113" s="16"/>
      <c r="G113" s="17"/>
      <c r="H113" s="15"/>
      <c r="I113" s="18"/>
      <c r="J113" s="18"/>
      <c r="K113" s="18"/>
      <c r="L113" s="19"/>
      <c r="M113" s="21"/>
      <c r="N113" s="20"/>
      <c r="O113" s="20"/>
      <c r="P113" s="20"/>
      <c r="Q113" s="2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1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1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1">
        <f>IFERROR(__xludf.DUMMYFUNCTION("""COMPUTED_VALUE"""),0.0)</f>
        <v>0</v>
      </c>
      <c r="BD113" s="21">
        <f>IFERROR(__xludf.DUMMYFUNCTION("""COMPUTED_VALUE"""),0.0)</f>
        <v>0</v>
      </c>
      <c r="BE113" s="21">
        <f>IFERROR(__xludf.DUMMYFUNCTION("""COMPUTED_VALUE"""),0.0)</f>
        <v>0</v>
      </c>
      <c r="BF113" s="22">
        <f>IFERROR(__xludf.DUMMYFUNCTION("""COMPUTED_VALUE"""),0.0)</f>
        <v>0</v>
      </c>
      <c r="BG113" s="20"/>
      <c r="BH113" s="20"/>
      <c r="BI113" s="20"/>
      <c r="BJ113" s="14"/>
      <c r="BK113" s="14"/>
      <c r="BL113" s="14"/>
      <c r="BM113" s="14"/>
      <c r="BN113" s="14"/>
      <c r="BO113" s="14"/>
    </row>
    <row r="114">
      <c r="A114" s="6" t="str">
        <f>IFERROR(__xludf.DUMMYFUNCTION("""COMPUTED_VALUE"""),"")</f>
        <v/>
      </c>
      <c r="B114" s="7"/>
      <c r="C114" s="8"/>
      <c r="D114" s="7"/>
      <c r="E114" s="7"/>
      <c r="F114" s="7"/>
      <c r="G114" s="8"/>
      <c r="H114" s="6"/>
      <c r="I114" s="9"/>
      <c r="J114" s="9"/>
      <c r="K114" s="9"/>
      <c r="L114" s="10"/>
      <c r="M114" s="12"/>
      <c r="N114" s="12"/>
      <c r="O114" s="12"/>
      <c r="P114" s="12"/>
      <c r="Q114" s="11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1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1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1">
        <f>IFERROR(__xludf.DUMMYFUNCTION("""COMPUTED_VALUE"""),0.0)</f>
        <v>0</v>
      </c>
      <c r="BD114" s="11">
        <f>IFERROR(__xludf.DUMMYFUNCTION("""COMPUTED_VALUE"""),0.0)</f>
        <v>0</v>
      </c>
      <c r="BE114" s="11">
        <f>IFERROR(__xludf.DUMMYFUNCTION("""COMPUTED_VALUE"""),0.0)</f>
        <v>0</v>
      </c>
      <c r="BF114" s="13">
        <f>IFERROR(__xludf.DUMMYFUNCTION("""COMPUTED_VALUE"""),0.0)</f>
        <v>0</v>
      </c>
      <c r="BG114" s="12"/>
      <c r="BH114" s="12"/>
      <c r="BI114" s="12"/>
      <c r="BJ114" s="14"/>
      <c r="BK114" s="14"/>
      <c r="BL114" s="14"/>
      <c r="BM114" s="14"/>
      <c r="BN114" s="14"/>
      <c r="BO114" s="14"/>
    </row>
    <row r="115">
      <c r="A115" s="15" t="str">
        <f>IFERROR(__xludf.DUMMYFUNCTION("""COMPUTED_VALUE"""),"")</f>
        <v/>
      </c>
      <c r="B115" s="16"/>
      <c r="C115" s="17"/>
      <c r="D115" s="16"/>
      <c r="E115" s="16"/>
      <c r="F115" s="16"/>
      <c r="G115" s="17"/>
      <c r="H115" s="15"/>
      <c r="I115" s="20"/>
      <c r="J115" s="18"/>
      <c r="K115" s="18"/>
      <c r="L115" s="19"/>
      <c r="M115" s="20"/>
      <c r="N115" s="20"/>
      <c r="O115" s="20"/>
      <c r="P115" s="21"/>
      <c r="Q115" s="21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1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1">
        <f>IFERROR(__xludf.DUMMYFUNCTION("""COMPUTED_VALUE"""),0.0)</f>
        <v>0</v>
      </c>
      <c r="BD115" s="21">
        <f>IFERROR(__xludf.DUMMYFUNCTION("""COMPUTED_VALUE"""),0.0)</f>
        <v>0</v>
      </c>
      <c r="BE115" s="21">
        <f>IFERROR(__xludf.DUMMYFUNCTION("""COMPUTED_VALUE"""),0.0)</f>
        <v>0</v>
      </c>
      <c r="BF115" s="22">
        <f>IFERROR(__xludf.DUMMYFUNCTION("""COMPUTED_VALUE"""),0.0)</f>
        <v>0</v>
      </c>
      <c r="BG115" s="20"/>
      <c r="BH115" s="20"/>
      <c r="BI115" s="20"/>
      <c r="BJ115" s="14"/>
      <c r="BK115" s="14"/>
      <c r="BL115" s="14"/>
      <c r="BM115" s="14"/>
      <c r="BN115" s="14"/>
      <c r="BO115" s="14"/>
    </row>
    <row r="116">
      <c r="A116" s="6" t="str">
        <f>IFERROR(__xludf.DUMMYFUNCTION("""COMPUTED_VALUE"""),"")</f>
        <v/>
      </c>
      <c r="B116" s="7"/>
      <c r="C116" s="8"/>
      <c r="D116" s="7"/>
      <c r="E116" s="7"/>
      <c r="F116" s="7"/>
      <c r="G116" s="8"/>
      <c r="H116" s="6"/>
      <c r="I116" s="9"/>
      <c r="J116" s="9"/>
      <c r="K116" s="9"/>
      <c r="L116" s="10"/>
      <c r="M116" s="12"/>
      <c r="N116" s="12"/>
      <c r="O116" s="12"/>
      <c r="P116" s="12"/>
      <c r="Q116" s="11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1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1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1">
        <f>IFERROR(__xludf.DUMMYFUNCTION("""COMPUTED_VALUE"""),0.0)</f>
        <v>0</v>
      </c>
      <c r="BD116" s="11">
        <f>IFERROR(__xludf.DUMMYFUNCTION("""COMPUTED_VALUE"""),0.0)</f>
        <v>0</v>
      </c>
      <c r="BE116" s="11">
        <f>IFERROR(__xludf.DUMMYFUNCTION("""COMPUTED_VALUE"""),0.0)</f>
        <v>0</v>
      </c>
      <c r="BF116" s="13">
        <f>IFERROR(__xludf.DUMMYFUNCTION("""COMPUTED_VALUE"""),0.0)</f>
        <v>0</v>
      </c>
      <c r="BG116" s="12"/>
      <c r="BH116" s="12"/>
      <c r="BI116" s="12"/>
      <c r="BJ116" s="14"/>
      <c r="BK116" s="14"/>
      <c r="BL116" s="14"/>
      <c r="BM116" s="14"/>
      <c r="BN116" s="14"/>
      <c r="BO116" s="14"/>
    </row>
    <row r="117">
      <c r="A117" s="15" t="str">
        <f>IFERROR(__xludf.DUMMYFUNCTION("""COMPUTED_VALUE"""),"")</f>
        <v/>
      </c>
      <c r="B117" s="16"/>
      <c r="C117" s="17"/>
      <c r="D117" s="16"/>
      <c r="E117" s="16"/>
      <c r="F117" s="16"/>
      <c r="G117" s="17"/>
      <c r="H117" s="15"/>
      <c r="I117" s="18"/>
      <c r="J117" s="18"/>
      <c r="K117" s="18"/>
      <c r="L117" s="19"/>
      <c r="M117" s="20"/>
      <c r="N117" s="20"/>
      <c r="O117" s="20"/>
      <c r="P117" s="20"/>
      <c r="Q117" s="21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1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1">
        <f>IFERROR(__xludf.DUMMYFUNCTION("""COMPUTED_VALUE"""),0.0)</f>
        <v>0</v>
      </c>
      <c r="BD117" s="21">
        <f>IFERROR(__xludf.DUMMYFUNCTION("""COMPUTED_VALUE"""),0.0)</f>
        <v>0</v>
      </c>
      <c r="BE117" s="21">
        <f>IFERROR(__xludf.DUMMYFUNCTION("""COMPUTED_VALUE"""),0.0)</f>
        <v>0</v>
      </c>
      <c r="BF117" s="22">
        <f>IFERROR(__xludf.DUMMYFUNCTION("""COMPUTED_VALUE"""),0.0)</f>
        <v>0</v>
      </c>
      <c r="BG117" s="20"/>
      <c r="BH117" s="20"/>
      <c r="BI117" s="20"/>
      <c r="BJ117" s="14"/>
      <c r="BK117" s="14"/>
      <c r="BL117" s="14"/>
      <c r="BM117" s="14"/>
      <c r="BN117" s="14"/>
      <c r="BO117" s="14"/>
    </row>
    <row r="118">
      <c r="A118" s="6" t="str">
        <f>IFERROR(__xludf.DUMMYFUNCTION("""COMPUTED_VALUE"""),"")</f>
        <v/>
      </c>
      <c r="B118" s="7"/>
      <c r="C118" s="8"/>
      <c r="D118" s="7"/>
      <c r="E118" s="7"/>
      <c r="F118" s="7"/>
      <c r="G118" s="8"/>
      <c r="H118" s="6"/>
      <c r="I118" s="9"/>
      <c r="J118" s="9"/>
      <c r="K118" s="9"/>
      <c r="L118" s="10"/>
      <c r="M118" s="12"/>
      <c r="N118" s="12"/>
      <c r="O118" s="12"/>
      <c r="P118" s="12"/>
      <c r="Q118" s="11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1">
        <f>IFERROR(__xludf.DUMMYFUNCTION("""COMPUTED_VALUE"""),0.0)</f>
        <v>0</v>
      </c>
      <c r="BD118" s="11">
        <f>IFERROR(__xludf.DUMMYFUNCTION("""COMPUTED_VALUE"""),0.0)</f>
        <v>0</v>
      </c>
      <c r="BE118" s="11">
        <f>IFERROR(__xludf.DUMMYFUNCTION("""COMPUTED_VALUE"""),0.0)</f>
        <v>0</v>
      </c>
      <c r="BF118" s="13">
        <f>IFERROR(__xludf.DUMMYFUNCTION("""COMPUTED_VALUE"""),0.0)</f>
        <v>0</v>
      </c>
      <c r="BG118" s="12"/>
      <c r="BH118" s="12"/>
      <c r="BI118" s="12"/>
      <c r="BJ118" s="14"/>
      <c r="BK118" s="14"/>
      <c r="BL118" s="14"/>
      <c r="BM118" s="14"/>
      <c r="BN118" s="14"/>
      <c r="BO118" s="14"/>
    </row>
    <row r="119">
      <c r="A119" s="15" t="str">
        <f>IFERROR(__xludf.DUMMYFUNCTION("""COMPUTED_VALUE"""),"")</f>
        <v/>
      </c>
      <c r="B119" s="16"/>
      <c r="C119" s="17"/>
      <c r="D119" s="16"/>
      <c r="E119" s="16"/>
      <c r="F119" s="16"/>
      <c r="G119" s="17"/>
      <c r="H119" s="15"/>
      <c r="I119" s="18"/>
      <c r="J119" s="18"/>
      <c r="K119" s="18"/>
      <c r="L119" s="19"/>
      <c r="M119" s="20"/>
      <c r="N119" s="20"/>
      <c r="O119" s="20"/>
      <c r="P119" s="21"/>
      <c r="Q119" s="21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1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1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1">
        <f>IFERROR(__xludf.DUMMYFUNCTION("""COMPUTED_VALUE"""),0.0)</f>
        <v>0</v>
      </c>
      <c r="BD119" s="21">
        <f>IFERROR(__xludf.DUMMYFUNCTION("""COMPUTED_VALUE"""),0.0)</f>
        <v>0</v>
      </c>
      <c r="BE119" s="21">
        <f>IFERROR(__xludf.DUMMYFUNCTION("""COMPUTED_VALUE"""),0.0)</f>
        <v>0</v>
      </c>
      <c r="BF119" s="22">
        <f>IFERROR(__xludf.DUMMYFUNCTION("""COMPUTED_VALUE"""),0.0)</f>
        <v>0</v>
      </c>
      <c r="BG119" s="20"/>
      <c r="BH119" s="20"/>
      <c r="BI119" s="20"/>
      <c r="BJ119" s="14"/>
      <c r="BK119" s="14"/>
      <c r="BL119" s="14"/>
      <c r="BM119" s="14"/>
      <c r="BN119" s="14"/>
      <c r="BO119" s="14"/>
    </row>
    <row r="120">
      <c r="A120" s="6" t="str">
        <f>IFERROR(__xludf.DUMMYFUNCTION("""COMPUTED_VALUE"""),"")</f>
        <v/>
      </c>
      <c r="B120" s="7"/>
      <c r="C120" s="8"/>
      <c r="D120" s="7"/>
      <c r="E120" s="7"/>
      <c r="F120" s="7"/>
      <c r="G120" s="8"/>
      <c r="H120" s="6"/>
      <c r="I120" s="9"/>
      <c r="J120" s="9"/>
      <c r="K120" s="9"/>
      <c r="L120" s="10"/>
      <c r="M120" s="11"/>
      <c r="N120" s="12"/>
      <c r="O120" s="12"/>
      <c r="P120" s="12"/>
      <c r="Q120" s="11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1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1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1">
        <f>IFERROR(__xludf.DUMMYFUNCTION("""COMPUTED_VALUE"""),0.0)</f>
        <v>0</v>
      </c>
      <c r="BD120" s="11">
        <f>IFERROR(__xludf.DUMMYFUNCTION("""COMPUTED_VALUE"""),0.0)</f>
        <v>0</v>
      </c>
      <c r="BE120" s="11">
        <f>IFERROR(__xludf.DUMMYFUNCTION("""COMPUTED_VALUE"""),0.0)</f>
        <v>0</v>
      </c>
      <c r="BF120" s="13">
        <f>IFERROR(__xludf.DUMMYFUNCTION("""COMPUTED_VALUE"""),0.0)</f>
        <v>0</v>
      </c>
      <c r="BG120" s="12"/>
      <c r="BH120" s="12"/>
      <c r="BI120" s="12"/>
      <c r="BJ120" s="14"/>
      <c r="BK120" s="14"/>
      <c r="BL120" s="14"/>
      <c r="BM120" s="14"/>
      <c r="BN120" s="14"/>
      <c r="BO120" s="14"/>
    </row>
    <row r="121">
      <c r="A121" s="15" t="str">
        <f>IFERROR(__xludf.DUMMYFUNCTION("""COMPUTED_VALUE"""),"")</f>
        <v/>
      </c>
      <c r="B121" s="16"/>
      <c r="C121" s="17"/>
      <c r="D121" s="16"/>
      <c r="E121" s="16"/>
      <c r="F121" s="16"/>
      <c r="G121" s="17"/>
      <c r="H121" s="15"/>
      <c r="I121" s="18"/>
      <c r="J121" s="18"/>
      <c r="K121" s="18"/>
      <c r="L121" s="19"/>
      <c r="M121" s="20"/>
      <c r="N121" s="20"/>
      <c r="O121" s="20"/>
      <c r="P121" s="20"/>
      <c r="Q121" s="21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1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1">
        <f>IFERROR(__xludf.DUMMYFUNCTION("""COMPUTED_VALUE"""),0.0)</f>
        <v>0</v>
      </c>
      <c r="BD121" s="21">
        <f>IFERROR(__xludf.DUMMYFUNCTION("""COMPUTED_VALUE"""),0.0)</f>
        <v>0</v>
      </c>
      <c r="BE121" s="21">
        <f>IFERROR(__xludf.DUMMYFUNCTION("""COMPUTED_VALUE"""),0.0)</f>
        <v>0</v>
      </c>
      <c r="BF121" s="22">
        <f>IFERROR(__xludf.DUMMYFUNCTION("""COMPUTED_VALUE"""),0.0)</f>
        <v>0</v>
      </c>
      <c r="BG121" s="20"/>
      <c r="BH121" s="20"/>
      <c r="BI121" s="20"/>
      <c r="BJ121" s="14"/>
      <c r="BK121" s="14"/>
      <c r="BL121" s="14"/>
      <c r="BM121" s="14"/>
      <c r="BN121" s="14"/>
      <c r="BO121" s="14"/>
    </row>
    <row r="122">
      <c r="A122" s="6" t="str">
        <f>IFERROR(__xludf.DUMMYFUNCTION("""COMPUTED_VALUE"""),"")</f>
        <v/>
      </c>
      <c r="B122" s="7"/>
      <c r="C122" s="8"/>
      <c r="D122" s="7"/>
      <c r="E122" s="7"/>
      <c r="F122" s="7"/>
      <c r="G122" s="8"/>
      <c r="H122" s="6"/>
      <c r="I122" s="9"/>
      <c r="J122" s="9"/>
      <c r="K122" s="9"/>
      <c r="L122" s="10"/>
      <c r="M122" s="12"/>
      <c r="N122" s="12"/>
      <c r="O122" s="12"/>
      <c r="P122" s="12"/>
      <c r="Q122" s="1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1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1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1">
        <f>IFERROR(__xludf.DUMMYFUNCTION("""COMPUTED_VALUE"""),0.0)</f>
        <v>0</v>
      </c>
      <c r="BD122" s="11">
        <f>IFERROR(__xludf.DUMMYFUNCTION("""COMPUTED_VALUE"""),0.0)</f>
        <v>0</v>
      </c>
      <c r="BE122" s="11">
        <f>IFERROR(__xludf.DUMMYFUNCTION("""COMPUTED_VALUE"""),0.0)</f>
        <v>0</v>
      </c>
      <c r="BF122" s="13">
        <f>IFERROR(__xludf.DUMMYFUNCTION("""COMPUTED_VALUE"""),0.0)</f>
        <v>0</v>
      </c>
      <c r="BG122" s="12"/>
      <c r="BH122" s="12"/>
      <c r="BI122" s="12"/>
      <c r="BJ122" s="14"/>
      <c r="BK122" s="14"/>
      <c r="BL122" s="14"/>
      <c r="BM122" s="14"/>
      <c r="BN122" s="14"/>
      <c r="BO122" s="14"/>
    </row>
    <row r="123">
      <c r="A123" s="15" t="str">
        <f>IFERROR(__xludf.DUMMYFUNCTION("""COMPUTED_VALUE"""),"")</f>
        <v/>
      </c>
      <c r="B123" s="16"/>
      <c r="C123" s="17"/>
      <c r="D123" s="16"/>
      <c r="E123" s="16"/>
      <c r="F123" s="16"/>
      <c r="G123" s="17"/>
      <c r="H123" s="15"/>
      <c r="I123" s="18"/>
      <c r="J123" s="18"/>
      <c r="K123" s="18"/>
      <c r="L123" s="19"/>
      <c r="M123" s="20"/>
      <c r="N123" s="20"/>
      <c r="O123" s="20"/>
      <c r="P123" s="20"/>
      <c r="Q123" s="21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1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1">
        <f>IFERROR(__xludf.DUMMYFUNCTION("""COMPUTED_VALUE"""),0.0)</f>
        <v>0</v>
      </c>
      <c r="BD123" s="21">
        <f>IFERROR(__xludf.DUMMYFUNCTION("""COMPUTED_VALUE"""),0.0)</f>
        <v>0</v>
      </c>
      <c r="BE123" s="21">
        <f>IFERROR(__xludf.DUMMYFUNCTION("""COMPUTED_VALUE"""),0.0)</f>
        <v>0</v>
      </c>
      <c r="BF123" s="22">
        <f>IFERROR(__xludf.DUMMYFUNCTION("""COMPUTED_VALUE"""),0.0)</f>
        <v>0</v>
      </c>
      <c r="BG123" s="20"/>
      <c r="BH123" s="20"/>
      <c r="BI123" s="20"/>
      <c r="BJ123" s="14"/>
      <c r="BK123" s="14"/>
      <c r="BL123" s="14"/>
      <c r="BM123" s="14"/>
      <c r="BN123" s="14"/>
      <c r="BO123" s="14"/>
    </row>
    <row r="124">
      <c r="A124" s="6" t="str">
        <f>IFERROR(__xludf.DUMMYFUNCTION("""COMPUTED_VALUE"""),"")</f>
        <v/>
      </c>
      <c r="B124" s="7"/>
      <c r="C124" s="8"/>
      <c r="D124" s="7"/>
      <c r="E124" s="7"/>
      <c r="F124" s="7"/>
      <c r="G124" s="8"/>
      <c r="H124" s="6"/>
      <c r="I124" s="9"/>
      <c r="J124" s="9"/>
      <c r="K124" s="9"/>
      <c r="L124" s="10"/>
      <c r="M124" s="12"/>
      <c r="N124" s="12"/>
      <c r="O124" s="12"/>
      <c r="P124" s="11"/>
      <c r="Q124" s="11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1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1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1">
        <f>IFERROR(__xludf.DUMMYFUNCTION("""COMPUTED_VALUE"""),0.0)</f>
        <v>0</v>
      </c>
      <c r="BD124" s="11">
        <f>IFERROR(__xludf.DUMMYFUNCTION("""COMPUTED_VALUE"""),0.0)</f>
        <v>0</v>
      </c>
      <c r="BE124" s="11">
        <f>IFERROR(__xludf.DUMMYFUNCTION("""COMPUTED_VALUE"""),0.0)</f>
        <v>0</v>
      </c>
      <c r="BF124" s="13">
        <f>IFERROR(__xludf.DUMMYFUNCTION("""COMPUTED_VALUE"""),0.0)</f>
        <v>0</v>
      </c>
      <c r="BG124" s="12"/>
      <c r="BH124" s="12"/>
      <c r="BI124" s="12"/>
      <c r="BJ124" s="14"/>
      <c r="BK124" s="14"/>
      <c r="BL124" s="14"/>
      <c r="BM124" s="14"/>
      <c r="BN124" s="14"/>
      <c r="BO124" s="14"/>
    </row>
    <row r="125">
      <c r="A125" s="15" t="str">
        <f>IFERROR(__xludf.DUMMYFUNCTION("""COMPUTED_VALUE"""),"")</f>
        <v/>
      </c>
      <c r="B125" s="16"/>
      <c r="C125" s="17"/>
      <c r="D125" s="16"/>
      <c r="E125" s="16"/>
      <c r="F125" s="16"/>
      <c r="G125" s="17"/>
      <c r="H125" s="15"/>
      <c r="I125" s="18"/>
      <c r="J125" s="18"/>
      <c r="K125" s="18"/>
      <c r="L125" s="19"/>
      <c r="M125" s="20"/>
      <c r="N125" s="20"/>
      <c r="O125" s="20"/>
      <c r="P125" s="20"/>
      <c r="Q125" s="21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1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1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1">
        <f>IFERROR(__xludf.DUMMYFUNCTION("""COMPUTED_VALUE"""),0.0)</f>
        <v>0</v>
      </c>
      <c r="BD125" s="21">
        <f>IFERROR(__xludf.DUMMYFUNCTION("""COMPUTED_VALUE"""),0.0)</f>
        <v>0</v>
      </c>
      <c r="BE125" s="21">
        <f>IFERROR(__xludf.DUMMYFUNCTION("""COMPUTED_VALUE"""),0.0)</f>
        <v>0</v>
      </c>
      <c r="BF125" s="22">
        <f>IFERROR(__xludf.DUMMYFUNCTION("""COMPUTED_VALUE"""),0.0)</f>
        <v>0</v>
      </c>
      <c r="BG125" s="20"/>
      <c r="BH125" s="20"/>
      <c r="BI125" s="20"/>
      <c r="BJ125" s="14"/>
      <c r="BK125" s="14"/>
      <c r="BL125" s="14"/>
      <c r="BM125" s="14"/>
      <c r="BN125" s="14"/>
      <c r="BO125" s="14"/>
    </row>
    <row r="126">
      <c r="A126" s="6" t="str">
        <f>IFERROR(__xludf.DUMMYFUNCTION("""COMPUTED_VALUE"""),"")</f>
        <v/>
      </c>
      <c r="B126" s="7"/>
      <c r="C126" s="8"/>
      <c r="D126" s="7"/>
      <c r="E126" s="7"/>
      <c r="F126" s="7"/>
      <c r="G126" s="8"/>
      <c r="H126" s="6"/>
      <c r="I126" s="9"/>
      <c r="J126" s="9"/>
      <c r="K126" s="9"/>
      <c r="L126" s="10"/>
      <c r="M126" s="12"/>
      <c r="N126" s="12"/>
      <c r="O126" s="12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1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1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1">
        <f>IFERROR(__xludf.DUMMYFUNCTION("""COMPUTED_VALUE"""),0.0)</f>
        <v>0</v>
      </c>
      <c r="BD126" s="11">
        <f>IFERROR(__xludf.DUMMYFUNCTION("""COMPUTED_VALUE"""),0.0)</f>
        <v>0</v>
      </c>
      <c r="BE126" s="11">
        <f>IFERROR(__xludf.DUMMYFUNCTION("""COMPUTED_VALUE"""),0.0)</f>
        <v>0</v>
      </c>
      <c r="BF126" s="13">
        <f>IFERROR(__xludf.DUMMYFUNCTION("""COMPUTED_VALUE"""),0.0)</f>
        <v>0</v>
      </c>
      <c r="BG126" s="12"/>
      <c r="BH126" s="12"/>
      <c r="BI126" s="12"/>
      <c r="BJ126" s="14"/>
      <c r="BK126" s="14"/>
      <c r="BL126" s="14"/>
      <c r="BM126" s="14"/>
      <c r="BN126" s="14"/>
      <c r="BO126" s="14"/>
    </row>
    <row r="127">
      <c r="A127" s="15" t="str">
        <f>IFERROR(__xludf.DUMMYFUNCTION("""COMPUTED_VALUE"""),"")</f>
        <v/>
      </c>
      <c r="B127" s="16"/>
      <c r="C127" s="17"/>
      <c r="D127" s="16"/>
      <c r="E127" s="16"/>
      <c r="F127" s="16"/>
      <c r="G127" s="17"/>
      <c r="H127" s="15"/>
      <c r="I127" s="18"/>
      <c r="J127" s="18"/>
      <c r="K127" s="18"/>
      <c r="L127" s="19"/>
      <c r="M127" s="20"/>
      <c r="N127" s="20"/>
      <c r="O127" s="20"/>
      <c r="P127" s="21"/>
      <c r="Q127" s="21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1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1">
        <f>IFERROR(__xludf.DUMMYFUNCTION("""COMPUTED_VALUE"""),0.0)</f>
        <v>0</v>
      </c>
      <c r="BD127" s="21">
        <f>IFERROR(__xludf.DUMMYFUNCTION("""COMPUTED_VALUE"""),0.0)</f>
        <v>0</v>
      </c>
      <c r="BE127" s="21">
        <f>IFERROR(__xludf.DUMMYFUNCTION("""COMPUTED_VALUE"""),0.0)</f>
        <v>0</v>
      </c>
      <c r="BF127" s="22">
        <f>IFERROR(__xludf.DUMMYFUNCTION("""COMPUTED_VALUE"""),0.0)</f>
        <v>0</v>
      </c>
      <c r="BG127" s="20"/>
      <c r="BH127" s="20"/>
      <c r="BI127" s="20"/>
      <c r="BJ127" s="14"/>
      <c r="BK127" s="14"/>
      <c r="BL127" s="14"/>
      <c r="BM127" s="14"/>
      <c r="BN127" s="14"/>
      <c r="BO127" s="14"/>
    </row>
    <row r="128">
      <c r="A128" s="6" t="str">
        <f>IFERROR(__xludf.DUMMYFUNCTION("""COMPUTED_VALUE"""),"")</f>
        <v/>
      </c>
      <c r="B128" s="7"/>
      <c r="C128" s="8"/>
      <c r="D128" s="7"/>
      <c r="E128" s="7"/>
      <c r="F128" s="7"/>
      <c r="G128" s="8"/>
      <c r="H128" s="6"/>
      <c r="I128" s="9"/>
      <c r="J128" s="9"/>
      <c r="K128" s="9"/>
      <c r="L128" s="10"/>
      <c r="M128" s="12"/>
      <c r="N128" s="12"/>
      <c r="O128" s="12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1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1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1">
        <f>IFERROR(__xludf.DUMMYFUNCTION("""COMPUTED_VALUE"""),0.0)</f>
        <v>0</v>
      </c>
      <c r="BD128" s="11">
        <f>IFERROR(__xludf.DUMMYFUNCTION("""COMPUTED_VALUE"""),0.0)</f>
        <v>0</v>
      </c>
      <c r="BE128" s="11">
        <f>IFERROR(__xludf.DUMMYFUNCTION("""COMPUTED_VALUE"""),0.0)</f>
        <v>0</v>
      </c>
      <c r="BF128" s="13">
        <f>IFERROR(__xludf.DUMMYFUNCTION("""COMPUTED_VALUE"""),0.0)</f>
        <v>0</v>
      </c>
      <c r="BG128" s="12"/>
      <c r="BH128" s="12"/>
      <c r="BI128" s="12"/>
      <c r="BJ128" s="14"/>
      <c r="BK128" s="14"/>
      <c r="BL128" s="14"/>
      <c r="BM128" s="14"/>
      <c r="BN128" s="14"/>
      <c r="BO128" s="14"/>
    </row>
    <row r="129">
      <c r="A129" s="15" t="str">
        <f>IFERROR(__xludf.DUMMYFUNCTION("""COMPUTED_VALUE"""),"")</f>
        <v/>
      </c>
      <c r="B129" s="16"/>
      <c r="C129" s="17"/>
      <c r="D129" s="16"/>
      <c r="E129" s="16"/>
      <c r="F129" s="16"/>
      <c r="G129" s="17"/>
      <c r="H129" s="15"/>
      <c r="I129" s="20"/>
      <c r="J129" s="18"/>
      <c r="K129" s="18"/>
      <c r="L129" s="19"/>
      <c r="M129" s="20"/>
      <c r="N129" s="20"/>
      <c r="O129" s="20"/>
      <c r="P129" s="20"/>
      <c r="Q129" s="21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1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1">
        <f>IFERROR(__xludf.DUMMYFUNCTION("""COMPUTED_VALUE"""),0.0)</f>
        <v>0</v>
      </c>
      <c r="BD129" s="21">
        <f>IFERROR(__xludf.DUMMYFUNCTION("""COMPUTED_VALUE"""),0.0)</f>
        <v>0</v>
      </c>
      <c r="BE129" s="21">
        <f>IFERROR(__xludf.DUMMYFUNCTION("""COMPUTED_VALUE"""),0.0)</f>
        <v>0</v>
      </c>
      <c r="BF129" s="22">
        <f>IFERROR(__xludf.DUMMYFUNCTION("""COMPUTED_VALUE"""),0.0)</f>
        <v>0</v>
      </c>
      <c r="BG129" s="20"/>
      <c r="BH129" s="20"/>
      <c r="BI129" s="20"/>
      <c r="BJ129" s="14"/>
      <c r="BK129" s="14"/>
      <c r="BL129" s="14"/>
      <c r="BM129" s="14"/>
      <c r="BN129" s="14"/>
      <c r="BO129" s="14"/>
    </row>
    <row r="130">
      <c r="A130" s="6" t="str">
        <f>IFERROR(__xludf.DUMMYFUNCTION("""COMPUTED_VALUE"""),"")</f>
        <v/>
      </c>
      <c r="B130" s="7"/>
      <c r="C130" s="8"/>
      <c r="D130" s="7"/>
      <c r="E130" s="7"/>
      <c r="F130" s="7"/>
      <c r="G130" s="8"/>
      <c r="H130" s="6"/>
      <c r="I130" s="9"/>
      <c r="J130" s="9"/>
      <c r="K130" s="9"/>
      <c r="L130" s="10"/>
      <c r="M130" s="11"/>
      <c r="N130" s="11"/>
      <c r="O130" s="11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1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1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1">
        <f>IFERROR(__xludf.DUMMYFUNCTION("""COMPUTED_VALUE"""),0.0)</f>
        <v>0</v>
      </c>
      <c r="BD130" s="11">
        <f>IFERROR(__xludf.DUMMYFUNCTION("""COMPUTED_VALUE"""),0.0)</f>
        <v>0</v>
      </c>
      <c r="BE130" s="11">
        <f>IFERROR(__xludf.DUMMYFUNCTION("""COMPUTED_VALUE"""),0.0)</f>
        <v>0</v>
      </c>
      <c r="BF130" s="13">
        <f>IFERROR(__xludf.DUMMYFUNCTION("""COMPUTED_VALUE"""),0.0)</f>
        <v>0</v>
      </c>
      <c r="BG130" s="12"/>
      <c r="BH130" s="12"/>
      <c r="BI130" s="12"/>
      <c r="BJ130" s="14"/>
      <c r="BK130" s="14"/>
      <c r="BL130" s="14"/>
      <c r="BM130" s="14"/>
      <c r="BN130" s="14"/>
      <c r="BO130" s="14"/>
    </row>
    <row r="131">
      <c r="A131" s="15" t="str">
        <f>IFERROR(__xludf.DUMMYFUNCTION("""COMPUTED_VALUE"""),"")</f>
        <v/>
      </c>
      <c r="B131" s="16"/>
      <c r="C131" s="17"/>
      <c r="D131" s="16"/>
      <c r="E131" s="16"/>
      <c r="F131" s="16"/>
      <c r="G131" s="17"/>
      <c r="H131" s="15"/>
      <c r="I131" s="18"/>
      <c r="J131" s="18"/>
      <c r="K131" s="18"/>
      <c r="L131" s="19"/>
      <c r="M131" s="20"/>
      <c r="N131" s="20"/>
      <c r="O131" s="20"/>
      <c r="P131" s="21"/>
      <c r="Q131" s="21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1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1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1">
        <f>IFERROR(__xludf.DUMMYFUNCTION("""COMPUTED_VALUE"""),0.0)</f>
        <v>0</v>
      </c>
      <c r="BD131" s="21">
        <f>IFERROR(__xludf.DUMMYFUNCTION("""COMPUTED_VALUE"""),0.0)</f>
        <v>0</v>
      </c>
      <c r="BE131" s="21">
        <f>IFERROR(__xludf.DUMMYFUNCTION("""COMPUTED_VALUE"""),0.0)</f>
        <v>0</v>
      </c>
      <c r="BF131" s="22">
        <f>IFERROR(__xludf.DUMMYFUNCTION("""COMPUTED_VALUE"""),0.0)</f>
        <v>0</v>
      </c>
      <c r="BG131" s="20"/>
      <c r="BH131" s="20"/>
      <c r="BI131" s="20"/>
      <c r="BJ131" s="14"/>
      <c r="BK131" s="14"/>
      <c r="BL131" s="14"/>
      <c r="BM131" s="14"/>
      <c r="BN131" s="14"/>
      <c r="BO131" s="14"/>
    </row>
    <row r="132">
      <c r="A132" s="6" t="str">
        <f>IFERROR(__xludf.DUMMYFUNCTION("""COMPUTED_VALUE"""),"")</f>
        <v/>
      </c>
      <c r="B132" s="7"/>
      <c r="C132" s="8"/>
      <c r="D132" s="7"/>
      <c r="E132" s="7"/>
      <c r="F132" s="7"/>
      <c r="G132" s="8"/>
      <c r="H132" s="6"/>
      <c r="I132" s="9"/>
      <c r="J132" s="9"/>
      <c r="K132" s="9"/>
      <c r="L132" s="10"/>
      <c r="M132" s="12"/>
      <c r="N132" s="12"/>
      <c r="O132" s="12"/>
      <c r="P132" s="12"/>
      <c r="Q132" s="11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1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1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1">
        <f>IFERROR(__xludf.DUMMYFUNCTION("""COMPUTED_VALUE"""),0.0)</f>
        <v>0</v>
      </c>
      <c r="BD132" s="11">
        <f>IFERROR(__xludf.DUMMYFUNCTION("""COMPUTED_VALUE"""),0.0)</f>
        <v>0</v>
      </c>
      <c r="BE132" s="11">
        <f>IFERROR(__xludf.DUMMYFUNCTION("""COMPUTED_VALUE"""),0.0)</f>
        <v>0</v>
      </c>
      <c r="BF132" s="13">
        <f>IFERROR(__xludf.DUMMYFUNCTION("""COMPUTED_VALUE"""),0.0)</f>
        <v>0</v>
      </c>
      <c r="BG132" s="12"/>
      <c r="BH132" s="12"/>
      <c r="BI132" s="12"/>
      <c r="BJ132" s="14"/>
      <c r="BK132" s="14"/>
      <c r="BL132" s="14"/>
      <c r="BM132" s="14"/>
      <c r="BN132" s="14"/>
      <c r="BO132" s="14"/>
    </row>
    <row r="133">
      <c r="A133" s="15" t="str">
        <f>IFERROR(__xludf.DUMMYFUNCTION("""COMPUTED_VALUE"""),"")</f>
        <v/>
      </c>
      <c r="B133" s="16"/>
      <c r="C133" s="17"/>
      <c r="D133" s="16"/>
      <c r="E133" s="16"/>
      <c r="F133" s="16"/>
      <c r="G133" s="17"/>
      <c r="H133" s="15"/>
      <c r="I133" s="18"/>
      <c r="J133" s="18"/>
      <c r="K133" s="18"/>
      <c r="L133" s="19"/>
      <c r="M133" s="21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1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1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1">
        <f>IFERROR(__xludf.DUMMYFUNCTION("""COMPUTED_VALUE"""),0.0)</f>
        <v>0</v>
      </c>
      <c r="BD133" s="21">
        <f>IFERROR(__xludf.DUMMYFUNCTION("""COMPUTED_VALUE"""),0.0)</f>
        <v>0</v>
      </c>
      <c r="BE133" s="21">
        <f>IFERROR(__xludf.DUMMYFUNCTION("""COMPUTED_VALUE"""),0.0)</f>
        <v>0</v>
      </c>
      <c r="BF133" s="22">
        <f>IFERROR(__xludf.DUMMYFUNCTION("""COMPUTED_VALUE"""),0.0)</f>
        <v>0</v>
      </c>
      <c r="BG133" s="20"/>
      <c r="BH133" s="20"/>
      <c r="BI133" s="20"/>
      <c r="BJ133" s="14"/>
      <c r="BK133" s="14"/>
      <c r="BL133" s="14"/>
      <c r="BM133" s="14"/>
      <c r="BN133" s="14"/>
      <c r="BO133" s="14"/>
    </row>
    <row r="134">
      <c r="A134" s="6" t="str">
        <f>IFERROR(__xludf.DUMMYFUNCTION("""COMPUTED_VALUE"""),"")</f>
        <v/>
      </c>
      <c r="B134" s="7"/>
      <c r="C134" s="8"/>
      <c r="D134" s="7"/>
      <c r="E134" s="7"/>
      <c r="F134" s="7"/>
      <c r="G134" s="8"/>
      <c r="H134" s="6"/>
      <c r="I134" s="9"/>
      <c r="J134" s="9"/>
      <c r="K134" s="9"/>
      <c r="L134" s="10"/>
      <c r="M134" s="11"/>
      <c r="N134" s="12"/>
      <c r="O134" s="12"/>
      <c r="P134" s="11"/>
      <c r="Q134" s="11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1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1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1">
        <f>IFERROR(__xludf.DUMMYFUNCTION("""COMPUTED_VALUE"""),0.0)</f>
        <v>0</v>
      </c>
      <c r="BD134" s="11">
        <f>IFERROR(__xludf.DUMMYFUNCTION("""COMPUTED_VALUE"""),0.0)</f>
        <v>0</v>
      </c>
      <c r="BE134" s="11">
        <f>IFERROR(__xludf.DUMMYFUNCTION("""COMPUTED_VALUE"""),0.0)</f>
        <v>0</v>
      </c>
      <c r="BF134" s="13">
        <f>IFERROR(__xludf.DUMMYFUNCTION("""COMPUTED_VALUE"""),0.0)</f>
        <v>0</v>
      </c>
      <c r="BG134" s="12"/>
      <c r="BH134" s="12"/>
      <c r="BI134" s="12"/>
      <c r="BJ134" s="14"/>
      <c r="BK134" s="14"/>
      <c r="BL134" s="14"/>
      <c r="BM134" s="14"/>
      <c r="BN134" s="14"/>
      <c r="BO134" s="14"/>
    </row>
    <row r="135">
      <c r="A135" s="15" t="str">
        <f>IFERROR(__xludf.DUMMYFUNCTION("""COMPUTED_VALUE"""),"")</f>
        <v/>
      </c>
      <c r="B135" s="16"/>
      <c r="C135" s="17"/>
      <c r="D135" s="16"/>
      <c r="E135" s="16"/>
      <c r="F135" s="16"/>
      <c r="G135" s="17"/>
      <c r="H135" s="15"/>
      <c r="I135" s="18"/>
      <c r="J135" s="18"/>
      <c r="K135" s="18"/>
      <c r="L135" s="19"/>
      <c r="M135" s="20"/>
      <c r="N135" s="20"/>
      <c r="O135" s="20"/>
      <c r="P135" s="21"/>
      <c r="Q135" s="21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1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1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1">
        <f>IFERROR(__xludf.DUMMYFUNCTION("""COMPUTED_VALUE"""),0.0)</f>
        <v>0</v>
      </c>
      <c r="BD135" s="21">
        <f>IFERROR(__xludf.DUMMYFUNCTION("""COMPUTED_VALUE"""),0.0)</f>
        <v>0</v>
      </c>
      <c r="BE135" s="21">
        <f>IFERROR(__xludf.DUMMYFUNCTION("""COMPUTED_VALUE"""),0.0)</f>
        <v>0</v>
      </c>
      <c r="BF135" s="22">
        <f>IFERROR(__xludf.DUMMYFUNCTION("""COMPUTED_VALUE"""),0.0)</f>
        <v>0</v>
      </c>
      <c r="BG135" s="20"/>
      <c r="BH135" s="20"/>
      <c r="BI135" s="20"/>
      <c r="BJ135" s="14"/>
      <c r="BK135" s="14"/>
      <c r="BL135" s="14"/>
      <c r="BM135" s="14"/>
      <c r="BN135" s="14"/>
      <c r="BO135" s="14"/>
    </row>
    <row r="136">
      <c r="A136" s="6" t="str">
        <f>IFERROR(__xludf.DUMMYFUNCTION("""COMPUTED_VALUE"""),"")</f>
        <v/>
      </c>
      <c r="B136" s="7"/>
      <c r="C136" s="8"/>
      <c r="D136" s="7"/>
      <c r="E136" s="7"/>
      <c r="F136" s="7"/>
      <c r="G136" s="8"/>
      <c r="H136" s="6"/>
      <c r="I136" s="9"/>
      <c r="J136" s="9"/>
      <c r="K136" s="9"/>
      <c r="L136" s="10"/>
      <c r="M136" s="12"/>
      <c r="N136" s="12"/>
      <c r="O136" s="12"/>
      <c r="P136" s="11"/>
      <c r="Q136" s="11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1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1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1">
        <f>IFERROR(__xludf.DUMMYFUNCTION("""COMPUTED_VALUE"""),0.0)</f>
        <v>0</v>
      </c>
      <c r="BD136" s="11">
        <f>IFERROR(__xludf.DUMMYFUNCTION("""COMPUTED_VALUE"""),0.0)</f>
        <v>0</v>
      </c>
      <c r="BE136" s="11">
        <f>IFERROR(__xludf.DUMMYFUNCTION("""COMPUTED_VALUE"""),0.0)</f>
        <v>0</v>
      </c>
      <c r="BF136" s="13">
        <f>IFERROR(__xludf.DUMMYFUNCTION("""COMPUTED_VALUE"""),0.0)</f>
        <v>0</v>
      </c>
      <c r="BG136" s="12"/>
      <c r="BH136" s="12"/>
      <c r="BI136" s="12"/>
      <c r="BJ136" s="14"/>
      <c r="BK136" s="14"/>
      <c r="BL136" s="14"/>
      <c r="BM136" s="14"/>
      <c r="BN136" s="14"/>
      <c r="BO136" s="14"/>
    </row>
    <row r="137">
      <c r="A137" s="15" t="str">
        <f>IFERROR(__xludf.DUMMYFUNCTION("""COMPUTED_VALUE"""),"")</f>
        <v/>
      </c>
      <c r="B137" s="16"/>
      <c r="C137" s="17"/>
      <c r="D137" s="16"/>
      <c r="E137" s="16"/>
      <c r="F137" s="16"/>
      <c r="G137" s="17"/>
      <c r="H137" s="15"/>
      <c r="I137" s="18"/>
      <c r="J137" s="18"/>
      <c r="K137" s="18"/>
      <c r="L137" s="19"/>
      <c r="M137" s="21"/>
      <c r="N137" s="20"/>
      <c r="O137" s="20"/>
      <c r="P137" s="21"/>
      <c r="Q137" s="21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1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1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1">
        <f>IFERROR(__xludf.DUMMYFUNCTION("""COMPUTED_VALUE"""),0.0)</f>
        <v>0</v>
      </c>
      <c r="BD137" s="21">
        <f>IFERROR(__xludf.DUMMYFUNCTION("""COMPUTED_VALUE"""),0.0)</f>
        <v>0</v>
      </c>
      <c r="BE137" s="21">
        <f>IFERROR(__xludf.DUMMYFUNCTION("""COMPUTED_VALUE"""),0.0)</f>
        <v>0</v>
      </c>
      <c r="BF137" s="22">
        <f>IFERROR(__xludf.DUMMYFUNCTION("""COMPUTED_VALUE"""),0.0)</f>
        <v>0</v>
      </c>
      <c r="BG137" s="20"/>
      <c r="BH137" s="20"/>
      <c r="BI137" s="20"/>
      <c r="BJ137" s="14"/>
      <c r="BK137" s="14"/>
      <c r="BL137" s="14"/>
      <c r="BM137" s="14"/>
      <c r="BN137" s="14"/>
      <c r="BO137" s="14"/>
    </row>
    <row r="138">
      <c r="A138" s="6" t="str">
        <f>IFERROR(__xludf.DUMMYFUNCTION("""COMPUTED_VALUE"""),"")</f>
        <v/>
      </c>
      <c r="B138" s="7"/>
      <c r="C138" s="8"/>
      <c r="D138" s="7"/>
      <c r="E138" s="7"/>
      <c r="F138" s="7"/>
      <c r="G138" s="8"/>
      <c r="H138" s="6"/>
      <c r="I138" s="9"/>
      <c r="J138" s="9"/>
      <c r="K138" s="9"/>
      <c r="L138" s="10"/>
      <c r="M138" s="12"/>
      <c r="N138" s="12"/>
      <c r="O138" s="12"/>
      <c r="P138" s="11"/>
      <c r="Q138" s="11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1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1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1">
        <f>IFERROR(__xludf.DUMMYFUNCTION("""COMPUTED_VALUE"""),0.0)</f>
        <v>0</v>
      </c>
      <c r="BD138" s="11">
        <f>IFERROR(__xludf.DUMMYFUNCTION("""COMPUTED_VALUE"""),0.0)</f>
        <v>0</v>
      </c>
      <c r="BE138" s="11">
        <f>IFERROR(__xludf.DUMMYFUNCTION("""COMPUTED_VALUE"""),0.0)</f>
        <v>0</v>
      </c>
      <c r="BF138" s="13">
        <f>IFERROR(__xludf.DUMMYFUNCTION("""COMPUTED_VALUE"""),0.0)</f>
        <v>0</v>
      </c>
      <c r="BG138" s="12"/>
      <c r="BH138" s="12"/>
      <c r="BI138" s="12"/>
      <c r="BJ138" s="14"/>
      <c r="BK138" s="14"/>
      <c r="BL138" s="14"/>
      <c r="BM138" s="14"/>
      <c r="BN138" s="14"/>
      <c r="BO138" s="14"/>
    </row>
    <row r="139">
      <c r="A139" s="15" t="str">
        <f>IFERROR(__xludf.DUMMYFUNCTION("""COMPUTED_VALUE"""),"")</f>
        <v/>
      </c>
      <c r="B139" s="16"/>
      <c r="C139" s="17"/>
      <c r="D139" s="16"/>
      <c r="E139" s="16"/>
      <c r="F139" s="16"/>
      <c r="G139" s="17"/>
      <c r="H139" s="15"/>
      <c r="I139" s="18"/>
      <c r="J139" s="18"/>
      <c r="K139" s="18"/>
      <c r="L139" s="19"/>
      <c r="M139" s="21"/>
      <c r="N139" s="21"/>
      <c r="O139" s="20"/>
      <c r="P139" s="21"/>
      <c r="Q139" s="21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1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1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1">
        <f>IFERROR(__xludf.DUMMYFUNCTION("""COMPUTED_VALUE"""),0.0)</f>
        <v>0</v>
      </c>
      <c r="BD139" s="21">
        <f>IFERROR(__xludf.DUMMYFUNCTION("""COMPUTED_VALUE"""),0.0)</f>
        <v>0</v>
      </c>
      <c r="BE139" s="21">
        <f>IFERROR(__xludf.DUMMYFUNCTION("""COMPUTED_VALUE"""),0.0)</f>
        <v>0</v>
      </c>
      <c r="BF139" s="22">
        <f>IFERROR(__xludf.DUMMYFUNCTION("""COMPUTED_VALUE"""),0.0)</f>
        <v>0</v>
      </c>
      <c r="BG139" s="20"/>
      <c r="BH139" s="20"/>
      <c r="BI139" s="20"/>
      <c r="BJ139" s="14"/>
      <c r="BK139" s="14"/>
      <c r="BL139" s="14"/>
      <c r="BM139" s="14"/>
      <c r="BN139" s="14"/>
      <c r="BO139" s="14"/>
    </row>
    <row r="140">
      <c r="A140" s="6" t="str">
        <f>IFERROR(__xludf.DUMMYFUNCTION("""COMPUTED_VALUE"""),"")</f>
        <v/>
      </c>
      <c r="B140" s="7"/>
      <c r="C140" s="8"/>
      <c r="D140" s="7"/>
      <c r="E140" s="7"/>
      <c r="F140" s="7"/>
      <c r="G140" s="8"/>
      <c r="H140" s="6"/>
      <c r="I140" s="9"/>
      <c r="J140" s="9"/>
      <c r="K140" s="9"/>
      <c r="L140" s="10"/>
      <c r="M140" s="12"/>
      <c r="N140" s="12"/>
      <c r="O140" s="12"/>
      <c r="P140" s="12"/>
      <c r="Q140" s="11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1">
        <f>IFERROR(__xludf.DUMMYFUNCTION("""COMPUTED_VALUE"""),0.0)</f>
        <v>0</v>
      </c>
      <c r="BD140" s="11">
        <f>IFERROR(__xludf.DUMMYFUNCTION("""COMPUTED_VALUE"""),0.0)</f>
        <v>0</v>
      </c>
      <c r="BE140" s="11">
        <f>IFERROR(__xludf.DUMMYFUNCTION("""COMPUTED_VALUE"""),0.0)</f>
        <v>0</v>
      </c>
      <c r="BF140" s="13">
        <f>IFERROR(__xludf.DUMMYFUNCTION("""COMPUTED_VALUE"""),0.0)</f>
        <v>0</v>
      </c>
      <c r="BG140" s="12"/>
      <c r="BH140" s="12"/>
      <c r="BI140" s="12"/>
      <c r="BJ140" s="14"/>
      <c r="BK140" s="14"/>
      <c r="BL140" s="14"/>
      <c r="BM140" s="14"/>
      <c r="BN140" s="14"/>
      <c r="BO140" s="14"/>
    </row>
    <row r="141">
      <c r="A141" s="15" t="str">
        <f>IFERROR(__xludf.DUMMYFUNCTION("""COMPUTED_VALUE"""),"")</f>
        <v/>
      </c>
      <c r="B141" s="16"/>
      <c r="C141" s="17"/>
      <c r="D141" s="16"/>
      <c r="E141" s="16"/>
      <c r="F141" s="16"/>
      <c r="G141" s="17"/>
      <c r="H141" s="15"/>
      <c r="I141" s="20"/>
      <c r="J141" s="18"/>
      <c r="K141" s="18"/>
      <c r="L141" s="19"/>
      <c r="M141" s="20"/>
      <c r="N141" s="20"/>
      <c r="O141" s="20"/>
      <c r="P141" s="20"/>
      <c r="Q141" s="21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1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1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1">
        <f>IFERROR(__xludf.DUMMYFUNCTION("""COMPUTED_VALUE"""),0.0)</f>
        <v>0</v>
      </c>
      <c r="BD141" s="21">
        <f>IFERROR(__xludf.DUMMYFUNCTION("""COMPUTED_VALUE"""),0.0)</f>
        <v>0</v>
      </c>
      <c r="BE141" s="21">
        <f>IFERROR(__xludf.DUMMYFUNCTION("""COMPUTED_VALUE"""),0.0)</f>
        <v>0</v>
      </c>
      <c r="BF141" s="22">
        <f>IFERROR(__xludf.DUMMYFUNCTION("""COMPUTED_VALUE"""),0.0)</f>
        <v>0</v>
      </c>
      <c r="BG141" s="20"/>
      <c r="BH141" s="20"/>
      <c r="BI141" s="20"/>
      <c r="BJ141" s="14"/>
      <c r="BK141" s="14"/>
      <c r="BL141" s="14"/>
      <c r="BM141" s="14"/>
      <c r="BN141" s="14"/>
      <c r="BO141" s="14"/>
    </row>
    <row r="142">
      <c r="A142" s="6" t="str">
        <f>IFERROR(__xludf.DUMMYFUNCTION("""COMPUTED_VALUE"""),"")</f>
        <v/>
      </c>
      <c r="B142" s="7"/>
      <c r="C142" s="8"/>
      <c r="D142" s="7"/>
      <c r="E142" s="7"/>
      <c r="F142" s="7"/>
      <c r="G142" s="8"/>
      <c r="H142" s="6"/>
      <c r="I142" s="12"/>
      <c r="J142" s="9"/>
      <c r="K142" s="9"/>
      <c r="L142" s="10"/>
      <c r="M142" s="12"/>
      <c r="N142" s="12"/>
      <c r="O142" s="12"/>
      <c r="P142" s="12"/>
      <c r="Q142" s="11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1">
        <f>IFERROR(__xludf.DUMMYFUNCTION("""COMPUTED_VALUE"""),0.0)</f>
        <v>0</v>
      </c>
      <c r="BD142" s="11">
        <f>IFERROR(__xludf.DUMMYFUNCTION("""COMPUTED_VALUE"""),0.0)</f>
        <v>0</v>
      </c>
      <c r="BE142" s="11">
        <f>IFERROR(__xludf.DUMMYFUNCTION("""COMPUTED_VALUE"""),0.0)</f>
        <v>0</v>
      </c>
      <c r="BF142" s="13">
        <f>IFERROR(__xludf.DUMMYFUNCTION("""COMPUTED_VALUE"""),0.0)</f>
        <v>0</v>
      </c>
      <c r="BG142" s="12"/>
      <c r="BH142" s="12"/>
      <c r="BI142" s="12"/>
      <c r="BJ142" s="14"/>
      <c r="BK142" s="14"/>
      <c r="BL142" s="14"/>
      <c r="BM142" s="14"/>
      <c r="BN142" s="14"/>
      <c r="BO142" s="14"/>
    </row>
    <row r="143">
      <c r="A143" s="15" t="str">
        <f>IFERROR(__xludf.DUMMYFUNCTION("""COMPUTED_VALUE"""),"")</f>
        <v/>
      </c>
      <c r="B143" s="16"/>
      <c r="C143" s="17"/>
      <c r="D143" s="16"/>
      <c r="E143" s="16"/>
      <c r="F143" s="16"/>
      <c r="G143" s="17"/>
      <c r="H143" s="15"/>
      <c r="I143" s="20"/>
      <c r="J143" s="18"/>
      <c r="K143" s="18"/>
      <c r="L143" s="19"/>
      <c r="M143" s="20"/>
      <c r="N143" s="20"/>
      <c r="O143" s="20"/>
      <c r="P143" s="20"/>
      <c r="Q143" s="21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1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1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1">
        <f>IFERROR(__xludf.DUMMYFUNCTION("""COMPUTED_VALUE"""),0.0)</f>
        <v>0</v>
      </c>
      <c r="BD143" s="21">
        <f>IFERROR(__xludf.DUMMYFUNCTION("""COMPUTED_VALUE"""),0.0)</f>
        <v>0</v>
      </c>
      <c r="BE143" s="21">
        <f>IFERROR(__xludf.DUMMYFUNCTION("""COMPUTED_VALUE"""),0.0)</f>
        <v>0</v>
      </c>
      <c r="BF143" s="22">
        <f>IFERROR(__xludf.DUMMYFUNCTION("""COMPUTED_VALUE"""),0.0)</f>
        <v>0</v>
      </c>
      <c r="BG143" s="20"/>
      <c r="BH143" s="20"/>
      <c r="BI143" s="20"/>
      <c r="BJ143" s="14"/>
      <c r="BK143" s="14"/>
      <c r="BL143" s="14"/>
      <c r="BM143" s="14"/>
      <c r="BN143" s="14"/>
      <c r="BO143" s="14"/>
    </row>
    <row r="144">
      <c r="A144" s="6" t="str">
        <f>IFERROR(__xludf.DUMMYFUNCTION("""COMPUTED_VALUE"""),"")</f>
        <v/>
      </c>
      <c r="B144" s="7"/>
      <c r="C144" s="8"/>
      <c r="D144" s="7"/>
      <c r="E144" s="7"/>
      <c r="F144" s="7"/>
      <c r="G144" s="8"/>
      <c r="H144" s="6"/>
      <c r="I144" s="12"/>
      <c r="J144" s="9"/>
      <c r="K144" s="9"/>
      <c r="L144" s="10"/>
      <c r="M144" s="12"/>
      <c r="N144" s="12"/>
      <c r="O144" s="12"/>
      <c r="P144" s="12"/>
      <c r="Q144" s="11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1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1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1">
        <f>IFERROR(__xludf.DUMMYFUNCTION("""COMPUTED_VALUE"""),0.0)</f>
        <v>0</v>
      </c>
      <c r="BD144" s="11">
        <f>IFERROR(__xludf.DUMMYFUNCTION("""COMPUTED_VALUE"""),0.0)</f>
        <v>0</v>
      </c>
      <c r="BE144" s="11">
        <f>IFERROR(__xludf.DUMMYFUNCTION("""COMPUTED_VALUE"""),0.0)</f>
        <v>0</v>
      </c>
      <c r="BF144" s="13">
        <f>IFERROR(__xludf.DUMMYFUNCTION("""COMPUTED_VALUE"""),0.0)</f>
        <v>0</v>
      </c>
      <c r="BG144" s="12"/>
      <c r="BH144" s="12"/>
      <c r="BI144" s="12"/>
      <c r="BJ144" s="14"/>
      <c r="BK144" s="14"/>
      <c r="BL144" s="14"/>
      <c r="BM144" s="14"/>
      <c r="BN144" s="14"/>
      <c r="BO144" s="14"/>
    </row>
    <row r="145">
      <c r="A145" s="15" t="str">
        <f>IFERROR(__xludf.DUMMYFUNCTION("""COMPUTED_VALUE"""),"")</f>
        <v/>
      </c>
      <c r="B145" s="16"/>
      <c r="C145" s="17"/>
      <c r="D145" s="16"/>
      <c r="E145" s="16"/>
      <c r="F145" s="16"/>
      <c r="G145" s="17"/>
      <c r="H145" s="15"/>
      <c r="I145" s="20"/>
      <c r="J145" s="18"/>
      <c r="K145" s="18"/>
      <c r="L145" s="19"/>
      <c r="M145" s="20"/>
      <c r="N145" s="20"/>
      <c r="O145" s="20"/>
      <c r="P145" s="20"/>
      <c r="Q145" s="21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1">
        <f>IFERROR(__xludf.DUMMYFUNCTION("""COMPUTED_VALUE"""),0.0)</f>
        <v>0</v>
      </c>
      <c r="BD145" s="21">
        <f>IFERROR(__xludf.DUMMYFUNCTION("""COMPUTED_VALUE"""),0.0)</f>
        <v>0</v>
      </c>
      <c r="BE145" s="21">
        <f>IFERROR(__xludf.DUMMYFUNCTION("""COMPUTED_VALUE"""),0.0)</f>
        <v>0</v>
      </c>
      <c r="BF145" s="22">
        <f>IFERROR(__xludf.DUMMYFUNCTION("""COMPUTED_VALUE"""),0.0)</f>
        <v>0</v>
      </c>
      <c r="BG145" s="20"/>
      <c r="BH145" s="20"/>
      <c r="BI145" s="20"/>
      <c r="BJ145" s="14"/>
      <c r="BK145" s="14"/>
      <c r="BL145" s="14"/>
      <c r="BM145" s="14"/>
      <c r="BN145" s="14"/>
      <c r="BO145" s="14"/>
    </row>
    <row r="146">
      <c r="A146" s="6" t="str">
        <f>IFERROR(__xludf.DUMMYFUNCTION("""COMPUTED_VALUE"""),"")</f>
        <v/>
      </c>
      <c r="B146" s="7"/>
      <c r="C146" s="8"/>
      <c r="D146" s="7"/>
      <c r="E146" s="7"/>
      <c r="F146" s="7"/>
      <c r="G146" s="8"/>
      <c r="H146" s="6"/>
      <c r="I146" s="12"/>
      <c r="J146" s="9"/>
      <c r="K146" s="9"/>
      <c r="L146" s="10"/>
      <c r="M146" s="12"/>
      <c r="N146" s="12"/>
      <c r="O146" s="12"/>
      <c r="P146" s="12"/>
      <c r="Q146" s="11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1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1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1">
        <f>IFERROR(__xludf.DUMMYFUNCTION("""COMPUTED_VALUE"""),0.0)</f>
        <v>0</v>
      </c>
      <c r="BD146" s="11">
        <f>IFERROR(__xludf.DUMMYFUNCTION("""COMPUTED_VALUE"""),0.0)</f>
        <v>0</v>
      </c>
      <c r="BE146" s="11">
        <f>IFERROR(__xludf.DUMMYFUNCTION("""COMPUTED_VALUE"""),0.0)</f>
        <v>0</v>
      </c>
      <c r="BF146" s="13">
        <f>IFERROR(__xludf.DUMMYFUNCTION("""COMPUTED_VALUE"""),0.0)</f>
        <v>0</v>
      </c>
      <c r="BG146" s="12"/>
      <c r="BH146" s="12"/>
      <c r="BI146" s="12"/>
      <c r="BJ146" s="14"/>
      <c r="BK146" s="14"/>
      <c r="BL146" s="14"/>
      <c r="BM146" s="14"/>
      <c r="BN146" s="14"/>
      <c r="BO146" s="14"/>
    </row>
    <row r="147">
      <c r="A147" s="15" t="str">
        <f>IFERROR(__xludf.DUMMYFUNCTION("""COMPUTED_VALUE"""),"")</f>
        <v/>
      </c>
      <c r="B147" s="16"/>
      <c r="C147" s="17"/>
      <c r="D147" s="16"/>
      <c r="E147" s="16"/>
      <c r="F147" s="16"/>
      <c r="G147" s="17"/>
      <c r="H147" s="15"/>
      <c r="I147" s="20"/>
      <c r="J147" s="18"/>
      <c r="K147" s="18"/>
      <c r="L147" s="19"/>
      <c r="M147" s="20"/>
      <c r="N147" s="20"/>
      <c r="O147" s="20"/>
      <c r="P147" s="20"/>
      <c r="Q147" s="21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1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1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1">
        <f>IFERROR(__xludf.DUMMYFUNCTION("""COMPUTED_VALUE"""),0.0)</f>
        <v>0</v>
      </c>
      <c r="BD147" s="21">
        <f>IFERROR(__xludf.DUMMYFUNCTION("""COMPUTED_VALUE"""),0.0)</f>
        <v>0</v>
      </c>
      <c r="BE147" s="21">
        <f>IFERROR(__xludf.DUMMYFUNCTION("""COMPUTED_VALUE"""),0.0)</f>
        <v>0</v>
      </c>
      <c r="BF147" s="22">
        <f>IFERROR(__xludf.DUMMYFUNCTION("""COMPUTED_VALUE"""),0.0)</f>
        <v>0</v>
      </c>
      <c r="BG147" s="20"/>
      <c r="BH147" s="20"/>
      <c r="BI147" s="20"/>
      <c r="BJ147" s="14"/>
      <c r="BK147" s="14"/>
      <c r="BL147" s="14"/>
      <c r="BM147" s="14"/>
      <c r="BN147" s="14"/>
      <c r="BO147" s="14"/>
    </row>
    <row r="148">
      <c r="A148" s="6" t="str">
        <f>IFERROR(__xludf.DUMMYFUNCTION("""COMPUTED_VALUE"""),"")</f>
        <v/>
      </c>
      <c r="B148" s="7"/>
      <c r="C148" s="8"/>
      <c r="D148" s="7"/>
      <c r="E148" s="7"/>
      <c r="F148" s="7"/>
      <c r="G148" s="8"/>
      <c r="H148" s="6"/>
      <c r="I148" s="12"/>
      <c r="J148" s="9"/>
      <c r="K148" s="9"/>
      <c r="L148" s="10"/>
      <c r="M148" s="12"/>
      <c r="N148" s="12"/>
      <c r="O148" s="12"/>
      <c r="P148" s="12"/>
      <c r="Q148" s="11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1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1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1">
        <f>IFERROR(__xludf.DUMMYFUNCTION("""COMPUTED_VALUE"""),0.0)</f>
        <v>0</v>
      </c>
      <c r="BD148" s="11">
        <f>IFERROR(__xludf.DUMMYFUNCTION("""COMPUTED_VALUE"""),0.0)</f>
        <v>0</v>
      </c>
      <c r="BE148" s="11">
        <f>IFERROR(__xludf.DUMMYFUNCTION("""COMPUTED_VALUE"""),0.0)</f>
        <v>0</v>
      </c>
      <c r="BF148" s="13">
        <f>IFERROR(__xludf.DUMMYFUNCTION("""COMPUTED_VALUE"""),0.0)</f>
        <v>0</v>
      </c>
      <c r="BG148" s="12"/>
      <c r="BH148" s="12"/>
      <c r="BI148" s="12"/>
      <c r="BJ148" s="14"/>
      <c r="BK148" s="14"/>
      <c r="BL148" s="14"/>
      <c r="BM148" s="14"/>
      <c r="BN148" s="14"/>
      <c r="BO148" s="14"/>
    </row>
    <row r="149">
      <c r="A149" s="15" t="str">
        <f>IFERROR(__xludf.DUMMYFUNCTION("""COMPUTED_VALUE"""),"")</f>
        <v/>
      </c>
      <c r="B149" s="16"/>
      <c r="C149" s="17"/>
      <c r="D149" s="16"/>
      <c r="E149" s="16"/>
      <c r="F149" s="16"/>
      <c r="G149" s="17"/>
      <c r="H149" s="15"/>
      <c r="I149" s="20"/>
      <c r="J149" s="18"/>
      <c r="K149" s="18"/>
      <c r="L149" s="19"/>
      <c r="M149" s="20"/>
      <c r="N149" s="20"/>
      <c r="O149" s="20"/>
      <c r="P149" s="20"/>
      <c r="Q149" s="21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1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1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1">
        <f>IFERROR(__xludf.DUMMYFUNCTION("""COMPUTED_VALUE"""),0.0)</f>
        <v>0</v>
      </c>
      <c r="BD149" s="21">
        <f>IFERROR(__xludf.DUMMYFUNCTION("""COMPUTED_VALUE"""),0.0)</f>
        <v>0</v>
      </c>
      <c r="BE149" s="21">
        <f>IFERROR(__xludf.DUMMYFUNCTION("""COMPUTED_VALUE"""),0.0)</f>
        <v>0</v>
      </c>
      <c r="BF149" s="22">
        <f>IFERROR(__xludf.DUMMYFUNCTION("""COMPUTED_VALUE"""),0.0)</f>
        <v>0</v>
      </c>
      <c r="BG149" s="20"/>
      <c r="BH149" s="20"/>
      <c r="BI149" s="20"/>
      <c r="BJ149" s="14"/>
      <c r="BK149" s="14"/>
      <c r="BL149" s="14"/>
      <c r="BM149" s="14"/>
      <c r="BN149" s="14"/>
      <c r="BO149" s="14"/>
    </row>
    <row r="150">
      <c r="A150" s="6" t="str">
        <f>IFERROR(__xludf.DUMMYFUNCTION("""COMPUTED_VALUE"""),"")</f>
        <v/>
      </c>
      <c r="B150" s="7"/>
      <c r="C150" s="8"/>
      <c r="D150" s="7"/>
      <c r="E150" s="7"/>
      <c r="F150" s="7"/>
      <c r="G150" s="8"/>
      <c r="H150" s="6"/>
      <c r="I150" s="12"/>
      <c r="J150" s="9"/>
      <c r="K150" s="9"/>
      <c r="L150" s="10"/>
      <c r="M150" s="12"/>
      <c r="N150" s="12"/>
      <c r="O150" s="12"/>
      <c r="P150" s="11"/>
      <c r="Q150" s="11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1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1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1">
        <f>IFERROR(__xludf.DUMMYFUNCTION("""COMPUTED_VALUE"""),0.0)</f>
        <v>0</v>
      </c>
      <c r="BD150" s="11">
        <f>IFERROR(__xludf.DUMMYFUNCTION("""COMPUTED_VALUE"""),0.0)</f>
        <v>0</v>
      </c>
      <c r="BE150" s="11">
        <f>IFERROR(__xludf.DUMMYFUNCTION("""COMPUTED_VALUE"""),0.0)</f>
        <v>0</v>
      </c>
      <c r="BF150" s="13">
        <f>IFERROR(__xludf.DUMMYFUNCTION("""COMPUTED_VALUE"""),0.0)</f>
        <v>0</v>
      </c>
      <c r="BG150" s="12"/>
      <c r="BH150" s="12"/>
      <c r="BI150" s="12"/>
      <c r="BJ150" s="14"/>
      <c r="BK150" s="14"/>
      <c r="BL150" s="14"/>
      <c r="BM150" s="14"/>
      <c r="BN150" s="14"/>
      <c r="BO150" s="14"/>
    </row>
    <row r="151">
      <c r="A151" s="15" t="str">
        <f>IFERROR(__xludf.DUMMYFUNCTION("""COMPUTED_VALUE"""),"")</f>
        <v/>
      </c>
      <c r="B151" s="16"/>
      <c r="C151" s="17"/>
      <c r="D151" s="16"/>
      <c r="E151" s="16"/>
      <c r="F151" s="16"/>
      <c r="G151" s="17"/>
      <c r="H151" s="15"/>
      <c r="I151" s="20"/>
      <c r="J151" s="18"/>
      <c r="K151" s="18"/>
      <c r="L151" s="19"/>
      <c r="M151" s="21"/>
      <c r="N151" s="20"/>
      <c r="O151" s="20"/>
      <c r="P151" s="21"/>
      <c r="Q151" s="2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1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1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1">
        <f>IFERROR(__xludf.DUMMYFUNCTION("""COMPUTED_VALUE"""),0.0)</f>
        <v>0</v>
      </c>
      <c r="BD151" s="21">
        <f>IFERROR(__xludf.DUMMYFUNCTION("""COMPUTED_VALUE"""),0.0)</f>
        <v>0</v>
      </c>
      <c r="BE151" s="21">
        <f>IFERROR(__xludf.DUMMYFUNCTION("""COMPUTED_VALUE"""),0.0)</f>
        <v>0</v>
      </c>
      <c r="BF151" s="22">
        <f>IFERROR(__xludf.DUMMYFUNCTION("""COMPUTED_VALUE"""),0.0)</f>
        <v>0</v>
      </c>
      <c r="BG151" s="20"/>
      <c r="BH151" s="20"/>
      <c r="BI151" s="20"/>
      <c r="BJ151" s="14"/>
      <c r="BK151" s="14"/>
      <c r="BL151" s="14"/>
      <c r="BM151" s="14"/>
      <c r="BN151" s="14"/>
      <c r="BO151" s="14"/>
    </row>
    <row r="152">
      <c r="A152" s="6" t="str">
        <f>IFERROR(__xludf.DUMMYFUNCTION("""COMPUTED_VALUE"""),"")</f>
        <v/>
      </c>
      <c r="B152" s="7"/>
      <c r="C152" s="8"/>
      <c r="D152" s="7"/>
      <c r="E152" s="7"/>
      <c r="F152" s="7"/>
      <c r="G152" s="8"/>
      <c r="H152" s="6"/>
      <c r="I152" s="12"/>
      <c r="J152" s="9"/>
      <c r="K152" s="9"/>
      <c r="L152" s="10"/>
      <c r="M152" s="12"/>
      <c r="N152" s="12"/>
      <c r="O152" s="12"/>
      <c r="P152" s="12"/>
      <c r="Q152" s="11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1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1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1">
        <f>IFERROR(__xludf.DUMMYFUNCTION("""COMPUTED_VALUE"""),0.0)</f>
        <v>0</v>
      </c>
      <c r="BD152" s="11">
        <f>IFERROR(__xludf.DUMMYFUNCTION("""COMPUTED_VALUE"""),0.0)</f>
        <v>0</v>
      </c>
      <c r="BE152" s="11">
        <f>IFERROR(__xludf.DUMMYFUNCTION("""COMPUTED_VALUE"""),0.0)</f>
        <v>0</v>
      </c>
      <c r="BF152" s="13">
        <f>IFERROR(__xludf.DUMMYFUNCTION("""COMPUTED_VALUE"""),0.0)</f>
        <v>0</v>
      </c>
      <c r="BG152" s="12"/>
      <c r="BH152" s="12"/>
      <c r="BI152" s="12"/>
      <c r="BJ152" s="14"/>
      <c r="BK152" s="14"/>
      <c r="BL152" s="14"/>
      <c r="BM152" s="14"/>
      <c r="BN152" s="14"/>
      <c r="BO152" s="14"/>
    </row>
    <row r="153">
      <c r="A153" s="15" t="str">
        <f>IFERROR(__xludf.DUMMYFUNCTION("""COMPUTED_VALUE"""),"")</f>
        <v/>
      </c>
      <c r="B153" s="16"/>
      <c r="C153" s="17"/>
      <c r="D153" s="16"/>
      <c r="E153" s="16"/>
      <c r="F153" s="16"/>
      <c r="G153" s="17"/>
      <c r="H153" s="15"/>
      <c r="I153" s="20"/>
      <c r="J153" s="18"/>
      <c r="K153" s="18"/>
      <c r="L153" s="19"/>
      <c r="M153" s="20"/>
      <c r="N153" s="20"/>
      <c r="O153" s="20"/>
      <c r="P153" s="20"/>
      <c r="Q153" s="21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1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1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1">
        <f>IFERROR(__xludf.DUMMYFUNCTION("""COMPUTED_VALUE"""),0.0)</f>
        <v>0</v>
      </c>
      <c r="BD153" s="21">
        <f>IFERROR(__xludf.DUMMYFUNCTION("""COMPUTED_VALUE"""),0.0)</f>
        <v>0</v>
      </c>
      <c r="BE153" s="21">
        <f>IFERROR(__xludf.DUMMYFUNCTION("""COMPUTED_VALUE"""),0.0)</f>
        <v>0</v>
      </c>
      <c r="BF153" s="22">
        <f>IFERROR(__xludf.DUMMYFUNCTION("""COMPUTED_VALUE"""),0.0)</f>
        <v>0</v>
      </c>
      <c r="BG153" s="20"/>
      <c r="BH153" s="20"/>
      <c r="BI153" s="20"/>
      <c r="BJ153" s="14"/>
      <c r="BK153" s="14"/>
      <c r="BL153" s="14"/>
      <c r="BM153" s="14"/>
      <c r="BN153" s="14"/>
      <c r="BO153" s="14"/>
    </row>
    <row r="154">
      <c r="A154" s="6" t="str">
        <f>IFERROR(__xludf.DUMMYFUNCTION("""COMPUTED_VALUE"""),"")</f>
        <v/>
      </c>
      <c r="B154" s="7"/>
      <c r="C154" s="8"/>
      <c r="D154" s="7"/>
      <c r="E154" s="7"/>
      <c r="F154" s="7"/>
      <c r="G154" s="8"/>
      <c r="H154" s="6"/>
      <c r="I154" s="12"/>
      <c r="J154" s="9"/>
      <c r="K154" s="9"/>
      <c r="L154" s="10"/>
      <c r="M154" s="11"/>
      <c r="N154" s="12"/>
      <c r="O154" s="11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1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1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1">
        <f>IFERROR(__xludf.DUMMYFUNCTION("""COMPUTED_VALUE"""),0.0)</f>
        <v>0</v>
      </c>
      <c r="BD154" s="11">
        <f>IFERROR(__xludf.DUMMYFUNCTION("""COMPUTED_VALUE"""),0.0)</f>
        <v>0</v>
      </c>
      <c r="BE154" s="11">
        <f>IFERROR(__xludf.DUMMYFUNCTION("""COMPUTED_VALUE"""),0.0)</f>
        <v>0</v>
      </c>
      <c r="BF154" s="13">
        <f>IFERROR(__xludf.DUMMYFUNCTION("""COMPUTED_VALUE"""),0.0)</f>
        <v>0</v>
      </c>
      <c r="BG154" s="12"/>
      <c r="BH154" s="12"/>
      <c r="BI154" s="12"/>
      <c r="BJ154" s="14"/>
      <c r="BK154" s="14"/>
      <c r="BL154" s="14"/>
      <c r="BM154" s="14"/>
      <c r="BN154" s="14"/>
      <c r="BO154" s="14"/>
    </row>
    <row r="155">
      <c r="A155" s="15" t="str">
        <f>IFERROR(__xludf.DUMMYFUNCTION("""COMPUTED_VALUE"""),"")</f>
        <v/>
      </c>
      <c r="B155" s="16"/>
      <c r="C155" s="17"/>
      <c r="D155" s="16"/>
      <c r="E155" s="16"/>
      <c r="F155" s="16"/>
      <c r="G155" s="17"/>
      <c r="H155" s="15"/>
      <c r="I155" s="20"/>
      <c r="J155" s="18"/>
      <c r="K155" s="18"/>
      <c r="L155" s="19"/>
      <c r="M155" s="21"/>
      <c r="N155" s="20"/>
      <c r="O155" s="20"/>
      <c r="P155" s="21"/>
      <c r="Q155" s="21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1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1">
        <f>IFERROR(__xludf.DUMMYFUNCTION("""COMPUTED_VALUE"""),0.0)</f>
        <v>0</v>
      </c>
      <c r="BD155" s="21">
        <f>IFERROR(__xludf.DUMMYFUNCTION("""COMPUTED_VALUE"""),0.0)</f>
        <v>0</v>
      </c>
      <c r="BE155" s="21">
        <f>IFERROR(__xludf.DUMMYFUNCTION("""COMPUTED_VALUE"""),0.0)</f>
        <v>0</v>
      </c>
      <c r="BF155" s="22">
        <f>IFERROR(__xludf.DUMMYFUNCTION("""COMPUTED_VALUE"""),0.0)</f>
        <v>0</v>
      </c>
      <c r="BG155" s="20"/>
      <c r="BH155" s="20"/>
      <c r="BI155" s="20"/>
      <c r="BJ155" s="14"/>
      <c r="BK155" s="14"/>
      <c r="BL155" s="14"/>
      <c r="BM155" s="14"/>
      <c r="BN155" s="14"/>
      <c r="BO155" s="14"/>
    </row>
    <row r="156">
      <c r="A156" s="6" t="str">
        <f>IFERROR(__xludf.DUMMYFUNCTION("""COMPUTED_VALUE"""),"")</f>
        <v/>
      </c>
      <c r="B156" s="7"/>
      <c r="C156" s="8"/>
      <c r="D156" s="7"/>
      <c r="E156" s="7"/>
      <c r="F156" s="7"/>
      <c r="G156" s="8"/>
      <c r="H156" s="6"/>
      <c r="I156" s="12"/>
      <c r="J156" s="9"/>
      <c r="K156" s="9"/>
      <c r="L156" s="10"/>
      <c r="M156" s="12"/>
      <c r="N156" s="12"/>
      <c r="O156" s="12"/>
      <c r="P156" s="11"/>
      <c r="Q156" s="11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1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1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1">
        <f>IFERROR(__xludf.DUMMYFUNCTION("""COMPUTED_VALUE"""),0.0)</f>
        <v>0</v>
      </c>
      <c r="BD156" s="11">
        <f>IFERROR(__xludf.DUMMYFUNCTION("""COMPUTED_VALUE"""),0.0)</f>
        <v>0</v>
      </c>
      <c r="BE156" s="11">
        <f>IFERROR(__xludf.DUMMYFUNCTION("""COMPUTED_VALUE"""),0.0)</f>
        <v>0</v>
      </c>
      <c r="BF156" s="13">
        <f>IFERROR(__xludf.DUMMYFUNCTION("""COMPUTED_VALUE"""),0.0)</f>
        <v>0</v>
      </c>
      <c r="BG156" s="12"/>
      <c r="BH156" s="12"/>
      <c r="BI156" s="12"/>
      <c r="BJ156" s="14"/>
      <c r="BK156" s="14"/>
      <c r="BL156" s="14"/>
      <c r="BM156" s="14"/>
      <c r="BN156" s="14"/>
      <c r="BO156" s="14"/>
    </row>
    <row r="157">
      <c r="A157" s="15" t="str">
        <f>IFERROR(__xludf.DUMMYFUNCTION("""COMPUTED_VALUE"""),"")</f>
        <v/>
      </c>
      <c r="B157" s="16"/>
      <c r="C157" s="17"/>
      <c r="D157" s="16"/>
      <c r="E157" s="16"/>
      <c r="F157" s="16"/>
      <c r="G157" s="17"/>
      <c r="H157" s="15"/>
      <c r="I157" s="20"/>
      <c r="J157" s="18"/>
      <c r="K157" s="18"/>
      <c r="L157" s="19"/>
      <c r="M157" s="20"/>
      <c r="N157" s="21"/>
      <c r="O157" s="21"/>
      <c r="P157" s="21"/>
      <c r="Q157" s="21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1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1">
        <f>IFERROR(__xludf.DUMMYFUNCTION("""COMPUTED_VALUE"""),0.0)</f>
        <v>0</v>
      </c>
      <c r="BD157" s="21">
        <f>IFERROR(__xludf.DUMMYFUNCTION("""COMPUTED_VALUE"""),0.0)</f>
        <v>0</v>
      </c>
      <c r="BE157" s="21">
        <f>IFERROR(__xludf.DUMMYFUNCTION("""COMPUTED_VALUE"""),0.0)</f>
        <v>0</v>
      </c>
      <c r="BF157" s="22">
        <f>IFERROR(__xludf.DUMMYFUNCTION("""COMPUTED_VALUE"""),0.0)</f>
        <v>0</v>
      </c>
      <c r="BG157" s="20"/>
      <c r="BH157" s="20"/>
      <c r="BI157" s="20"/>
      <c r="BJ157" s="14"/>
      <c r="BK157" s="14"/>
      <c r="BL157" s="14"/>
      <c r="BM157" s="14"/>
      <c r="BN157" s="14"/>
      <c r="BO157" s="14"/>
    </row>
    <row r="158">
      <c r="A158" s="6" t="str">
        <f>IFERROR(__xludf.DUMMYFUNCTION("""COMPUTED_VALUE"""),"")</f>
        <v/>
      </c>
      <c r="B158" s="7"/>
      <c r="C158" s="8"/>
      <c r="D158" s="7"/>
      <c r="E158" s="7"/>
      <c r="F158" s="7"/>
      <c r="G158" s="8"/>
      <c r="H158" s="6"/>
      <c r="I158" s="12"/>
      <c r="J158" s="9"/>
      <c r="K158" s="9"/>
      <c r="L158" s="10"/>
      <c r="M158" s="12"/>
      <c r="N158" s="12"/>
      <c r="O158" s="12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1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1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1">
        <f>IFERROR(__xludf.DUMMYFUNCTION("""COMPUTED_VALUE"""),0.0)</f>
        <v>0</v>
      </c>
      <c r="BD158" s="11">
        <f>IFERROR(__xludf.DUMMYFUNCTION("""COMPUTED_VALUE"""),0.0)</f>
        <v>0</v>
      </c>
      <c r="BE158" s="11">
        <f>IFERROR(__xludf.DUMMYFUNCTION("""COMPUTED_VALUE"""),0.0)</f>
        <v>0</v>
      </c>
      <c r="BF158" s="13">
        <f>IFERROR(__xludf.DUMMYFUNCTION("""COMPUTED_VALUE"""),0.0)</f>
        <v>0</v>
      </c>
      <c r="BG158" s="12"/>
      <c r="BH158" s="12"/>
      <c r="BI158" s="12"/>
      <c r="BJ158" s="14"/>
      <c r="BK158" s="14"/>
      <c r="BL158" s="14"/>
      <c r="BM158" s="14"/>
      <c r="BN158" s="14"/>
      <c r="BO158" s="14"/>
    </row>
    <row r="159">
      <c r="A159" s="15" t="str">
        <f>IFERROR(__xludf.DUMMYFUNCTION("""COMPUTED_VALUE"""),"")</f>
        <v/>
      </c>
      <c r="B159" s="16"/>
      <c r="C159" s="17"/>
      <c r="D159" s="16"/>
      <c r="E159" s="16"/>
      <c r="F159" s="16"/>
      <c r="G159" s="17"/>
      <c r="H159" s="15"/>
      <c r="I159" s="20"/>
      <c r="J159" s="18"/>
      <c r="K159" s="18"/>
      <c r="L159" s="19"/>
      <c r="M159" s="20"/>
      <c r="N159" s="20"/>
      <c r="O159" s="20"/>
      <c r="P159" s="20"/>
      <c r="Q159" s="21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1">
        <f>IFERROR(__xludf.DUMMYFUNCTION("""COMPUTED_VALUE"""),0.0)</f>
        <v>0</v>
      </c>
      <c r="BD159" s="21">
        <f>IFERROR(__xludf.DUMMYFUNCTION("""COMPUTED_VALUE"""),0.0)</f>
        <v>0</v>
      </c>
      <c r="BE159" s="21">
        <f>IFERROR(__xludf.DUMMYFUNCTION("""COMPUTED_VALUE"""),0.0)</f>
        <v>0</v>
      </c>
      <c r="BF159" s="22">
        <f>IFERROR(__xludf.DUMMYFUNCTION("""COMPUTED_VALUE"""),0.0)</f>
        <v>0</v>
      </c>
      <c r="BG159" s="20"/>
      <c r="BH159" s="20"/>
      <c r="BI159" s="20"/>
      <c r="BJ159" s="14"/>
      <c r="BK159" s="14"/>
      <c r="BL159" s="14"/>
      <c r="BM159" s="14"/>
      <c r="BN159" s="14"/>
      <c r="BO159" s="14"/>
    </row>
    <row r="160">
      <c r="A160" s="6" t="str">
        <f>IFERROR(__xludf.DUMMYFUNCTION("""COMPUTED_VALUE"""),"")</f>
        <v/>
      </c>
      <c r="B160" s="7"/>
      <c r="C160" s="8"/>
      <c r="D160" s="7"/>
      <c r="E160" s="7"/>
      <c r="F160" s="7"/>
      <c r="G160" s="8"/>
      <c r="H160" s="6"/>
      <c r="I160" s="12"/>
      <c r="J160" s="9"/>
      <c r="K160" s="9"/>
      <c r="L160" s="1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1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1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1">
        <f>IFERROR(__xludf.DUMMYFUNCTION("""COMPUTED_VALUE"""),0.0)</f>
        <v>0</v>
      </c>
      <c r="BD160" s="11">
        <f>IFERROR(__xludf.DUMMYFUNCTION("""COMPUTED_VALUE"""),0.0)</f>
        <v>0</v>
      </c>
      <c r="BE160" s="11">
        <f>IFERROR(__xludf.DUMMYFUNCTION("""COMPUTED_VALUE"""),0.0)</f>
        <v>0</v>
      </c>
      <c r="BF160" s="13">
        <f>IFERROR(__xludf.DUMMYFUNCTION("""COMPUTED_VALUE"""),0.0)</f>
        <v>0</v>
      </c>
      <c r="BG160" s="12"/>
      <c r="BH160" s="12"/>
      <c r="BI160" s="12"/>
      <c r="BJ160" s="14"/>
      <c r="BK160" s="14"/>
      <c r="BL160" s="14"/>
      <c r="BM160" s="14"/>
      <c r="BN160" s="14"/>
      <c r="BO160" s="14"/>
    </row>
    <row r="161">
      <c r="A161" s="15" t="str">
        <f>IFERROR(__xludf.DUMMYFUNCTION("""COMPUTED_VALUE"""),"")</f>
        <v/>
      </c>
      <c r="B161" s="16"/>
      <c r="C161" s="17"/>
      <c r="D161" s="16"/>
      <c r="E161" s="16"/>
      <c r="F161" s="16"/>
      <c r="G161" s="17"/>
      <c r="H161" s="15"/>
      <c r="I161" s="20"/>
      <c r="J161" s="18"/>
      <c r="K161" s="18"/>
      <c r="L161" s="19"/>
      <c r="M161" s="20"/>
      <c r="N161" s="20"/>
      <c r="O161" s="20"/>
      <c r="P161" s="20"/>
      <c r="Q161" s="21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1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1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1">
        <f>IFERROR(__xludf.DUMMYFUNCTION("""COMPUTED_VALUE"""),0.0)</f>
        <v>0</v>
      </c>
      <c r="BD161" s="21">
        <f>IFERROR(__xludf.DUMMYFUNCTION("""COMPUTED_VALUE"""),0.0)</f>
        <v>0</v>
      </c>
      <c r="BE161" s="21">
        <f>IFERROR(__xludf.DUMMYFUNCTION("""COMPUTED_VALUE"""),0.0)</f>
        <v>0</v>
      </c>
      <c r="BF161" s="22">
        <f>IFERROR(__xludf.DUMMYFUNCTION("""COMPUTED_VALUE"""),0.0)</f>
        <v>0</v>
      </c>
      <c r="BG161" s="20"/>
      <c r="BH161" s="20"/>
      <c r="BI161" s="20"/>
      <c r="BJ161" s="14"/>
      <c r="BK161" s="14"/>
      <c r="BL161" s="14"/>
      <c r="BM161" s="14"/>
      <c r="BN161" s="14"/>
      <c r="BO161" s="14"/>
    </row>
    <row r="162">
      <c r="A162" s="6" t="str">
        <f>IFERROR(__xludf.DUMMYFUNCTION("""COMPUTED_VALUE"""),"")</f>
        <v/>
      </c>
      <c r="B162" s="7"/>
      <c r="C162" s="8"/>
      <c r="D162" s="7"/>
      <c r="E162" s="7"/>
      <c r="F162" s="7"/>
      <c r="G162" s="8"/>
      <c r="H162" s="6"/>
      <c r="I162" s="12"/>
      <c r="J162" s="9"/>
      <c r="K162" s="9"/>
      <c r="L162" s="10"/>
      <c r="M162" s="11"/>
      <c r="N162" s="11"/>
      <c r="O162" s="11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1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1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1">
        <f>IFERROR(__xludf.DUMMYFUNCTION("""COMPUTED_VALUE"""),0.0)</f>
        <v>0</v>
      </c>
      <c r="BD162" s="11">
        <f>IFERROR(__xludf.DUMMYFUNCTION("""COMPUTED_VALUE"""),0.0)</f>
        <v>0</v>
      </c>
      <c r="BE162" s="11">
        <f>IFERROR(__xludf.DUMMYFUNCTION("""COMPUTED_VALUE"""),0.0)</f>
        <v>0</v>
      </c>
      <c r="BF162" s="13">
        <f>IFERROR(__xludf.DUMMYFUNCTION("""COMPUTED_VALUE"""),0.0)</f>
        <v>0</v>
      </c>
      <c r="BG162" s="12"/>
      <c r="BH162" s="12"/>
      <c r="BI162" s="12"/>
      <c r="BJ162" s="14"/>
      <c r="BK162" s="14"/>
      <c r="BL162" s="14"/>
      <c r="BM162" s="14"/>
      <c r="BN162" s="14"/>
      <c r="BO162" s="14"/>
    </row>
    <row r="163">
      <c r="A163" s="15" t="str">
        <f>IFERROR(__xludf.DUMMYFUNCTION("""COMPUTED_VALUE"""),"")</f>
        <v/>
      </c>
      <c r="B163" s="16"/>
      <c r="C163" s="17"/>
      <c r="D163" s="16"/>
      <c r="E163" s="16"/>
      <c r="F163" s="16"/>
      <c r="G163" s="17"/>
      <c r="H163" s="15"/>
      <c r="I163" s="20"/>
      <c r="J163" s="18"/>
      <c r="K163" s="18"/>
      <c r="L163" s="19"/>
      <c r="M163" s="20"/>
      <c r="N163" s="20"/>
      <c r="O163" s="20"/>
      <c r="P163" s="20"/>
      <c r="Q163" s="21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1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1">
        <f>IFERROR(__xludf.DUMMYFUNCTION("""COMPUTED_VALUE"""),0.0)</f>
        <v>0</v>
      </c>
      <c r="BD163" s="21">
        <f>IFERROR(__xludf.DUMMYFUNCTION("""COMPUTED_VALUE"""),0.0)</f>
        <v>0</v>
      </c>
      <c r="BE163" s="21">
        <f>IFERROR(__xludf.DUMMYFUNCTION("""COMPUTED_VALUE"""),0.0)</f>
        <v>0</v>
      </c>
      <c r="BF163" s="22">
        <f>IFERROR(__xludf.DUMMYFUNCTION("""COMPUTED_VALUE"""),0.0)</f>
        <v>0</v>
      </c>
      <c r="BG163" s="20"/>
      <c r="BH163" s="20"/>
      <c r="BI163" s="20"/>
      <c r="BJ163" s="14"/>
      <c r="BK163" s="14"/>
      <c r="BL163" s="14"/>
      <c r="BM163" s="14"/>
      <c r="BN163" s="14"/>
      <c r="BO163" s="14"/>
    </row>
    <row r="164">
      <c r="A164" s="6" t="str">
        <f>IFERROR(__xludf.DUMMYFUNCTION("""COMPUTED_VALUE"""),"")</f>
        <v/>
      </c>
      <c r="B164" s="7"/>
      <c r="C164" s="8"/>
      <c r="D164" s="7"/>
      <c r="E164" s="7"/>
      <c r="F164" s="7"/>
      <c r="G164" s="8"/>
      <c r="H164" s="6"/>
      <c r="I164" s="12"/>
      <c r="J164" s="9"/>
      <c r="K164" s="9"/>
      <c r="L164" s="10"/>
      <c r="M164" s="12"/>
      <c r="N164" s="12"/>
      <c r="O164" s="12"/>
      <c r="P164" s="11"/>
      <c r="Q164" s="11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1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1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1">
        <f>IFERROR(__xludf.DUMMYFUNCTION("""COMPUTED_VALUE"""),0.0)</f>
        <v>0</v>
      </c>
      <c r="BD164" s="11">
        <f>IFERROR(__xludf.DUMMYFUNCTION("""COMPUTED_VALUE"""),0.0)</f>
        <v>0</v>
      </c>
      <c r="BE164" s="11">
        <f>IFERROR(__xludf.DUMMYFUNCTION("""COMPUTED_VALUE"""),0.0)</f>
        <v>0</v>
      </c>
      <c r="BF164" s="13">
        <f>IFERROR(__xludf.DUMMYFUNCTION("""COMPUTED_VALUE"""),0.0)</f>
        <v>0</v>
      </c>
      <c r="BG164" s="12"/>
      <c r="BH164" s="12"/>
      <c r="BI164" s="12"/>
      <c r="BJ164" s="14"/>
      <c r="BK164" s="14"/>
      <c r="BL164" s="14"/>
      <c r="BM164" s="14"/>
      <c r="BN164" s="14"/>
      <c r="BO164" s="14"/>
    </row>
    <row r="165">
      <c r="A165" s="15" t="str">
        <f>IFERROR(__xludf.DUMMYFUNCTION("""COMPUTED_VALUE"""),"")</f>
        <v/>
      </c>
      <c r="B165" s="16"/>
      <c r="C165" s="17"/>
      <c r="D165" s="16"/>
      <c r="E165" s="16"/>
      <c r="F165" s="16"/>
      <c r="G165" s="17"/>
      <c r="H165" s="15"/>
      <c r="I165" s="20"/>
      <c r="J165" s="18"/>
      <c r="K165" s="18"/>
      <c r="L165" s="19"/>
      <c r="M165" s="20"/>
      <c r="N165" s="20"/>
      <c r="O165" s="21"/>
      <c r="P165" s="21"/>
      <c r="Q165" s="21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1">
        <f>IFERROR(__xludf.DUMMYFUNCTION("""COMPUTED_VALUE"""),0.0)</f>
        <v>0</v>
      </c>
      <c r="BD165" s="21">
        <f>IFERROR(__xludf.DUMMYFUNCTION("""COMPUTED_VALUE"""),0.0)</f>
        <v>0</v>
      </c>
      <c r="BE165" s="21">
        <f>IFERROR(__xludf.DUMMYFUNCTION("""COMPUTED_VALUE"""),0.0)</f>
        <v>0</v>
      </c>
      <c r="BF165" s="22">
        <f>IFERROR(__xludf.DUMMYFUNCTION("""COMPUTED_VALUE"""),0.0)</f>
        <v>0</v>
      </c>
      <c r="BG165" s="20"/>
      <c r="BH165" s="20"/>
      <c r="BI165" s="20"/>
      <c r="BJ165" s="14"/>
      <c r="BK165" s="14"/>
      <c r="BL165" s="14"/>
      <c r="BM165" s="14"/>
      <c r="BN165" s="14"/>
      <c r="BO165" s="14"/>
    </row>
    <row r="166">
      <c r="A166" s="6" t="str">
        <f>IFERROR(__xludf.DUMMYFUNCTION("""COMPUTED_VALUE"""),"")</f>
        <v/>
      </c>
      <c r="B166" s="7"/>
      <c r="C166" s="8"/>
      <c r="D166" s="7"/>
      <c r="E166" s="7"/>
      <c r="F166" s="7"/>
      <c r="G166" s="8"/>
      <c r="H166" s="6"/>
      <c r="I166" s="12"/>
      <c r="J166" s="9"/>
      <c r="K166" s="9"/>
      <c r="L166" s="10"/>
      <c r="M166" s="12"/>
      <c r="N166" s="12"/>
      <c r="O166" s="23"/>
      <c r="P166" s="12"/>
      <c r="Q166" s="11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1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1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1">
        <f>IFERROR(__xludf.DUMMYFUNCTION("""COMPUTED_VALUE"""),0.0)</f>
        <v>0</v>
      </c>
      <c r="BD166" s="11">
        <f>IFERROR(__xludf.DUMMYFUNCTION("""COMPUTED_VALUE"""),0.0)</f>
        <v>0</v>
      </c>
      <c r="BE166" s="11">
        <f>IFERROR(__xludf.DUMMYFUNCTION("""COMPUTED_VALUE"""),0.0)</f>
        <v>0</v>
      </c>
      <c r="BF166" s="13">
        <f>IFERROR(__xludf.DUMMYFUNCTION("""COMPUTED_VALUE"""),0.0)</f>
        <v>0</v>
      </c>
      <c r="BG166" s="12"/>
      <c r="BH166" s="12"/>
      <c r="BI166" s="12"/>
      <c r="BJ166" s="14"/>
      <c r="BK166" s="14"/>
      <c r="BL166" s="14"/>
      <c r="BM166" s="14"/>
      <c r="BN166" s="14"/>
      <c r="BO166" s="14"/>
    </row>
    <row r="167">
      <c r="A167" s="15" t="str">
        <f>IFERROR(__xludf.DUMMYFUNCTION("""COMPUTED_VALUE"""),"")</f>
        <v/>
      </c>
      <c r="B167" s="16"/>
      <c r="C167" s="17"/>
      <c r="D167" s="16"/>
      <c r="E167" s="16"/>
      <c r="F167" s="16"/>
      <c r="G167" s="17"/>
      <c r="H167" s="15"/>
      <c r="I167" s="20"/>
      <c r="J167" s="18"/>
      <c r="K167" s="18"/>
      <c r="L167" s="19"/>
      <c r="M167" s="20"/>
      <c r="N167" s="20"/>
      <c r="O167" s="21"/>
      <c r="P167" s="21"/>
      <c r="Q167" s="21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1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1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1">
        <f>IFERROR(__xludf.DUMMYFUNCTION("""COMPUTED_VALUE"""),0.0)</f>
        <v>0</v>
      </c>
      <c r="BD167" s="21">
        <f>IFERROR(__xludf.DUMMYFUNCTION("""COMPUTED_VALUE"""),0.0)</f>
        <v>0</v>
      </c>
      <c r="BE167" s="21">
        <f>IFERROR(__xludf.DUMMYFUNCTION("""COMPUTED_VALUE"""),0.0)</f>
        <v>0</v>
      </c>
      <c r="BF167" s="22">
        <f>IFERROR(__xludf.DUMMYFUNCTION("""COMPUTED_VALUE"""),0.0)</f>
        <v>0</v>
      </c>
      <c r="BG167" s="20"/>
      <c r="BH167" s="20"/>
      <c r="BI167" s="20"/>
      <c r="BJ167" s="14"/>
      <c r="BK167" s="14"/>
      <c r="BL167" s="14"/>
      <c r="BM167" s="14"/>
      <c r="BN167" s="14"/>
      <c r="BO167" s="14"/>
    </row>
    <row r="168">
      <c r="A168" s="6" t="str">
        <f>IFERROR(__xludf.DUMMYFUNCTION("""COMPUTED_VALUE"""),"")</f>
        <v/>
      </c>
      <c r="B168" s="7"/>
      <c r="C168" s="8"/>
      <c r="D168" s="7"/>
      <c r="E168" s="7"/>
      <c r="F168" s="7"/>
      <c r="G168" s="8"/>
      <c r="H168" s="6"/>
      <c r="I168" s="12"/>
      <c r="J168" s="9"/>
      <c r="K168" s="9"/>
      <c r="L168" s="10"/>
      <c r="M168" s="12"/>
      <c r="N168" s="12"/>
      <c r="O168" s="12"/>
      <c r="P168" s="12"/>
      <c r="Q168" s="11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1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1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1">
        <f>IFERROR(__xludf.DUMMYFUNCTION("""COMPUTED_VALUE"""),0.0)</f>
        <v>0</v>
      </c>
      <c r="BD168" s="11">
        <f>IFERROR(__xludf.DUMMYFUNCTION("""COMPUTED_VALUE"""),0.0)</f>
        <v>0</v>
      </c>
      <c r="BE168" s="11">
        <f>IFERROR(__xludf.DUMMYFUNCTION("""COMPUTED_VALUE"""),0.0)</f>
        <v>0</v>
      </c>
      <c r="BF168" s="13">
        <f>IFERROR(__xludf.DUMMYFUNCTION("""COMPUTED_VALUE"""),0.0)</f>
        <v>0</v>
      </c>
      <c r="BG168" s="12"/>
      <c r="BH168" s="12"/>
      <c r="BI168" s="12"/>
      <c r="BJ168" s="14"/>
      <c r="BK168" s="14"/>
      <c r="BL168" s="14"/>
      <c r="BM168" s="14"/>
      <c r="BN168" s="14"/>
      <c r="BO168" s="14"/>
    </row>
    <row r="169">
      <c r="A169" s="15" t="str">
        <f>IFERROR(__xludf.DUMMYFUNCTION("""COMPUTED_VALUE"""),"")</f>
        <v/>
      </c>
      <c r="B169" s="16"/>
      <c r="C169" s="17"/>
      <c r="D169" s="16"/>
      <c r="E169" s="16"/>
      <c r="F169" s="16"/>
      <c r="G169" s="17"/>
      <c r="H169" s="15"/>
      <c r="I169" s="20"/>
      <c r="J169" s="18"/>
      <c r="K169" s="18"/>
      <c r="L169" s="19"/>
      <c r="M169" s="20"/>
      <c r="N169" s="20"/>
      <c r="O169" s="20"/>
      <c r="P169" s="20"/>
      <c r="Q169" s="21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1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1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1">
        <f>IFERROR(__xludf.DUMMYFUNCTION("""COMPUTED_VALUE"""),0.0)</f>
        <v>0</v>
      </c>
      <c r="BD169" s="21">
        <f>IFERROR(__xludf.DUMMYFUNCTION("""COMPUTED_VALUE"""),0.0)</f>
        <v>0</v>
      </c>
      <c r="BE169" s="21">
        <f>IFERROR(__xludf.DUMMYFUNCTION("""COMPUTED_VALUE"""),0.0)</f>
        <v>0</v>
      </c>
      <c r="BF169" s="22">
        <f>IFERROR(__xludf.DUMMYFUNCTION("""COMPUTED_VALUE"""),0.0)</f>
        <v>0</v>
      </c>
      <c r="BG169" s="20"/>
      <c r="BH169" s="20"/>
      <c r="BI169" s="20"/>
      <c r="BJ169" s="14"/>
      <c r="BK169" s="14"/>
      <c r="BL169" s="14"/>
      <c r="BM169" s="14"/>
      <c r="BN169" s="14"/>
      <c r="BO169" s="14"/>
    </row>
    <row r="170">
      <c r="A170" s="6" t="str">
        <f>IFERROR(__xludf.DUMMYFUNCTION("""COMPUTED_VALUE"""),"")</f>
        <v/>
      </c>
      <c r="B170" s="7"/>
      <c r="C170" s="8"/>
      <c r="D170" s="7"/>
      <c r="E170" s="7"/>
      <c r="F170" s="7"/>
      <c r="G170" s="8"/>
      <c r="H170" s="6"/>
      <c r="I170" s="12"/>
      <c r="J170" s="9"/>
      <c r="K170" s="9"/>
      <c r="L170" s="10"/>
      <c r="M170" s="11"/>
      <c r="N170" s="12"/>
      <c r="O170" s="12"/>
      <c r="P170" s="11"/>
      <c r="Q170" s="11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1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1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1">
        <f>IFERROR(__xludf.DUMMYFUNCTION("""COMPUTED_VALUE"""),0.0)</f>
        <v>0</v>
      </c>
      <c r="BD170" s="11">
        <f>IFERROR(__xludf.DUMMYFUNCTION("""COMPUTED_VALUE"""),0.0)</f>
        <v>0</v>
      </c>
      <c r="BE170" s="11">
        <f>IFERROR(__xludf.DUMMYFUNCTION("""COMPUTED_VALUE"""),0.0)</f>
        <v>0</v>
      </c>
      <c r="BF170" s="13">
        <f>IFERROR(__xludf.DUMMYFUNCTION("""COMPUTED_VALUE"""),0.0)</f>
        <v>0</v>
      </c>
      <c r="BG170" s="12"/>
      <c r="BH170" s="12"/>
      <c r="BI170" s="12"/>
      <c r="BJ170" s="14"/>
      <c r="BK170" s="14"/>
      <c r="BL170" s="14"/>
      <c r="BM170" s="14"/>
      <c r="BN170" s="14"/>
      <c r="BO170" s="14"/>
    </row>
    <row r="171">
      <c r="A171" s="15" t="str">
        <f>IFERROR(__xludf.DUMMYFUNCTION("""COMPUTED_VALUE"""),"")</f>
        <v/>
      </c>
      <c r="B171" s="16"/>
      <c r="C171" s="17"/>
      <c r="D171" s="16"/>
      <c r="E171" s="16"/>
      <c r="F171" s="16"/>
      <c r="G171" s="17"/>
      <c r="H171" s="15"/>
      <c r="I171" s="20"/>
      <c r="J171" s="18"/>
      <c r="K171" s="18"/>
      <c r="L171" s="19"/>
      <c r="M171" s="20"/>
      <c r="N171" s="20"/>
      <c r="O171" s="20"/>
      <c r="P171" s="20"/>
      <c r="Q171" s="21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1">
        <f>IFERROR(__xludf.DUMMYFUNCTION("""COMPUTED_VALUE"""),0.0)</f>
        <v>0</v>
      </c>
      <c r="BD171" s="21">
        <f>IFERROR(__xludf.DUMMYFUNCTION("""COMPUTED_VALUE"""),0.0)</f>
        <v>0</v>
      </c>
      <c r="BE171" s="21">
        <f>IFERROR(__xludf.DUMMYFUNCTION("""COMPUTED_VALUE"""),0.0)</f>
        <v>0</v>
      </c>
      <c r="BF171" s="22">
        <f>IFERROR(__xludf.DUMMYFUNCTION("""COMPUTED_VALUE"""),0.0)</f>
        <v>0</v>
      </c>
      <c r="BG171" s="20"/>
      <c r="BH171" s="20"/>
      <c r="BI171" s="20"/>
      <c r="BJ171" s="14"/>
      <c r="BK171" s="14"/>
      <c r="BL171" s="14"/>
      <c r="BM171" s="14"/>
      <c r="BN171" s="14"/>
      <c r="BO171" s="14"/>
    </row>
    <row r="172">
      <c r="A172" s="6" t="str">
        <f>IFERROR(__xludf.DUMMYFUNCTION("""COMPUTED_VALUE"""),"")</f>
        <v/>
      </c>
      <c r="B172" s="7"/>
      <c r="C172" s="8"/>
      <c r="D172" s="7"/>
      <c r="E172" s="7"/>
      <c r="F172" s="7"/>
      <c r="G172" s="8"/>
      <c r="H172" s="6"/>
      <c r="I172" s="12"/>
      <c r="J172" s="9"/>
      <c r="K172" s="9"/>
      <c r="L172" s="10"/>
      <c r="M172" s="12"/>
      <c r="N172" s="12"/>
      <c r="O172" s="12"/>
      <c r="P172" s="11"/>
      <c r="Q172" s="11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1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1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1">
        <f>IFERROR(__xludf.DUMMYFUNCTION("""COMPUTED_VALUE"""),0.0)</f>
        <v>0</v>
      </c>
      <c r="BD172" s="11">
        <f>IFERROR(__xludf.DUMMYFUNCTION("""COMPUTED_VALUE"""),0.0)</f>
        <v>0</v>
      </c>
      <c r="BE172" s="11">
        <f>IFERROR(__xludf.DUMMYFUNCTION("""COMPUTED_VALUE"""),0.0)</f>
        <v>0</v>
      </c>
      <c r="BF172" s="13">
        <f>IFERROR(__xludf.DUMMYFUNCTION("""COMPUTED_VALUE"""),0.0)</f>
        <v>0</v>
      </c>
      <c r="BG172" s="12"/>
      <c r="BH172" s="12"/>
      <c r="BI172" s="12"/>
      <c r="BJ172" s="14"/>
      <c r="BK172" s="14"/>
      <c r="BL172" s="14"/>
      <c r="BM172" s="14"/>
      <c r="BN172" s="14"/>
      <c r="BO172" s="14"/>
    </row>
    <row r="173">
      <c r="A173" s="15" t="str">
        <f>IFERROR(__xludf.DUMMYFUNCTION("""COMPUTED_VALUE"""),"")</f>
        <v/>
      </c>
      <c r="B173" s="16"/>
      <c r="C173" s="17"/>
      <c r="D173" s="16"/>
      <c r="E173" s="16"/>
      <c r="F173" s="16"/>
      <c r="G173" s="17"/>
      <c r="H173" s="15"/>
      <c r="I173" s="20"/>
      <c r="J173" s="18"/>
      <c r="K173" s="18"/>
      <c r="L173" s="19"/>
      <c r="M173" s="20"/>
      <c r="N173" s="20"/>
      <c r="O173" s="20"/>
      <c r="P173" s="20"/>
      <c r="Q173" s="21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1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1">
        <f>IFERROR(__xludf.DUMMYFUNCTION("""COMPUTED_VALUE"""),0.0)</f>
        <v>0</v>
      </c>
      <c r="BD173" s="21">
        <f>IFERROR(__xludf.DUMMYFUNCTION("""COMPUTED_VALUE"""),0.0)</f>
        <v>0</v>
      </c>
      <c r="BE173" s="21">
        <f>IFERROR(__xludf.DUMMYFUNCTION("""COMPUTED_VALUE"""),0.0)</f>
        <v>0</v>
      </c>
      <c r="BF173" s="22">
        <f>IFERROR(__xludf.DUMMYFUNCTION("""COMPUTED_VALUE"""),0.0)</f>
        <v>0</v>
      </c>
      <c r="BG173" s="20"/>
      <c r="BH173" s="20"/>
      <c r="BI173" s="20"/>
      <c r="BJ173" s="14"/>
      <c r="BK173" s="14"/>
      <c r="BL173" s="14"/>
      <c r="BM173" s="14"/>
      <c r="BN173" s="14"/>
      <c r="BO173" s="14"/>
    </row>
    <row r="174">
      <c r="A174" s="6" t="str">
        <f>IFERROR(__xludf.DUMMYFUNCTION("""COMPUTED_VALUE"""),"")</f>
        <v/>
      </c>
      <c r="B174" s="7"/>
      <c r="C174" s="8"/>
      <c r="D174" s="7"/>
      <c r="E174" s="7"/>
      <c r="F174" s="7"/>
      <c r="G174" s="8"/>
      <c r="H174" s="6"/>
      <c r="I174" s="12"/>
      <c r="J174" s="9"/>
      <c r="K174" s="9"/>
      <c r="L174" s="10"/>
      <c r="M174" s="11"/>
      <c r="N174" s="12"/>
      <c r="O174" s="12"/>
      <c r="P174" s="12"/>
      <c r="Q174" s="11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1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1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1">
        <f>IFERROR(__xludf.DUMMYFUNCTION("""COMPUTED_VALUE"""),0.0)</f>
        <v>0</v>
      </c>
      <c r="BD174" s="11">
        <f>IFERROR(__xludf.DUMMYFUNCTION("""COMPUTED_VALUE"""),0.0)</f>
        <v>0</v>
      </c>
      <c r="BE174" s="11">
        <f>IFERROR(__xludf.DUMMYFUNCTION("""COMPUTED_VALUE"""),0.0)</f>
        <v>0</v>
      </c>
      <c r="BF174" s="13">
        <f>IFERROR(__xludf.DUMMYFUNCTION("""COMPUTED_VALUE"""),0.0)</f>
        <v>0</v>
      </c>
      <c r="BG174" s="12"/>
      <c r="BH174" s="12"/>
      <c r="BI174" s="12"/>
      <c r="BJ174" s="14"/>
      <c r="BK174" s="14"/>
      <c r="BL174" s="14"/>
      <c r="BM174" s="14"/>
      <c r="BN174" s="14"/>
      <c r="BO174" s="14"/>
    </row>
    <row r="175">
      <c r="A175" s="15" t="str">
        <f>IFERROR(__xludf.DUMMYFUNCTION("""COMPUTED_VALUE"""),"")</f>
        <v/>
      </c>
      <c r="B175" s="16"/>
      <c r="C175" s="17"/>
      <c r="D175" s="16"/>
      <c r="E175" s="16"/>
      <c r="F175" s="16"/>
      <c r="G175" s="17"/>
      <c r="H175" s="15"/>
      <c r="I175" s="20"/>
      <c r="J175" s="18"/>
      <c r="K175" s="18"/>
      <c r="L175" s="19"/>
      <c r="M175" s="20"/>
      <c r="N175" s="20"/>
      <c r="O175" s="20"/>
      <c r="P175" s="20"/>
      <c r="Q175" s="2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1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1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1">
        <f>IFERROR(__xludf.DUMMYFUNCTION("""COMPUTED_VALUE"""),0.0)</f>
        <v>0</v>
      </c>
      <c r="BD175" s="21">
        <f>IFERROR(__xludf.DUMMYFUNCTION("""COMPUTED_VALUE"""),0.0)</f>
        <v>0</v>
      </c>
      <c r="BE175" s="21">
        <f>IFERROR(__xludf.DUMMYFUNCTION("""COMPUTED_VALUE"""),0.0)</f>
        <v>0</v>
      </c>
      <c r="BF175" s="22">
        <f>IFERROR(__xludf.DUMMYFUNCTION("""COMPUTED_VALUE"""),0.0)</f>
        <v>0</v>
      </c>
      <c r="BG175" s="20"/>
      <c r="BH175" s="20"/>
      <c r="BI175" s="20"/>
      <c r="BJ175" s="14"/>
      <c r="BK175" s="14"/>
      <c r="BL175" s="14"/>
      <c r="BM175" s="14"/>
      <c r="BN175" s="14"/>
      <c r="BO175" s="14"/>
    </row>
    <row r="176">
      <c r="A176" s="6" t="str">
        <f>IFERROR(__xludf.DUMMYFUNCTION("""COMPUTED_VALUE"""),"")</f>
        <v/>
      </c>
      <c r="B176" s="7"/>
      <c r="C176" s="8"/>
      <c r="D176" s="7"/>
      <c r="E176" s="7"/>
      <c r="F176" s="7"/>
      <c r="G176" s="8"/>
      <c r="H176" s="6"/>
      <c r="I176" s="12"/>
      <c r="J176" s="9"/>
      <c r="K176" s="9"/>
      <c r="L176" s="10"/>
      <c r="M176" s="11"/>
      <c r="N176" s="12"/>
      <c r="O176" s="12"/>
      <c r="P176" s="11"/>
      <c r="Q176" s="11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1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1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1">
        <f>IFERROR(__xludf.DUMMYFUNCTION("""COMPUTED_VALUE"""),0.0)</f>
        <v>0</v>
      </c>
      <c r="BD176" s="11">
        <f>IFERROR(__xludf.DUMMYFUNCTION("""COMPUTED_VALUE"""),0.0)</f>
        <v>0</v>
      </c>
      <c r="BE176" s="11">
        <f>IFERROR(__xludf.DUMMYFUNCTION("""COMPUTED_VALUE"""),0.0)</f>
        <v>0</v>
      </c>
      <c r="BF176" s="13">
        <f>IFERROR(__xludf.DUMMYFUNCTION("""COMPUTED_VALUE"""),0.0)</f>
        <v>0</v>
      </c>
      <c r="BG176" s="12"/>
      <c r="BH176" s="12"/>
      <c r="BI176" s="12"/>
      <c r="BJ176" s="14"/>
      <c r="BK176" s="14"/>
      <c r="BL176" s="14"/>
      <c r="BM176" s="14"/>
      <c r="BN176" s="14"/>
      <c r="BO176" s="14"/>
    </row>
    <row r="177">
      <c r="A177" s="15" t="str">
        <f>IFERROR(__xludf.DUMMYFUNCTION("""COMPUTED_VALUE"""),"")</f>
        <v/>
      </c>
      <c r="B177" s="16"/>
      <c r="C177" s="17"/>
      <c r="D177" s="16"/>
      <c r="E177" s="16"/>
      <c r="F177" s="16"/>
      <c r="G177" s="17"/>
      <c r="H177" s="15"/>
      <c r="I177" s="20"/>
      <c r="J177" s="18"/>
      <c r="K177" s="18"/>
      <c r="L177" s="19"/>
      <c r="M177" s="20"/>
      <c r="N177" s="20"/>
      <c r="O177" s="20"/>
      <c r="P177" s="21"/>
      <c r="Q177" s="21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1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1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1">
        <f>IFERROR(__xludf.DUMMYFUNCTION("""COMPUTED_VALUE"""),0.0)</f>
        <v>0</v>
      </c>
      <c r="BD177" s="21">
        <f>IFERROR(__xludf.DUMMYFUNCTION("""COMPUTED_VALUE"""),0.0)</f>
        <v>0</v>
      </c>
      <c r="BE177" s="21">
        <f>IFERROR(__xludf.DUMMYFUNCTION("""COMPUTED_VALUE"""),0.0)</f>
        <v>0</v>
      </c>
      <c r="BF177" s="22">
        <f>IFERROR(__xludf.DUMMYFUNCTION("""COMPUTED_VALUE"""),0.0)</f>
        <v>0</v>
      </c>
      <c r="BG177" s="20"/>
      <c r="BH177" s="20"/>
      <c r="BI177" s="20"/>
      <c r="BJ177" s="14"/>
      <c r="BK177" s="14"/>
      <c r="BL177" s="14"/>
      <c r="BM177" s="14"/>
      <c r="BN177" s="14"/>
      <c r="BO177" s="14"/>
    </row>
    <row r="178">
      <c r="A178" s="6" t="str">
        <f>IFERROR(__xludf.DUMMYFUNCTION("""COMPUTED_VALUE"""),"")</f>
        <v/>
      </c>
      <c r="B178" s="7"/>
      <c r="C178" s="8"/>
      <c r="D178" s="7"/>
      <c r="E178" s="7"/>
      <c r="F178" s="7"/>
      <c r="G178" s="8"/>
      <c r="H178" s="6"/>
      <c r="I178" s="12"/>
      <c r="J178" s="9"/>
      <c r="K178" s="9"/>
      <c r="L178" s="10"/>
      <c r="M178" s="11"/>
      <c r="N178" s="12"/>
      <c r="O178" s="12"/>
      <c r="P178" s="12"/>
      <c r="Q178" s="1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1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1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1">
        <f>IFERROR(__xludf.DUMMYFUNCTION("""COMPUTED_VALUE"""),0.0)</f>
        <v>0</v>
      </c>
      <c r="BD178" s="11">
        <f>IFERROR(__xludf.DUMMYFUNCTION("""COMPUTED_VALUE"""),0.0)</f>
        <v>0</v>
      </c>
      <c r="BE178" s="11">
        <f>IFERROR(__xludf.DUMMYFUNCTION("""COMPUTED_VALUE"""),0.0)</f>
        <v>0</v>
      </c>
      <c r="BF178" s="13">
        <f>IFERROR(__xludf.DUMMYFUNCTION("""COMPUTED_VALUE"""),0.0)</f>
        <v>0</v>
      </c>
      <c r="BG178" s="12"/>
      <c r="BH178" s="12"/>
      <c r="BI178" s="12"/>
      <c r="BJ178" s="14"/>
      <c r="BK178" s="14"/>
      <c r="BL178" s="14"/>
      <c r="BM178" s="14"/>
      <c r="BN178" s="14"/>
      <c r="BO178" s="14"/>
    </row>
    <row r="179">
      <c r="A179" s="15" t="str">
        <f>IFERROR(__xludf.DUMMYFUNCTION("""COMPUTED_VALUE"""),"")</f>
        <v/>
      </c>
      <c r="B179" s="16"/>
      <c r="C179" s="17"/>
      <c r="D179" s="16"/>
      <c r="E179" s="16"/>
      <c r="F179" s="16"/>
      <c r="G179" s="17"/>
      <c r="H179" s="15"/>
      <c r="I179" s="20"/>
      <c r="J179" s="18"/>
      <c r="K179" s="18"/>
      <c r="L179" s="19"/>
      <c r="M179" s="21"/>
      <c r="N179" s="20"/>
      <c r="O179" s="20"/>
      <c r="P179" s="20"/>
      <c r="Q179" s="21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1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1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1">
        <f>IFERROR(__xludf.DUMMYFUNCTION("""COMPUTED_VALUE"""),0.0)</f>
        <v>0</v>
      </c>
      <c r="BD179" s="21">
        <f>IFERROR(__xludf.DUMMYFUNCTION("""COMPUTED_VALUE"""),0.0)</f>
        <v>0</v>
      </c>
      <c r="BE179" s="21">
        <f>IFERROR(__xludf.DUMMYFUNCTION("""COMPUTED_VALUE"""),0.0)</f>
        <v>0</v>
      </c>
      <c r="BF179" s="22">
        <f>IFERROR(__xludf.DUMMYFUNCTION("""COMPUTED_VALUE"""),0.0)</f>
        <v>0</v>
      </c>
      <c r="BG179" s="20"/>
      <c r="BH179" s="20"/>
      <c r="BI179" s="20"/>
      <c r="BJ179" s="14"/>
      <c r="BK179" s="14"/>
      <c r="BL179" s="14"/>
      <c r="BM179" s="14"/>
      <c r="BN179" s="14"/>
      <c r="BO179" s="14"/>
    </row>
    <row r="180">
      <c r="A180" s="6" t="str">
        <f>IFERROR(__xludf.DUMMYFUNCTION("""COMPUTED_VALUE"""),"")</f>
        <v/>
      </c>
      <c r="B180" s="7"/>
      <c r="C180" s="8"/>
      <c r="D180" s="7"/>
      <c r="E180" s="7"/>
      <c r="F180" s="7"/>
      <c r="G180" s="8"/>
      <c r="H180" s="6"/>
      <c r="I180" s="12"/>
      <c r="J180" s="9"/>
      <c r="K180" s="9"/>
      <c r="L180" s="10"/>
      <c r="M180" s="12"/>
      <c r="N180" s="12"/>
      <c r="O180" s="12"/>
      <c r="P180" s="11"/>
      <c r="Q180" s="11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1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1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1">
        <f>IFERROR(__xludf.DUMMYFUNCTION("""COMPUTED_VALUE"""),0.0)</f>
        <v>0</v>
      </c>
      <c r="BD180" s="11">
        <f>IFERROR(__xludf.DUMMYFUNCTION("""COMPUTED_VALUE"""),0.0)</f>
        <v>0</v>
      </c>
      <c r="BE180" s="11">
        <f>IFERROR(__xludf.DUMMYFUNCTION("""COMPUTED_VALUE"""),0.0)</f>
        <v>0</v>
      </c>
      <c r="BF180" s="13">
        <f>IFERROR(__xludf.DUMMYFUNCTION("""COMPUTED_VALUE"""),0.0)</f>
        <v>0</v>
      </c>
      <c r="BG180" s="12"/>
      <c r="BH180" s="12"/>
      <c r="BI180" s="12"/>
      <c r="BJ180" s="14"/>
      <c r="BK180" s="14"/>
      <c r="BL180" s="14"/>
      <c r="BM180" s="14"/>
      <c r="BN180" s="14"/>
      <c r="BO180" s="14"/>
    </row>
    <row r="181">
      <c r="A181" s="15" t="str">
        <f>IFERROR(__xludf.DUMMYFUNCTION("""COMPUTED_VALUE"""),"")</f>
        <v/>
      </c>
      <c r="B181" s="16"/>
      <c r="C181" s="17"/>
      <c r="D181" s="16"/>
      <c r="E181" s="16"/>
      <c r="F181" s="16"/>
      <c r="G181" s="17"/>
      <c r="H181" s="15"/>
      <c r="I181" s="20"/>
      <c r="J181" s="18"/>
      <c r="K181" s="18"/>
      <c r="L181" s="19"/>
      <c r="M181" s="21"/>
      <c r="N181" s="20"/>
      <c r="O181" s="20"/>
      <c r="P181" s="21"/>
      <c r="Q181" s="21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1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1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1">
        <f>IFERROR(__xludf.DUMMYFUNCTION("""COMPUTED_VALUE"""),0.0)</f>
        <v>0</v>
      </c>
      <c r="BD181" s="21">
        <f>IFERROR(__xludf.DUMMYFUNCTION("""COMPUTED_VALUE"""),0.0)</f>
        <v>0</v>
      </c>
      <c r="BE181" s="21">
        <f>IFERROR(__xludf.DUMMYFUNCTION("""COMPUTED_VALUE"""),0.0)</f>
        <v>0</v>
      </c>
      <c r="BF181" s="22">
        <f>IFERROR(__xludf.DUMMYFUNCTION("""COMPUTED_VALUE"""),0.0)</f>
        <v>0</v>
      </c>
      <c r="BG181" s="20"/>
      <c r="BH181" s="20"/>
      <c r="BI181" s="20"/>
      <c r="BJ181" s="14"/>
      <c r="BK181" s="14"/>
      <c r="BL181" s="14"/>
      <c r="BM181" s="14"/>
      <c r="BN181" s="14"/>
      <c r="BO181" s="14"/>
    </row>
    <row r="182">
      <c r="A182" s="6" t="str">
        <f>IFERROR(__xludf.DUMMYFUNCTION("""COMPUTED_VALUE"""),"")</f>
        <v/>
      </c>
      <c r="B182" s="7"/>
      <c r="C182" s="8"/>
      <c r="D182" s="7"/>
      <c r="E182" s="7"/>
      <c r="F182" s="7"/>
      <c r="G182" s="8"/>
      <c r="H182" s="6"/>
      <c r="I182" s="12"/>
      <c r="J182" s="9"/>
      <c r="K182" s="9"/>
      <c r="L182" s="10"/>
      <c r="M182" s="12"/>
      <c r="N182" s="12"/>
      <c r="O182" s="11"/>
      <c r="P182" s="11"/>
      <c r="Q182" s="11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1">
        <f>IFERROR(__xludf.DUMMYFUNCTION("""COMPUTED_VALUE"""),0.0)</f>
        <v>0</v>
      </c>
      <c r="BD182" s="11">
        <f>IFERROR(__xludf.DUMMYFUNCTION("""COMPUTED_VALUE"""),0.0)</f>
        <v>0</v>
      </c>
      <c r="BE182" s="11">
        <f>IFERROR(__xludf.DUMMYFUNCTION("""COMPUTED_VALUE"""),0.0)</f>
        <v>0</v>
      </c>
      <c r="BF182" s="13">
        <f>IFERROR(__xludf.DUMMYFUNCTION("""COMPUTED_VALUE"""),0.0)</f>
        <v>0</v>
      </c>
      <c r="BG182" s="12"/>
      <c r="BH182" s="12"/>
      <c r="BI182" s="12"/>
      <c r="BJ182" s="14"/>
      <c r="BK182" s="14"/>
      <c r="BL182" s="14"/>
      <c r="BM182" s="14"/>
      <c r="BN182" s="14"/>
      <c r="BO182" s="14"/>
    </row>
    <row r="183">
      <c r="A183" s="15" t="str">
        <f>IFERROR(__xludf.DUMMYFUNCTION("""COMPUTED_VALUE"""),"")</f>
        <v/>
      </c>
      <c r="B183" s="16"/>
      <c r="C183" s="17"/>
      <c r="D183" s="16"/>
      <c r="E183" s="16"/>
      <c r="F183" s="16"/>
      <c r="G183" s="17"/>
      <c r="H183" s="15"/>
      <c r="I183" s="20"/>
      <c r="J183" s="18"/>
      <c r="K183" s="18"/>
      <c r="L183" s="19"/>
      <c r="M183" s="20"/>
      <c r="N183" s="20"/>
      <c r="O183" s="21"/>
      <c r="P183" s="21"/>
      <c r="Q183" s="21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1">
        <f>IFERROR(__xludf.DUMMYFUNCTION("""COMPUTED_VALUE"""),0.0)</f>
        <v>0</v>
      </c>
      <c r="BD183" s="21">
        <f>IFERROR(__xludf.DUMMYFUNCTION("""COMPUTED_VALUE"""),0.0)</f>
        <v>0</v>
      </c>
      <c r="BE183" s="21">
        <f>IFERROR(__xludf.DUMMYFUNCTION("""COMPUTED_VALUE"""),0.0)</f>
        <v>0</v>
      </c>
      <c r="BF183" s="22">
        <f>IFERROR(__xludf.DUMMYFUNCTION("""COMPUTED_VALUE"""),0.0)</f>
        <v>0</v>
      </c>
      <c r="BG183" s="20"/>
      <c r="BH183" s="20"/>
      <c r="BI183" s="20"/>
      <c r="BJ183" s="14"/>
      <c r="BK183" s="14"/>
      <c r="BL183" s="14"/>
      <c r="BM183" s="14"/>
      <c r="BN183" s="14"/>
      <c r="BO183" s="14"/>
    </row>
    <row r="184">
      <c r="A184" s="6" t="str">
        <f>IFERROR(__xludf.DUMMYFUNCTION("""COMPUTED_VALUE"""),"")</f>
        <v/>
      </c>
      <c r="B184" s="7"/>
      <c r="C184" s="8"/>
      <c r="D184" s="7"/>
      <c r="E184" s="7"/>
      <c r="F184" s="7"/>
      <c r="G184" s="8"/>
      <c r="H184" s="6"/>
      <c r="I184" s="12"/>
      <c r="J184" s="9"/>
      <c r="K184" s="9"/>
      <c r="L184" s="10"/>
      <c r="M184" s="12"/>
      <c r="N184" s="12"/>
      <c r="O184" s="12"/>
      <c r="P184" s="12"/>
      <c r="Q184" s="11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1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1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1">
        <f>IFERROR(__xludf.DUMMYFUNCTION("""COMPUTED_VALUE"""),0.0)</f>
        <v>0</v>
      </c>
      <c r="BD184" s="11">
        <f>IFERROR(__xludf.DUMMYFUNCTION("""COMPUTED_VALUE"""),0.0)</f>
        <v>0</v>
      </c>
      <c r="BE184" s="11">
        <f>IFERROR(__xludf.DUMMYFUNCTION("""COMPUTED_VALUE"""),0.0)</f>
        <v>0</v>
      </c>
      <c r="BF184" s="13">
        <f>IFERROR(__xludf.DUMMYFUNCTION("""COMPUTED_VALUE"""),0.0)</f>
        <v>0</v>
      </c>
      <c r="BG184" s="12"/>
      <c r="BH184" s="12"/>
      <c r="BI184" s="12"/>
      <c r="BJ184" s="14"/>
      <c r="BK184" s="14"/>
      <c r="BL184" s="14"/>
      <c r="BM184" s="14"/>
      <c r="BN184" s="14"/>
      <c r="BO184" s="14"/>
    </row>
    <row r="185">
      <c r="A185" s="15" t="str">
        <f>IFERROR(__xludf.DUMMYFUNCTION("""COMPUTED_VALUE"""),"")</f>
        <v/>
      </c>
      <c r="B185" s="16"/>
      <c r="C185" s="17"/>
      <c r="D185" s="16"/>
      <c r="E185" s="16"/>
      <c r="F185" s="16"/>
      <c r="G185" s="17"/>
      <c r="H185" s="15"/>
      <c r="I185" s="20"/>
      <c r="J185" s="18"/>
      <c r="K185" s="18"/>
      <c r="L185" s="19"/>
      <c r="M185" s="21"/>
      <c r="N185" s="20"/>
      <c r="O185" s="20"/>
      <c r="P185" s="21"/>
      <c r="Q185" s="21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1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1">
        <f>IFERROR(__xludf.DUMMYFUNCTION("""COMPUTED_VALUE"""),0.0)</f>
        <v>0</v>
      </c>
      <c r="BD185" s="21">
        <f>IFERROR(__xludf.DUMMYFUNCTION("""COMPUTED_VALUE"""),0.0)</f>
        <v>0</v>
      </c>
      <c r="BE185" s="21">
        <f>IFERROR(__xludf.DUMMYFUNCTION("""COMPUTED_VALUE"""),0.0)</f>
        <v>0</v>
      </c>
      <c r="BF185" s="22">
        <f>IFERROR(__xludf.DUMMYFUNCTION("""COMPUTED_VALUE"""),0.0)</f>
        <v>0</v>
      </c>
      <c r="BG185" s="20"/>
      <c r="BH185" s="20"/>
      <c r="BI185" s="20"/>
      <c r="BJ185" s="14"/>
      <c r="BK185" s="14"/>
      <c r="BL185" s="14"/>
      <c r="BM185" s="14"/>
      <c r="BN185" s="14"/>
      <c r="BO185" s="14"/>
    </row>
    <row r="186">
      <c r="A186" s="6" t="str">
        <f>IFERROR(__xludf.DUMMYFUNCTION("""COMPUTED_VALUE"""),"")</f>
        <v/>
      </c>
      <c r="B186" s="7"/>
      <c r="C186" s="8"/>
      <c r="D186" s="7"/>
      <c r="E186" s="7"/>
      <c r="F186" s="7"/>
      <c r="G186" s="8"/>
      <c r="H186" s="6"/>
      <c r="I186" s="12"/>
      <c r="J186" s="9"/>
      <c r="K186" s="9"/>
      <c r="L186" s="10"/>
      <c r="M186" s="12"/>
      <c r="N186" s="12"/>
      <c r="O186" s="12"/>
      <c r="P186" s="11"/>
      <c r="Q186" s="11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1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1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1">
        <f>IFERROR(__xludf.DUMMYFUNCTION("""COMPUTED_VALUE"""),0.0)</f>
        <v>0</v>
      </c>
      <c r="BD186" s="11">
        <f>IFERROR(__xludf.DUMMYFUNCTION("""COMPUTED_VALUE"""),0.0)</f>
        <v>0</v>
      </c>
      <c r="BE186" s="11">
        <f>IFERROR(__xludf.DUMMYFUNCTION("""COMPUTED_VALUE"""),0.0)</f>
        <v>0</v>
      </c>
      <c r="BF186" s="13">
        <f>IFERROR(__xludf.DUMMYFUNCTION("""COMPUTED_VALUE"""),0.0)</f>
        <v>0</v>
      </c>
      <c r="BG186" s="12"/>
      <c r="BH186" s="12"/>
      <c r="BI186" s="12"/>
      <c r="BJ186" s="14"/>
      <c r="BK186" s="14"/>
      <c r="BL186" s="14"/>
      <c r="BM186" s="14"/>
      <c r="BN186" s="14"/>
      <c r="BO186" s="14"/>
    </row>
    <row r="187">
      <c r="A187" s="15" t="str">
        <f>IFERROR(__xludf.DUMMYFUNCTION("""COMPUTED_VALUE"""),"")</f>
        <v/>
      </c>
      <c r="B187" s="16"/>
      <c r="C187" s="17"/>
      <c r="D187" s="16"/>
      <c r="E187" s="16"/>
      <c r="F187" s="16"/>
      <c r="G187" s="17"/>
      <c r="H187" s="15"/>
      <c r="I187" s="20"/>
      <c r="J187" s="18"/>
      <c r="K187" s="18"/>
      <c r="L187" s="19"/>
      <c r="M187" s="20"/>
      <c r="N187" s="20"/>
      <c r="O187" s="20"/>
      <c r="P187" s="20"/>
      <c r="Q187" s="2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1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1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1">
        <f>IFERROR(__xludf.DUMMYFUNCTION("""COMPUTED_VALUE"""),0.0)</f>
        <v>0</v>
      </c>
      <c r="BD187" s="21">
        <f>IFERROR(__xludf.DUMMYFUNCTION("""COMPUTED_VALUE"""),0.0)</f>
        <v>0</v>
      </c>
      <c r="BE187" s="21">
        <f>IFERROR(__xludf.DUMMYFUNCTION("""COMPUTED_VALUE"""),0.0)</f>
        <v>0</v>
      </c>
      <c r="BF187" s="22">
        <f>IFERROR(__xludf.DUMMYFUNCTION("""COMPUTED_VALUE"""),0.0)</f>
        <v>0</v>
      </c>
      <c r="BG187" s="20"/>
      <c r="BH187" s="20"/>
      <c r="BI187" s="20"/>
      <c r="BJ187" s="14"/>
      <c r="BK187" s="14"/>
      <c r="BL187" s="14"/>
      <c r="BM187" s="14"/>
      <c r="BN187" s="14"/>
      <c r="BO187" s="14"/>
    </row>
    <row r="188">
      <c r="A188" s="6" t="str">
        <f>IFERROR(__xludf.DUMMYFUNCTION("""COMPUTED_VALUE"""),"")</f>
        <v/>
      </c>
      <c r="B188" s="7"/>
      <c r="C188" s="8"/>
      <c r="D188" s="7"/>
      <c r="E188" s="7"/>
      <c r="F188" s="7"/>
      <c r="G188" s="8"/>
      <c r="H188" s="6"/>
      <c r="I188" s="12"/>
      <c r="J188" s="9"/>
      <c r="K188" s="9"/>
      <c r="L188" s="10"/>
      <c r="M188" s="12"/>
      <c r="N188" s="12"/>
      <c r="O188" s="11"/>
      <c r="P188" s="11"/>
      <c r="Q188" s="11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1">
        <f>IFERROR(__xludf.DUMMYFUNCTION("""COMPUTED_VALUE"""),0.0)</f>
        <v>0</v>
      </c>
      <c r="BD188" s="11">
        <f>IFERROR(__xludf.DUMMYFUNCTION("""COMPUTED_VALUE"""),0.0)</f>
        <v>0</v>
      </c>
      <c r="BE188" s="11">
        <f>IFERROR(__xludf.DUMMYFUNCTION("""COMPUTED_VALUE"""),0.0)</f>
        <v>0</v>
      </c>
      <c r="BF188" s="13">
        <f>IFERROR(__xludf.DUMMYFUNCTION("""COMPUTED_VALUE"""),0.0)</f>
        <v>0</v>
      </c>
      <c r="BG188" s="12"/>
      <c r="BH188" s="12"/>
      <c r="BI188" s="12"/>
      <c r="BJ188" s="14"/>
      <c r="BK188" s="14"/>
      <c r="BL188" s="14"/>
      <c r="BM188" s="14"/>
      <c r="BN188" s="14"/>
      <c r="BO188" s="14"/>
    </row>
    <row r="189">
      <c r="A189" s="15" t="str">
        <f>IFERROR(__xludf.DUMMYFUNCTION("""COMPUTED_VALUE"""),"")</f>
        <v/>
      </c>
      <c r="B189" s="16"/>
      <c r="C189" s="17"/>
      <c r="D189" s="16"/>
      <c r="E189" s="16"/>
      <c r="F189" s="16"/>
      <c r="G189" s="17"/>
      <c r="H189" s="15"/>
      <c r="I189" s="20"/>
      <c r="J189" s="18"/>
      <c r="K189" s="18"/>
      <c r="L189" s="19"/>
      <c r="M189" s="20"/>
      <c r="N189" s="20"/>
      <c r="O189" s="20"/>
      <c r="P189" s="20"/>
      <c r="Q189" s="21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1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1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1">
        <f>IFERROR(__xludf.DUMMYFUNCTION("""COMPUTED_VALUE"""),0.0)</f>
        <v>0</v>
      </c>
      <c r="BD189" s="21">
        <f>IFERROR(__xludf.DUMMYFUNCTION("""COMPUTED_VALUE"""),0.0)</f>
        <v>0</v>
      </c>
      <c r="BE189" s="21">
        <f>IFERROR(__xludf.DUMMYFUNCTION("""COMPUTED_VALUE"""),0.0)</f>
        <v>0</v>
      </c>
      <c r="BF189" s="22">
        <f>IFERROR(__xludf.DUMMYFUNCTION("""COMPUTED_VALUE"""),0.0)</f>
        <v>0</v>
      </c>
      <c r="BG189" s="20"/>
      <c r="BH189" s="20"/>
      <c r="BI189" s="20"/>
      <c r="BJ189" s="14"/>
      <c r="BK189" s="14"/>
      <c r="BL189" s="14"/>
      <c r="BM189" s="14"/>
      <c r="BN189" s="14"/>
      <c r="BO189" s="14"/>
    </row>
    <row r="190">
      <c r="A190" s="6" t="str">
        <f>IFERROR(__xludf.DUMMYFUNCTION("""COMPUTED_VALUE"""),"")</f>
        <v/>
      </c>
      <c r="B190" s="7"/>
      <c r="C190" s="8"/>
      <c r="D190" s="7"/>
      <c r="E190" s="7"/>
      <c r="F190" s="7"/>
      <c r="G190" s="8"/>
      <c r="H190" s="6"/>
      <c r="I190" s="12"/>
      <c r="J190" s="9"/>
      <c r="K190" s="9"/>
      <c r="L190" s="10"/>
      <c r="M190" s="12"/>
      <c r="N190" s="12"/>
      <c r="O190" s="12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1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1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1">
        <f>IFERROR(__xludf.DUMMYFUNCTION("""COMPUTED_VALUE"""),0.0)</f>
        <v>0</v>
      </c>
      <c r="BD190" s="11">
        <f>IFERROR(__xludf.DUMMYFUNCTION("""COMPUTED_VALUE"""),0.0)</f>
        <v>0</v>
      </c>
      <c r="BE190" s="11">
        <f>IFERROR(__xludf.DUMMYFUNCTION("""COMPUTED_VALUE"""),0.0)</f>
        <v>0</v>
      </c>
      <c r="BF190" s="13">
        <f>IFERROR(__xludf.DUMMYFUNCTION("""COMPUTED_VALUE"""),0.0)</f>
        <v>0</v>
      </c>
      <c r="BG190" s="12"/>
      <c r="BH190" s="12"/>
      <c r="BI190" s="12"/>
      <c r="BJ190" s="14"/>
      <c r="BK190" s="14"/>
      <c r="BL190" s="14"/>
      <c r="BM190" s="14"/>
      <c r="BN190" s="14"/>
      <c r="BO190" s="14"/>
    </row>
    <row r="191">
      <c r="A191" s="15" t="str">
        <f>IFERROR(__xludf.DUMMYFUNCTION("""COMPUTED_VALUE"""),"")</f>
        <v/>
      </c>
      <c r="B191" s="16"/>
      <c r="C191" s="17"/>
      <c r="D191" s="16"/>
      <c r="E191" s="16"/>
      <c r="F191" s="16"/>
      <c r="G191" s="17"/>
      <c r="H191" s="15"/>
      <c r="I191" s="20"/>
      <c r="J191" s="18"/>
      <c r="K191" s="18"/>
      <c r="L191" s="19"/>
      <c r="M191" s="21"/>
      <c r="N191" s="20"/>
      <c r="O191" s="20"/>
      <c r="P191" s="21"/>
      <c r="Q191" s="21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1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1">
        <f>IFERROR(__xludf.DUMMYFUNCTION("""COMPUTED_VALUE"""),0.0)</f>
        <v>0</v>
      </c>
      <c r="BD191" s="21">
        <f>IFERROR(__xludf.DUMMYFUNCTION("""COMPUTED_VALUE"""),0.0)</f>
        <v>0</v>
      </c>
      <c r="BE191" s="21">
        <f>IFERROR(__xludf.DUMMYFUNCTION("""COMPUTED_VALUE"""),0.0)</f>
        <v>0</v>
      </c>
      <c r="BF191" s="22">
        <f>IFERROR(__xludf.DUMMYFUNCTION("""COMPUTED_VALUE"""),0.0)</f>
        <v>0</v>
      </c>
      <c r="BG191" s="20"/>
      <c r="BH191" s="20"/>
      <c r="BI191" s="20"/>
      <c r="BJ191" s="14"/>
      <c r="BK191" s="14"/>
      <c r="BL191" s="14"/>
      <c r="BM191" s="14"/>
      <c r="BN191" s="14"/>
      <c r="BO191" s="14"/>
    </row>
    <row r="192">
      <c r="A192" s="6" t="str">
        <f>IFERROR(__xludf.DUMMYFUNCTION("""COMPUTED_VALUE"""),"")</f>
        <v/>
      </c>
      <c r="B192" s="7"/>
      <c r="C192" s="8"/>
      <c r="D192" s="7"/>
      <c r="E192" s="7"/>
      <c r="F192" s="7"/>
      <c r="G192" s="8"/>
      <c r="H192" s="6"/>
      <c r="I192" s="12"/>
      <c r="J192" s="9"/>
      <c r="K192" s="9"/>
      <c r="L192" s="10"/>
      <c r="M192" s="11"/>
      <c r="N192" s="12"/>
      <c r="O192" s="12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1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1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1">
        <f>IFERROR(__xludf.DUMMYFUNCTION("""COMPUTED_VALUE"""),0.0)</f>
        <v>0</v>
      </c>
      <c r="BD192" s="11">
        <f>IFERROR(__xludf.DUMMYFUNCTION("""COMPUTED_VALUE"""),0.0)</f>
        <v>0</v>
      </c>
      <c r="BE192" s="11">
        <f>IFERROR(__xludf.DUMMYFUNCTION("""COMPUTED_VALUE"""),0.0)</f>
        <v>0</v>
      </c>
      <c r="BF192" s="13">
        <f>IFERROR(__xludf.DUMMYFUNCTION("""COMPUTED_VALUE"""),0.0)</f>
        <v>0</v>
      </c>
      <c r="BG192" s="12"/>
      <c r="BH192" s="12"/>
      <c r="BI192" s="12"/>
      <c r="BJ192" s="14"/>
      <c r="BK192" s="14"/>
      <c r="BL192" s="14"/>
      <c r="BM192" s="14"/>
      <c r="BN192" s="14"/>
      <c r="BO192" s="14"/>
    </row>
    <row r="193">
      <c r="A193" s="15" t="str">
        <f>IFERROR(__xludf.DUMMYFUNCTION("""COMPUTED_VALUE"""),"")</f>
        <v/>
      </c>
      <c r="B193" s="16"/>
      <c r="C193" s="17"/>
      <c r="D193" s="16"/>
      <c r="E193" s="16"/>
      <c r="F193" s="16"/>
      <c r="G193" s="17"/>
      <c r="H193" s="15"/>
      <c r="I193" s="20"/>
      <c r="J193" s="18"/>
      <c r="K193" s="18"/>
      <c r="L193" s="19"/>
      <c r="M193" s="20"/>
      <c r="N193" s="20"/>
      <c r="O193" s="20"/>
      <c r="P193" s="21"/>
      <c r="Q193" s="21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1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1">
        <f>IFERROR(__xludf.DUMMYFUNCTION("""COMPUTED_VALUE"""),0.0)</f>
        <v>0</v>
      </c>
      <c r="BD193" s="21">
        <f>IFERROR(__xludf.DUMMYFUNCTION("""COMPUTED_VALUE"""),0.0)</f>
        <v>0</v>
      </c>
      <c r="BE193" s="21">
        <f>IFERROR(__xludf.DUMMYFUNCTION("""COMPUTED_VALUE"""),0.0)</f>
        <v>0</v>
      </c>
      <c r="BF193" s="22">
        <f>IFERROR(__xludf.DUMMYFUNCTION("""COMPUTED_VALUE"""),0.0)</f>
        <v>0</v>
      </c>
      <c r="BG193" s="20"/>
      <c r="BH193" s="20"/>
      <c r="BI193" s="20"/>
      <c r="BJ193" s="14"/>
      <c r="BK193" s="14"/>
      <c r="BL193" s="14"/>
      <c r="BM193" s="14"/>
      <c r="BN193" s="14"/>
      <c r="BO193" s="14"/>
    </row>
    <row r="194">
      <c r="A194" s="6" t="str">
        <f>IFERROR(__xludf.DUMMYFUNCTION("""COMPUTED_VALUE"""),"")</f>
        <v/>
      </c>
      <c r="B194" s="7"/>
      <c r="C194" s="8"/>
      <c r="D194" s="7"/>
      <c r="E194" s="7"/>
      <c r="F194" s="7"/>
      <c r="G194" s="8"/>
      <c r="H194" s="6"/>
      <c r="I194" s="12"/>
      <c r="J194" s="9"/>
      <c r="K194" s="9"/>
      <c r="L194" s="1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1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1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1">
        <f>IFERROR(__xludf.DUMMYFUNCTION("""COMPUTED_VALUE"""),0.0)</f>
        <v>0</v>
      </c>
      <c r="BD194" s="11">
        <f>IFERROR(__xludf.DUMMYFUNCTION("""COMPUTED_VALUE"""),0.0)</f>
        <v>0</v>
      </c>
      <c r="BE194" s="11">
        <f>IFERROR(__xludf.DUMMYFUNCTION("""COMPUTED_VALUE"""),0.0)</f>
        <v>0</v>
      </c>
      <c r="BF194" s="13">
        <f>IFERROR(__xludf.DUMMYFUNCTION("""COMPUTED_VALUE"""),0.0)</f>
        <v>0</v>
      </c>
      <c r="BG194" s="12"/>
      <c r="BH194" s="12"/>
      <c r="BI194" s="12"/>
      <c r="BJ194" s="14"/>
      <c r="BK194" s="14"/>
      <c r="BL194" s="14"/>
      <c r="BM194" s="14"/>
      <c r="BN194" s="14"/>
      <c r="BO194" s="14"/>
    </row>
    <row r="195">
      <c r="A195" s="15" t="str">
        <f>IFERROR(__xludf.DUMMYFUNCTION("""COMPUTED_VALUE"""),"")</f>
        <v/>
      </c>
      <c r="B195" s="16"/>
      <c r="C195" s="17"/>
      <c r="D195" s="16"/>
      <c r="E195" s="16"/>
      <c r="F195" s="16"/>
      <c r="G195" s="17"/>
      <c r="H195" s="15"/>
      <c r="I195" s="20"/>
      <c r="J195" s="18"/>
      <c r="K195" s="18"/>
      <c r="L195" s="19"/>
      <c r="M195" s="21"/>
      <c r="N195" s="20"/>
      <c r="O195" s="20"/>
      <c r="P195" s="21"/>
      <c r="Q195" s="21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1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1">
        <f>IFERROR(__xludf.DUMMYFUNCTION("""COMPUTED_VALUE"""),0.0)</f>
        <v>0</v>
      </c>
      <c r="BD195" s="21">
        <f>IFERROR(__xludf.DUMMYFUNCTION("""COMPUTED_VALUE"""),0.0)</f>
        <v>0</v>
      </c>
      <c r="BE195" s="21">
        <f>IFERROR(__xludf.DUMMYFUNCTION("""COMPUTED_VALUE"""),0.0)</f>
        <v>0</v>
      </c>
      <c r="BF195" s="22">
        <f>IFERROR(__xludf.DUMMYFUNCTION("""COMPUTED_VALUE"""),0.0)</f>
        <v>0</v>
      </c>
      <c r="BG195" s="20"/>
      <c r="BH195" s="20"/>
      <c r="BI195" s="20"/>
      <c r="BJ195" s="14"/>
      <c r="BK195" s="14"/>
      <c r="BL195" s="14"/>
      <c r="BM195" s="14"/>
      <c r="BN195" s="14"/>
      <c r="BO195" s="14"/>
    </row>
    <row r="196">
      <c r="A196" s="6" t="str">
        <f>IFERROR(__xludf.DUMMYFUNCTION("""COMPUTED_VALUE"""),"")</f>
        <v/>
      </c>
      <c r="B196" s="7"/>
      <c r="C196" s="8"/>
      <c r="D196" s="7"/>
      <c r="E196" s="7"/>
      <c r="F196" s="7"/>
      <c r="G196" s="8"/>
      <c r="H196" s="6"/>
      <c r="I196" s="12"/>
      <c r="J196" s="9"/>
      <c r="K196" s="9"/>
      <c r="L196" s="10"/>
      <c r="M196" s="12"/>
      <c r="N196" s="12"/>
      <c r="O196" s="12"/>
      <c r="P196" s="11"/>
      <c r="Q196" s="11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1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1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1">
        <f>IFERROR(__xludf.DUMMYFUNCTION("""COMPUTED_VALUE"""),0.0)</f>
        <v>0</v>
      </c>
      <c r="BD196" s="11">
        <f>IFERROR(__xludf.DUMMYFUNCTION("""COMPUTED_VALUE"""),0.0)</f>
        <v>0</v>
      </c>
      <c r="BE196" s="11">
        <f>IFERROR(__xludf.DUMMYFUNCTION("""COMPUTED_VALUE"""),0.0)</f>
        <v>0</v>
      </c>
      <c r="BF196" s="13">
        <f>IFERROR(__xludf.DUMMYFUNCTION("""COMPUTED_VALUE"""),0.0)</f>
        <v>0</v>
      </c>
      <c r="BG196" s="12"/>
      <c r="BH196" s="12"/>
      <c r="BI196" s="12"/>
      <c r="BJ196" s="14"/>
      <c r="BK196" s="14"/>
      <c r="BL196" s="14"/>
      <c r="BM196" s="14"/>
      <c r="BN196" s="14"/>
      <c r="BO196" s="14"/>
    </row>
    <row r="197">
      <c r="A197" s="15" t="str">
        <f>IFERROR(__xludf.DUMMYFUNCTION("""COMPUTED_VALUE"""),"")</f>
        <v/>
      </c>
      <c r="B197" s="16"/>
      <c r="C197" s="17"/>
      <c r="D197" s="16"/>
      <c r="E197" s="16"/>
      <c r="F197" s="16"/>
      <c r="G197" s="17"/>
      <c r="H197" s="15"/>
      <c r="I197" s="20"/>
      <c r="J197" s="18"/>
      <c r="K197" s="18"/>
      <c r="L197" s="19"/>
      <c r="M197" s="20"/>
      <c r="N197" s="20"/>
      <c r="O197" s="20"/>
      <c r="P197" s="20"/>
      <c r="Q197" s="21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1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1">
        <f>IFERROR(__xludf.DUMMYFUNCTION("""COMPUTED_VALUE"""),0.0)</f>
        <v>0</v>
      </c>
      <c r="BD197" s="21">
        <f>IFERROR(__xludf.DUMMYFUNCTION("""COMPUTED_VALUE"""),0.0)</f>
        <v>0</v>
      </c>
      <c r="BE197" s="21">
        <f>IFERROR(__xludf.DUMMYFUNCTION("""COMPUTED_VALUE"""),0.0)</f>
        <v>0</v>
      </c>
      <c r="BF197" s="22">
        <f>IFERROR(__xludf.DUMMYFUNCTION("""COMPUTED_VALUE"""),0.0)</f>
        <v>0</v>
      </c>
      <c r="BG197" s="20"/>
      <c r="BH197" s="20"/>
      <c r="BI197" s="20"/>
      <c r="BJ197" s="14"/>
      <c r="BK197" s="14"/>
      <c r="BL197" s="14"/>
      <c r="BM197" s="14"/>
      <c r="BN197" s="14"/>
      <c r="BO197" s="14"/>
    </row>
    <row r="198">
      <c r="A198" s="6" t="str">
        <f>IFERROR(__xludf.DUMMYFUNCTION("""COMPUTED_VALUE"""),"")</f>
        <v/>
      </c>
      <c r="B198" s="7"/>
      <c r="C198" s="8"/>
      <c r="D198" s="7"/>
      <c r="E198" s="7"/>
      <c r="F198" s="7"/>
      <c r="G198" s="8"/>
      <c r="H198" s="6"/>
      <c r="I198" s="12"/>
      <c r="J198" s="9"/>
      <c r="K198" s="9"/>
      <c r="L198" s="10"/>
      <c r="M198" s="12"/>
      <c r="N198" s="12"/>
      <c r="O198" s="12"/>
      <c r="P198" s="11"/>
      <c r="Q198" s="1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1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1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1">
        <f>IFERROR(__xludf.DUMMYFUNCTION("""COMPUTED_VALUE"""),0.0)</f>
        <v>0</v>
      </c>
      <c r="BD198" s="11">
        <f>IFERROR(__xludf.DUMMYFUNCTION("""COMPUTED_VALUE"""),0.0)</f>
        <v>0</v>
      </c>
      <c r="BE198" s="11">
        <f>IFERROR(__xludf.DUMMYFUNCTION("""COMPUTED_VALUE"""),0.0)</f>
        <v>0</v>
      </c>
      <c r="BF198" s="13">
        <f>IFERROR(__xludf.DUMMYFUNCTION("""COMPUTED_VALUE"""),0.0)</f>
        <v>0</v>
      </c>
      <c r="BG198" s="12"/>
      <c r="BH198" s="12"/>
      <c r="BI198" s="12"/>
      <c r="BJ198" s="14"/>
      <c r="BK198" s="14"/>
      <c r="BL198" s="14"/>
      <c r="BM198" s="14"/>
      <c r="BN198" s="14"/>
      <c r="BO198" s="14"/>
    </row>
    <row r="199">
      <c r="A199" s="15" t="str">
        <f>IFERROR(__xludf.DUMMYFUNCTION("""COMPUTED_VALUE"""),"")</f>
        <v/>
      </c>
      <c r="B199" s="16"/>
      <c r="C199" s="17"/>
      <c r="D199" s="16"/>
      <c r="E199" s="16"/>
      <c r="F199" s="16"/>
      <c r="G199" s="17"/>
      <c r="H199" s="15"/>
      <c r="I199" s="20"/>
      <c r="J199" s="18"/>
      <c r="K199" s="18"/>
      <c r="L199" s="19"/>
      <c r="M199" s="20"/>
      <c r="N199" s="20"/>
      <c r="O199" s="20"/>
      <c r="P199" s="21"/>
      <c r="Q199" s="21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1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1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1">
        <f>IFERROR(__xludf.DUMMYFUNCTION("""COMPUTED_VALUE"""),0.0)</f>
        <v>0</v>
      </c>
      <c r="BD199" s="21">
        <f>IFERROR(__xludf.DUMMYFUNCTION("""COMPUTED_VALUE"""),0.0)</f>
        <v>0</v>
      </c>
      <c r="BE199" s="21">
        <f>IFERROR(__xludf.DUMMYFUNCTION("""COMPUTED_VALUE"""),0.0)</f>
        <v>0</v>
      </c>
      <c r="BF199" s="22">
        <f>IFERROR(__xludf.DUMMYFUNCTION("""COMPUTED_VALUE"""),0.0)</f>
        <v>0</v>
      </c>
      <c r="BG199" s="20"/>
      <c r="BH199" s="20"/>
      <c r="BI199" s="20"/>
      <c r="BJ199" s="14"/>
      <c r="BK199" s="14"/>
      <c r="BL199" s="14"/>
      <c r="BM199" s="14"/>
      <c r="BN199" s="14"/>
      <c r="BO199" s="14"/>
    </row>
    <row r="200">
      <c r="A200" s="6" t="str">
        <f>IFERROR(__xludf.DUMMYFUNCTION("""COMPUTED_VALUE"""),"")</f>
        <v/>
      </c>
      <c r="B200" s="7"/>
      <c r="C200" s="8"/>
      <c r="D200" s="7"/>
      <c r="E200" s="7"/>
      <c r="F200" s="7"/>
      <c r="G200" s="8"/>
      <c r="H200" s="6"/>
      <c r="I200" s="12"/>
      <c r="J200" s="9"/>
      <c r="K200" s="9"/>
      <c r="L200" s="10"/>
      <c r="M200" s="12"/>
      <c r="N200" s="12"/>
      <c r="O200" s="12"/>
      <c r="P200" s="11"/>
      <c r="Q200" s="11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1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1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1">
        <f>IFERROR(__xludf.DUMMYFUNCTION("""COMPUTED_VALUE"""),0.0)</f>
        <v>0</v>
      </c>
      <c r="BD200" s="11">
        <f>IFERROR(__xludf.DUMMYFUNCTION("""COMPUTED_VALUE"""),0.0)</f>
        <v>0</v>
      </c>
      <c r="BE200" s="11">
        <f>IFERROR(__xludf.DUMMYFUNCTION("""COMPUTED_VALUE"""),0.0)</f>
        <v>0</v>
      </c>
      <c r="BF200" s="13">
        <f>IFERROR(__xludf.DUMMYFUNCTION("""COMPUTED_VALUE"""),0.0)</f>
        <v>0</v>
      </c>
      <c r="BG200" s="12"/>
      <c r="BH200" s="12"/>
      <c r="BI200" s="12"/>
      <c r="BJ200" s="14"/>
      <c r="BK200" s="14"/>
      <c r="BL200" s="14"/>
      <c r="BM200" s="14"/>
      <c r="BN200" s="14"/>
      <c r="BO200" s="14"/>
    </row>
    <row r="201">
      <c r="A201" s="15" t="str">
        <f>IFERROR(__xludf.DUMMYFUNCTION("""COMPUTED_VALUE"""),"")</f>
        <v/>
      </c>
      <c r="B201" s="16"/>
      <c r="C201" s="17"/>
      <c r="D201" s="16"/>
      <c r="E201" s="16"/>
      <c r="F201" s="16"/>
      <c r="G201" s="17"/>
      <c r="H201" s="15"/>
      <c r="I201" s="20"/>
      <c r="J201" s="18"/>
      <c r="K201" s="18"/>
      <c r="L201" s="19"/>
      <c r="M201" s="20"/>
      <c r="N201" s="20"/>
      <c r="O201" s="20"/>
      <c r="P201" s="21"/>
      <c r="Q201" s="21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1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1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1">
        <f>IFERROR(__xludf.DUMMYFUNCTION("""COMPUTED_VALUE"""),0.0)</f>
        <v>0</v>
      </c>
      <c r="BD201" s="21">
        <f>IFERROR(__xludf.DUMMYFUNCTION("""COMPUTED_VALUE"""),0.0)</f>
        <v>0</v>
      </c>
      <c r="BE201" s="21">
        <f>IFERROR(__xludf.DUMMYFUNCTION("""COMPUTED_VALUE"""),0.0)</f>
        <v>0</v>
      </c>
      <c r="BF201" s="22">
        <f>IFERROR(__xludf.DUMMYFUNCTION("""COMPUTED_VALUE"""),0.0)</f>
        <v>0</v>
      </c>
      <c r="BG201" s="20"/>
      <c r="BH201" s="20"/>
      <c r="BI201" s="20"/>
      <c r="BJ201" s="14"/>
      <c r="BK201" s="14"/>
      <c r="BL201" s="14"/>
      <c r="BM201" s="14"/>
      <c r="BN201" s="14"/>
      <c r="BO201" s="14"/>
    </row>
    <row r="202">
      <c r="A202" s="6" t="str">
        <f>IFERROR(__xludf.DUMMYFUNCTION("""COMPUTED_VALUE"""),"")</f>
        <v/>
      </c>
      <c r="B202" s="7"/>
      <c r="C202" s="8"/>
      <c r="D202" s="7"/>
      <c r="E202" s="7"/>
      <c r="F202" s="7"/>
      <c r="G202" s="8"/>
      <c r="H202" s="6"/>
      <c r="I202" s="12"/>
      <c r="J202" s="9"/>
      <c r="K202" s="9"/>
      <c r="L202" s="10"/>
      <c r="M202" s="12"/>
      <c r="N202" s="12"/>
      <c r="O202" s="12"/>
      <c r="P202" s="12"/>
      <c r="Q202" s="1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1">
        <f>IFERROR(__xludf.DUMMYFUNCTION("""COMPUTED_VALUE"""),0.0)</f>
        <v>0</v>
      </c>
      <c r="BD202" s="11">
        <f>IFERROR(__xludf.DUMMYFUNCTION("""COMPUTED_VALUE"""),0.0)</f>
        <v>0</v>
      </c>
      <c r="BE202" s="11">
        <f>IFERROR(__xludf.DUMMYFUNCTION("""COMPUTED_VALUE"""),0.0)</f>
        <v>0</v>
      </c>
      <c r="BF202" s="13">
        <f>IFERROR(__xludf.DUMMYFUNCTION("""COMPUTED_VALUE"""),0.0)</f>
        <v>0</v>
      </c>
      <c r="BG202" s="12"/>
      <c r="BH202" s="12"/>
      <c r="BI202" s="12"/>
      <c r="BJ202" s="14"/>
      <c r="BK202" s="14"/>
      <c r="BL202" s="14"/>
      <c r="BM202" s="14"/>
      <c r="BN202" s="14"/>
      <c r="BO202" s="14"/>
    </row>
    <row r="203">
      <c r="A203" s="15" t="str">
        <f>IFERROR(__xludf.DUMMYFUNCTION("""COMPUTED_VALUE"""),"")</f>
        <v/>
      </c>
      <c r="B203" s="16"/>
      <c r="C203" s="17"/>
      <c r="D203" s="16"/>
      <c r="E203" s="16"/>
      <c r="F203" s="16"/>
      <c r="G203" s="17"/>
      <c r="H203" s="15"/>
      <c r="I203" s="20"/>
      <c r="J203" s="18"/>
      <c r="K203" s="18"/>
      <c r="L203" s="19"/>
      <c r="M203" s="20"/>
      <c r="N203" s="21"/>
      <c r="O203" s="21"/>
      <c r="P203" s="21"/>
      <c r="Q203" s="21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1">
        <f>IFERROR(__xludf.DUMMYFUNCTION("""COMPUTED_VALUE"""),0.0)</f>
        <v>0</v>
      </c>
      <c r="BD203" s="21">
        <f>IFERROR(__xludf.DUMMYFUNCTION("""COMPUTED_VALUE"""),0.0)</f>
        <v>0</v>
      </c>
      <c r="BE203" s="21">
        <f>IFERROR(__xludf.DUMMYFUNCTION("""COMPUTED_VALUE"""),0.0)</f>
        <v>0</v>
      </c>
      <c r="BF203" s="22">
        <f>IFERROR(__xludf.DUMMYFUNCTION("""COMPUTED_VALUE"""),0.0)</f>
        <v>0</v>
      </c>
      <c r="BG203" s="20"/>
      <c r="BH203" s="20"/>
      <c r="BI203" s="20"/>
      <c r="BJ203" s="14"/>
      <c r="BK203" s="14"/>
      <c r="BL203" s="14"/>
      <c r="BM203" s="14"/>
      <c r="BN203" s="14"/>
      <c r="BO203" s="14"/>
    </row>
    <row r="204">
      <c r="A204" s="6" t="str">
        <f>IFERROR(__xludf.DUMMYFUNCTION("""COMPUTED_VALUE"""),"")</f>
        <v/>
      </c>
      <c r="B204" s="7"/>
      <c r="C204" s="8"/>
      <c r="D204" s="7"/>
      <c r="E204" s="7"/>
      <c r="F204" s="7"/>
      <c r="G204" s="8"/>
      <c r="H204" s="6"/>
      <c r="I204" s="12"/>
      <c r="J204" s="9"/>
      <c r="K204" s="9"/>
      <c r="L204" s="10"/>
      <c r="M204" s="11"/>
      <c r="N204" s="12"/>
      <c r="O204" s="12"/>
      <c r="P204" s="11"/>
      <c r="Q204" s="1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1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1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1">
        <f>IFERROR(__xludf.DUMMYFUNCTION("""COMPUTED_VALUE"""),0.0)</f>
        <v>0</v>
      </c>
      <c r="BD204" s="11">
        <f>IFERROR(__xludf.DUMMYFUNCTION("""COMPUTED_VALUE"""),0.0)</f>
        <v>0</v>
      </c>
      <c r="BE204" s="11">
        <f>IFERROR(__xludf.DUMMYFUNCTION("""COMPUTED_VALUE"""),0.0)</f>
        <v>0</v>
      </c>
      <c r="BF204" s="13">
        <f>IFERROR(__xludf.DUMMYFUNCTION("""COMPUTED_VALUE"""),0.0)</f>
        <v>0</v>
      </c>
      <c r="BG204" s="12"/>
      <c r="BH204" s="12"/>
      <c r="BI204" s="12"/>
      <c r="BJ204" s="14"/>
      <c r="BK204" s="14"/>
      <c r="BL204" s="14"/>
      <c r="BM204" s="14"/>
      <c r="BN204" s="14"/>
      <c r="BO204" s="14"/>
    </row>
    <row r="205">
      <c r="A205" s="15" t="str">
        <f>IFERROR(__xludf.DUMMYFUNCTION("""COMPUTED_VALUE"""),"")</f>
        <v/>
      </c>
      <c r="B205" s="16"/>
      <c r="C205" s="17"/>
      <c r="D205" s="16"/>
      <c r="E205" s="16"/>
      <c r="F205" s="16"/>
      <c r="G205" s="17"/>
      <c r="H205" s="15"/>
      <c r="I205" s="20"/>
      <c r="J205" s="18"/>
      <c r="K205" s="18"/>
      <c r="L205" s="19"/>
      <c r="M205" s="21"/>
      <c r="N205" s="20"/>
      <c r="O205" s="20"/>
      <c r="P205" s="21"/>
      <c r="Q205" s="21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1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1">
        <f>IFERROR(__xludf.DUMMYFUNCTION("""COMPUTED_VALUE"""),0.0)</f>
        <v>0</v>
      </c>
      <c r="BD205" s="21">
        <f>IFERROR(__xludf.DUMMYFUNCTION("""COMPUTED_VALUE"""),0.0)</f>
        <v>0</v>
      </c>
      <c r="BE205" s="21">
        <f>IFERROR(__xludf.DUMMYFUNCTION("""COMPUTED_VALUE"""),0.0)</f>
        <v>0</v>
      </c>
      <c r="BF205" s="22">
        <f>IFERROR(__xludf.DUMMYFUNCTION("""COMPUTED_VALUE"""),0.0)</f>
        <v>0</v>
      </c>
      <c r="BG205" s="20"/>
      <c r="BH205" s="20"/>
      <c r="BI205" s="20"/>
      <c r="BJ205" s="14"/>
      <c r="BK205" s="14"/>
      <c r="BL205" s="14"/>
      <c r="BM205" s="14"/>
      <c r="BN205" s="14"/>
      <c r="BO205" s="14"/>
    </row>
    <row r="206">
      <c r="A206" s="6" t="str">
        <f>IFERROR(__xludf.DUMMYFUNCTION("""COMPUTED_VALUE"""),"")</f>
        <v/>
      </c>
      <c r="B206" s="7"/>
      <c r="C206" s="8"/>
      <c r="D206" s="7"/>
      <c r="E206" s="7"/>
      <c r="F206" s="7"/>
      <c r="G206" s="8"/>
      <c r="H206" s="6"/>
      <c r="I206" s="12"/>
      <c r="J206" s="9"/>
      <c r="K206" s="9"/>
      <c r="L206" s="10"/>
      <c r="M206" s="11"/>
      <c r="N206" s="12"/>
      <c r="O206" s="12"/>
      <c r="P206" s="12"/>
      <c r="Q206" s="1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1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1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1">
        <f>IFERROR(__xludf.DUMMYFUNCTION("""COMPUTED_VALUE"""),0.0)</f>
        <v>0</v>
      </c>
      <c r="BD206" s="11">
        <f>IFERROR(__xludf.DUMMYFUNCTION("""COMPUTED_VALUE"""),0.0)</f>
        <v>0</v>
      </c>
      <c r="BE206" s="11">
        <f>IFERROR(__xludf.DUMMYFUNCTION("""COMPUTED_VALUE"""),0.0)</f>
        <v>0</v>
      </c>
      <c r="BF206" s="13">
        <f>IFERROR(__xludf.DUMMYFUNCTION("""COMPUTED_VALUE"""),0.0)</f>
        <v>0</v>
      </c>
      <c r="BG206" s="12"/>
      <c r="BH206" s="12"/>
      <c r="BI206" s="12"/>
      <c r="BJ206" s="14"/>
      <c r="BK206" s="14"/>
      <c r="BL206" s="14"/>
      <c r="BM206" s="14"/>
      <c r="BN206" s="14"/>
      <c r="BO206" s="14"/>
    </row>
    <row r="207">
      <c r="A207" s="15" t="str">
        <f>IFERROR(__xludf.DUMMYFUNCTION("""COMPUTED_VALUE"""),"")</f>
        <v/>
      </c>
      <c r="B207" s="16"/>
      <c r="C207" s="17"/>
      <c r="D207" s="16"/>
      <c r="E207" s="16"/>
      <c r="F207" s="16"/>
      <c r="G207" s="17"/>
      <c r="H207" s="15"/>
      <c r="I207" s="18"/>
      <c r="J207" s="18"/>
      <c r="K207" s="18"/>
      <c r="L207" s="19"/>
      <c r="M207" s="20"/>
      <c r="N207" s="20"/>
      <c r="O207" s="20"/>
      <c r="P207" s="21"/>
      <c r="Q207" s="21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1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1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1">
        <f>IFERROR(__xludf.DUMMYFUNCTION("""COMPUTED_VALUE"""),0.0)</f>
        <v>0</v>
      </c>
      <c r="BD207" s="21">
        <f>IFERROR(__xludf.DUMMYFUNCTION("""COMPUTED_VALUE"""),0.0)</f>
        <v>0</v>
      </c>
      <c r="BE207" s="21">
        <f>IFERROR(__xludf.DUMMYFUNCTION("""COMPUTED_VALUE"""),0.0)</f>
        <v>0</v>
      </c>
      <c r="BF207" s="22">
        <f>IFERROR(__xludf.DUMMYFUNCTION("""COMPUTED_VALUE"""),0.0)</f>
        <v>0</v>
      </c>
      <c r="BG207" s="20"/>
      <c r="BH207" s="20"/>
      <c r="BI207" s="20"/>
      <c r="BJ207" s="14"/>
      <c r="BK207" s="14"/>
      <c r="BL207" s="14"/>
      <c r="BM207" s="14"/>
      <c r="BN207" s="14"/>
      <c r="BO207" s="14"/>
    </row>
    <row r="208">
      <c r="A208" s="6" t="str">
        <f>IFERROR(__xludf.DUMMYFUNCTION("""COMPUTED_VALUE"""),"")</f>
        <v/>
      </c>
      <c r="B208" s="7"/>
      <c r="C208" s="8"/>
      <c r="D208" s="7"/>
      <c r="E208" s="7"/>
      <c r="F208" s="7"/>
      <c r="G208" s="8"/>
      <c r="H208" s="6"/>
      <c r="I208" s="12"/>
      <c r="J208" s="9"/>
      <c r="K208" s="9"/>
      <c r="L208" s="10"/>
      <c r="M208" s="12"/>
      <c r="N208" s="12"/>
      <c r="O208" s="12"/>
      <c r="P208" s="11"/>
      <c r="Q208" s="1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1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1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1">
        <f>IFERROR(__xludf.DUMMYFUNCTION("""COMPUTED_VALUE"""),0.0)</f>
        <v>0</v>
      </c>
      <c r="BD208" s="11">
        <f>IFERROR(__xludf.DUMMYFUNCTION("""COMPUTED_VALUE"""),0.0)</f>
        <v>0</v>
      </c>
      <c r="BE208" s="11">
        <f>IFERROR(__xludf.DUMMYFUNCTION("""COMPUTED_VALUE"""),0.0)</f>
        <v>0</v>
      </c>
      <c r="BF208" s="13">
        <f>IFERROR(__xludf.DUMMYFUNCTION("""COMPUTED_VALUE"""),0.0)</f>
        <v>0</v>
      </c>
      <c r="BG208" s="12"/>
      <c r="BH208" s="12"/>
      <c r="BI208" s="12"/>
      <c r="BJ208" s="14"/>
      <c r="BK208" s="14"/>
      <c r="BL208" s="14"/>
      <c r="BM208" s="14"/>
      <c r="BN208" s="14"/>
      <c r="BO208" s="14"/>
    </row>
    <row r="209">
      <c r="A209" s="15" t="str">
        <f>IFERROR(__xludf.DUMMYFUNCTION("""COMPUTED_VALUE"""),"")</f>
        <v/>
      </c>
      <c r="B209" s="16"/>
      <c r="C209" s="17"/>
      <c r="D209" s="16"/>
      <c r="E209" s="16"/>
      <c r="F209" s="16"/>
      <c r="G209" s="17"/>
      <c r="H209" s="15"/>
      <c r="I209" s="20"/>
      <c r="J209" s="18"/>
      <c r="K209" s="18"/>
      <c r="L209" s="19"/>
      <c r="M209" s="20"/>
      <c r="N209" s="20"/>
      <c r="O209" s="20"/>
      <c r="P209" s="21"/>
      <c r="Q209" s="21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1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1">
        <f>IFERROR(__xludf.DUMMYFUNCTION("""COMPUTED_VALUE"""),0.0)</f>
        <v>0</v>
      </c>
      <c r="BD209" s="21">
        <f>IFERROR(__xludf.DUMMYFUNCTION("""COMPUTED_VALUE"""),0.0)</f>
        <v>0</v>
      </c>
      <c r="BE209" s="21">
        <f>IFERROR(__xludf.DUMMYFUNCTION("""COMPUTED_VALUE"""),0.0)</f>
        <v>0</v>
      </c>
      <c r="BF209" s="22">
        <f>IFERROR(__xludf.DUMMYFUNCTION("""COMPUTED_VALUE"""),0.0)</f>
        <v>0</v>
      </c>
      <c r="BG209" s="20"/>
      <c r="BH209" s="20"/>
      <c r="BI209" s="20"/>
      <c r="BJ209" s="14"/>
      <c r="BK209" s="14"/>
      <c r="BL209" s="14"/>
      <c r="BM209" s="14"/>
      <c r="BN209" s="14"/>
      <c r="BO209" s="14"/>
    </row>
    <row r="210">
      <c r="A210" s="6" t="str">
        <f>IFERROR(__xludf.DUMMYFUNCTION("""COMPUTED_VALUE"""),"")</f>
        <v/>
      </c>
      <c r="B210" s="7"/>
      <c r="C210" s="8"/>
      <c r="D210" s="7"/>
      <c r="E210" s="7"/>
      <c r="F210" s="7"/>
      <c r="G210" s="8"/>
      <c r="H210" s="6"/>
      <c r="I210" s="12"/>
      <c r="J210" s="9"/>
      <c r="K210" s="9"/>
      <c r="L210" s="10"/>
      <c r="M210" s="12"/>
      <c r="N210" s="12"/>
      <c r="O210" s="12"/>
      <c r="P210" s="11"/>
      <c r="Q210" s="1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1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1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1">
        <f>IFERROR(__xludf.DUMMYFUNCTION("""COMPUTED_VALUE"""),0.0)</f>
        <v>0</v>
      </c>
      <c r="BD210" s="11">
        <f>IFERROR(__xludf.DUMMYFUNCTION("""COMPUTED_VALUE"""),0.0)</f>
        <v>0</v>
      </c>
      <c r="BE210" s="11">
        <f>IFERROR(__xludf.DUMMYFUNCTION("""COMPUTED_VALUE"""),0.0)</f>
        <v>0</v>
      </c>
      <c r="BF210" s="13">
        <f>IFERROR(__xludf.DUMMYFUNCTION("""COMPUTED_VALUE"""),0.0)</f>
        <v>0</v>
      </c>
      <c r="BG210" s="12"/>
      <c r="BH210" s="12"/>
      <c r="BI210" s="12"/>
      <c r="BJ210" s="14"/>
      <c r="BK210" s="14"/>
      <c r="BL210" s="14"/>
      <c r="BM210" s="14"/>
      <c r="BN210" s="14"/>
      <c r="BO210" s="14"/>
    </row>
    <row r="211">
      <c r="A211" s="15" t="str">
        <f>IFERROR(__xludf.DUMMYFUNCTION("""COMPUTED_VALUE"""),"")</f>
        <v/>
      </c>
      <c r="B211" s="16"/>
      <c r="C211" s="17"/>
      <c r="D211" s="16"/>
      <c r="E211" s="16"/>
      <c r="F211" s="16"/>
      <c r="G211" s="17"/>
      <c r="H211" s="15"/>
      <c r="I211" s="18"/>
      <c r="J211" s="18"/>
      <c r="K211" s="18"/>
      <c r="L211" s="19"/>
      <c r="M211" s="20"/>
      <c r="N211" s="20"/>
      <c r="O211" s="20"/>
      <c r="P211" s="21"/>
      <c r="Q211" s="21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1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1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1">
        <f>IFERROR(__xludf.DUMMYFUNCTION("""COMPUTED_VALUE"""),0.0)</f>
        <v>0</v>
      </c>
      <c r="BD211" s="21">
        <f>IFERROR(__xludf.DUMMYFUNCTION("""COMPUTED_VALUE"""),0.0)</f>
        <v>0</v>
      </c>
      <c r="BE211" s="21">
        <f>IFERROR(__xludf.DUMMYFUNCTION("""COMPUTED_VALUE"""),0.0)</f>
        <v>0</v>
      </c>
      <c r="BF211" s="22">
        <f>IFERROR(__xludf.DUMMYFUNCTION("""COMPUTED_VALUE"""),0.0)</f>
        <v>0</v>
      </c>
      <c r="BG211" s="20"/>
      <c r="BH211" s="20"/>
      <c r="BI211" s="20"/>
      <c r="BJ211" s="14"/>
      <c r="BK211" s="14"/>
      <c r="BL211" s="14"/>
      <c r="BM211" s="14"/>
      <c r="BN211" s="14"/>
      <c r="BO211" s="14"/>
    </row>
    <row r="212">
      <c r="A212" s="6" t="str">
        <f>IFERROR(__xludf.DUMMYFUNCTION("""COMPUTED_VALUE"""),"")</f>
        <v/>
      </c>
      <c r="B212" s="7"/>
      <c r="C212" s="8"/>
      <c r="D212" s="7"/>
      <c r="E212" s="7"/>
      <c r="F212" s="7"/>
      <c r="G212" s="8"/>
      <c r="H212" s="6"/>
      <c r="I212" s="12"/>
      <c r="J212" s="9"/>
      <c r="K212" s="9"/>
      <c r="L212" s="10"/>
      <c r="M212" s="12"/>
      <c r="N212" s="12"/>
      <c r="O212" s="12"/>
      <c r="P212" s="11"/>
      <c r="Q212" s="1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1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1">
        <f>IFERROR(__xludf.DUMMYFUNCTION("""COMPUTED_VALUE"""),0.0)</f>
        <v>0</v>
      </c>
      <c r="BD212" s="11">
        <f>IFERROR(__xludf.DUMMYFUNCTION("""COMPUTED_VALUE"""),0.0)</f>
        <v>0</v>
      </c>
      <c r="BE212" s="11">
        <f>IFERROR(__xludf.DUMMYFUNCTION("""COMPUTED_VALUE"""),0.0)</f>
        <v>0</v>
      </c>
      <c r="BF212" s="13">
        <f>IFERROR(__xludf.DUMMYFUNCTION("""COMPUTED_VALUE"""),0.0)</f>
        <v>0</v>
      </c>
      <c r="BG212" s="12"/>
      <c r="BH212" s="12"/>
      <c r="BI212" s="12"/>
      <c r="BJ212" s="14"/>
      <c r="BK212" s="14"/>
      <c r="BL212" s="14"/>
      <c r="BM212" s="14"/>
      <c r="BN212" s="14"/>
      <c r="BO212" s="14"/>
    </row>
    <row r="213">
      <c r="A213" s="15" t="str">
        <f>IFERROR(__xludf.DUMMYFUNCTION("""COMPUTED_VALUE"""),"")</f>
        <v/>
      </c>
      <c r="B213" s="16"/>
      <c r="C213" s="17"/>
      <c r="D213" s="16"/>
      <c r="E213" s="16"/>
      <c r="F213" s="16"/>
      <c r="G213" s="17"/>
      <c r="H213" s="15"/>
      <c r="I213" s="20"/>
      <c r="J213" s="18"/>
      <c r="K213" s="18"/>
      <c r="L213" s="19"/>
      <c r="M213" s="20"/>
      <c r="N213" s="21"/>
      <c r="O213" s="21"/>
      <c r="P213" s="21"/>
      <c r="Q213" s="21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1">
        <f>IFERROR(__xludf.DUMMYFUNCTION("""COMPUTED_VALUE"""),0.0)</f>
        <v>0</v>
      </c>
      <c r="BD213" s="21">
        <f>IFERROR(__xludf.DUMMYFUNCTION("""COMPUTED_VALUE"""),0.0)</f>
        <v>0</v>
      </c>
      <c r="BE213" s="21">
        <f>IFERROR(__xludf.DUMMYFUNCTION("""COMPUTED_VALUE"""),0.0)</f>
        <v>0</v>
      </c>
      <c r="BF213" s="22">
        <f>IFERROR(__xludf.DUMMYFUNCTION("""COMPUTED_VALUE"""),0.0)</f>
        <v>0</v>
      </c>
      <c r="BG213" s="20"/>
      <c r="BH213" s="20"/>
      <c r="BI213" s="20"/>
      <c r="BJ213" s="14"/>
      <c r="BK213" s="14"/>
      <c r="BL213" s="14"/>
      <c r="BM213" s="14"/>
      <c r="BN213" s="14"/>
      <c r="BO213" s="14"/>
    </row>
    <row r="214">
      <c r="A214" s="6" t="str">
        <f>IFERROR(__xludf.DUMMYFUNCTION("""COMPUTED_VALUE"""),"")</f>
        <v/>
      </c>
      <c r="B214" s="7"/>
      <c r="C214" s="8"/>
      <c r="D214" s="7"/>
      <c r="E214" s="7"/>
      <c r="F214" s="7"/>
      <c r="G214" s="8"/>
      <c r="H214" s="6"/>
      <c r="I214" s="9"/>
      <c r="J214" s="9"/>
      <c r="K214" s="9"/>
      <c r="L214" s="10"/>
      <c r="M214" s="11"/>
      <c r="N214" s="12"/>
      <c r="O214" s="12"/>
      <c r="P214" s="12"/>
      <c r="Q214" s="1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1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1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1">
        <f>IFERROR(__xludf.DUMMYFUNCTION("""COMPUTED_VALUE"""),0.0)</f>
        <v>0</v>
      </c>
      <c r="BD214" s="11">
        <f>IFERROR(__xludf.DUMMYFUNCTION("""COMPUTED_VALUE"""),0.0)</f>
        <v>0</v>
      </c>
      <c r="BE214" s="11">
        <f>IFERROR(__xludf.DUMMYFUNCTION("""COMPUTED_VALUE"""),0.0)</f>
        <v>0</v>
      </c>
      <c r="BF214" s="13">
        <f>IFERROR(__xludf.DUMMYFUNCTION("""COMPUTED_VALUE"""),0.0)</f>
        <v>0</v>
      </c>
      <c r="BG214" s="12"/>
      <c r="BH214" s="12"/>
      <c r="BI214" s="12"/>
      <c r="BJ214" s="14"/>
      <c r="BK214" s="14"/>
      <c r="BL214" s="14"/>
      <c r="BM214" s="14"/>
      <c r="BN214" s="14"/>
      <c r="BO214" s="14"/>
    </row>
    <row r="215">
      <c r="A215" s="15" t="str">
        <f>IFERROR(__xludf.DUMMYFUNCTION("""COMPUTED_VALUE"""),"")</f>
        <v/>
      </c>
      <c r="B215" s="16"/>
      <c r="C215" s="17"/>
      <c r="D215" s="16"/>
      <c r="E215" s="16"/>
      <c r="F215" s="16"/>
      <c r="G215" s="17"/>
      <c r="H215" s="15"/>
      <c r="I215" s="20"/>
      <c r="J215" s="18"/>
      <c r="K215" s="18"/>
      <c r="L215" s="19"/>
      <c r="M215" s="20"/>
      <c r="N215" s="20"/>
      <c r="O215" s="20"/>
      <c r="P215" s="20"/>
      <c r="Q215" s="21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1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1">
        <f>IFERROR(__xludf.DUMMYFUNCTION("""COMPUTED_VALUE"""),0.0)</f>
        <v>0</v>
      </c>
      <c r="BD215" s="21">
        <f>IFERROR(__xludf.DUMMYFUNCTION("""COMPUTED_VALUE"""),0.0)</f>
        <v>0</v>
      </c>
      <c r="BE215" s="21">
        <f>IFERROR(__xludf.DUMMYFUNCTION("""COMPUTED_VALUE"""),0.0)</f>
        <v>0</v>
      </c>
      <c r="BF215" s="22">
        <f>IFERROR(__xludf.DUMMYFUNCTION("""COMPUTED_VALUE"""),0.0)</f>
        <v>0</v>
      </c>
      <c r="BG215" s="20"/>
      <c r="BH215" s="20"/>
      <c r="BI215" s="20"/>
      <c r="BJ215" s="14"/>
      <c r="BK215" s="14"/>
      <c r="BL215" s="14"/>
      <c r="BM215" s="14"/>
      <c r="BN215" s="14"/>
      <c r="BO215" s="14"/>
    </row>
    <row r="216">
      <c r="A216" s="6" t="str">
        <f>IFERROR(__xludf.DUMMYFUNCTION("""COMPUTED_VALUE"""),"")</f>
        <v/>
      </c>
      <c r="B216" s="7"/>
      <c r="C216" s="8"/>
      <c r="D216" s="7"/>
      <c r="E216" s="7"/>
      <c r="F216" s="7"/>
      <c r="G216" s="8"/>
      <c r="H216" s="6"/>
      <c r="I216" s="9"/>
      <c r="J216" s="9"/>
      <c r="K216" s="9"/>
      <c r="L216" s="10"/>
      <c r="M216" s="12"/>
      <c r="N216" s="12"/>
      <c r="O216" s="12"/>
      <c r="P216" s="11"/>
      <c r="Q216" s="11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1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1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1">
        <f>IFERROR(__xludf.DUMMYFUNCTION("""COMPUTED_VALUE"""),0.0)</f>
        <v>0</v>
      </c>
      <c r="BD216" s="11">
        <f>IFERROR(__xludf.DUMMYFUNCTION("""COMPUTED_VALUE"""),0.0)</f>
        <v>0</v>
      </c>
      <c r="BE216" s="11">
        <f>IFERROR(__xludf.DUMMYFUNCTION("""COMPUTED_VALUE"""),0.0)</f>
        <v>0</v>
      </c>
      <c r="BF216" s="13">
        <f>IFERROR(__xludf.DUMMYFUNCTION("""COMPUTED_VALUE"""),0.0)</f>
        <v>0</v>
      </c>
      <c r="BG216" s="12"/>
      <c r="BH216" s="12"/>
      <c r="BI216" s="12"/>
      <c r="BJ216" s="14"/>
      <c r="BK216" s="14"/>
      <c r="BL216" s="14"/>
      <c r="BM216" s="14"/>
      <c r="BN216" s="14"/>
      <c r="BO216" s="14"/>
    </row>
    <row r="217">
      <c r="A217" s="15" t="str">
        <f>IFERROR(__xludf.DUMMYFUNCTION("""COMPUTED_VALUE"""),"")</f>
        <v/>
      </c>
      <c r="B217" s="16"/>
      <c r="C217" s="17"/>
      <c r="D217" s="16"/>
      <c r="E217" s="16"/>
      <c r="F217" s="16"/>
      <c r="G217" s="17"/>
      <c r="H217" s="15"/>
      <c r="I217" s="18"/>
      <c r="J217" s="18"/>
      <c r="K217" s="18"/>
      <c r="L217" s="19"/>
      <c r="M217" s="20"/>
      <c r="N217" s="20"/>
      <c r="O217" s="20"/>
      <c r="P217" s="20"/>
      <c r="Q217" s="21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1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1">
        <f>IFERROR(__xludf.DUMMYFUNCTION("""COMPUTED_VALUE"""),0.0)</f>
        <v>0</v>
      </c>
      <c r="BD217" s="21">
        <f>IFERROR(__xludf.DUMMYFUNCTION("""COMPUTED_VALUE"""),0.0)</f>
        <v>0</v>
      </c>
      <c r="BE217" s="21">
        <f>IFERROR(__xludf.DUMMYFUNCTION("""COMPUTED_VALUE"""),0.0)</f>
        <v>0</v>
      </c>
      <c r="BF217" s="22">
        <f>IFERROR(__xludf.DUMMYFUNCTION("""COMPUTED_VALUE"""),0.0)</f>
        <v>0</v>
      </c>
      <c r="BG217" s="20"/>
      <c r="BH217" s="20"/>
      <c r="BI217" s="20"/>
      <c r="BJ217" s="14"/>
      <c r="BK217" s="14"/>
      <c r="BL217" s="14"/>
      <c r="BM217" s="14"/>
      <c r="BN217" s="14"/>
      <c r="BO217" s="14"/>
    </row>
    <row r="218">
      <c r="A218" s="6" t="str">
        <f>IFERROR(__xludf.DUMMYFUNCTION("""COMPUTED_VALUE"""),"")</f>
        <v/>
      </c>
      <c r="B218" s="7"/>
      <c r="C218" s="8"/>
      <c r="D218" s="7"/>
      <c r="E218" s="7"/>
      <c r="F218" s="7"/>
      <c r="G218" s="8"/>
      <c r="H218" s="6"/>
      <c r="I218" s="9"/>
      <c r="J218" s="9"/>
      <c r="K218" s="9"/>
      <c r="L218" s="10"/>
      <c r="M218" s="12"/>
      <c r="N218" s="12"/>
      <c r="O218" s="12"/>
      <c r="P218" s="12"/>
      <c r="Q218" s="1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1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1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1">
        <f>IFERROR(__xludf.DUMMYFUNCTION("""COMPUTED_VALUE"""),0.0)</f>
        <v>0</v>
      </c>
      <c r="BD218" s="11">
        <f>IFERROR(__xludf.DUMMYFUNCTION("""COMPUTED_VALUE"""),0.0)</f>
        <v>0</v>
      </c>
      <c r="BE218" s="11">
        <f>IFERROR(__xludf.DUMMYFUNCTION("""COMPUTED_VALUE"""),0.0)</f>
        <v>0</v>
      </c>
      <c r="BF218" s="13">
        <f>IFERROR(__xludf.DUMMYFUNCTION("""COMPUTED_VALUE"""),0.0)</f>
        <v>0</v>
      </c>
      <c r="BG218" s="12"/>
      <c r="BH218" s="12"/>
      <c r="BI218" s="12"/>
      <c r="BJ218" s="14"/>
      <c r="BK218" s="14"/>
      <c r="BL218" s="14"/>
      <c r="BM218" s="14"/>
      <c r="BN218" s="14"/>
      <c r="BO218" s="14"/>
    </row>
    <row r="219">
      <c r="A219" s="15" t="str">
        <f>IFERROR(__xludf.DUMMYFUNCTION("""COMPUTED_VALUE"""),"")</f>
        <v/>
      </c>
      <c r="B219" s="16"/>
      <c r="C219" s="17"/>
      <c r="D219" s="16"/>
      <c r="E219" s="16"/>
      <c r="F219" s="16"/>
      <c r="G219" s="17"/>
      <c r="H219" s="15"/>
      <c r="I219" s="20"/>
      <c r="J219" s="18"/>
      <c r="K219" s="18"/>
      <c r="L219" s="19"/>
      <c r="M219" s="20"/>
      <c r="N219" s="20"/>
      <c r="O219" s="20"/>
      <c r="P219" s="20"/>
      <c r="Q219" s="21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1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1">
        <f>IFERROR(__xludf.DUMMYFUNCTION("""COMPUTED_VALUE"""),0.0)</f>
        <v>0</v>
      </c>
      <c r="BD219" s="21">
        <f>IFERROR(__xludf.DUMMYFUNCTION("""COMPUTED_VALUE"""),0.0)</f>
        <v>0</v>
      </c>
      <c r="BE219" s="21">
        <f>IFERROR(__xludf.DUMMYFUNCTION("""COMPUTED_VALUE"""),0.0)</f>
        <v>0</v>
      </c>
      <c r="BF219" s="22">
        <f>IFERROR(__xludf.DUMMYFUNCTION("""COMPUTED_VALUE"""),0.0)</f>
        <v>0</v>
      </c>
      <c r="BG219" s="20"/>
      <c r="BH219" s="20"/>
      <c r="BI219" s="20"/>
      <c r="BJ219" s="14"/>
      <c r="BK219" s="14"/>
      <c r="BL219" s="14"/>
      <c r="BM219" s="14"/>
      <c r="BN219" s="14"/>
      <c r="BO219" s="14"/>
    </row>
    <row r="220">
      <c r="A220" s="6" t="str">
        <f>IFERROR(__xludf.DUMMYFUNCTION("""COMPUTED_VALUE"""),"")</f>
        <v/>
      </c>
      <c r="B220" s="7"/>
      <c r="C220" s="8"/>
      <c r="D220" s="7"/>
      <c r="E220" s="7"/>
      <c r="F220" s="7"/>
      <c r="G220" s="8"/>
      <c r="H220" s="6"/>
      <c r="I220" s="12"/>
      <c r="J220" s="9"/>
      <c r="K220" s="9"/>
      <c r="L220" s="10"/>
      <c r="M220" s="12"/>
      <c r="N220" s="12"/>
      <c r="O220" s="12"/>
      <c r="P220" s="12"/>
      <c r="Q220" s="11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1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1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1">
        <f>IFERROR(__xludf.DUMMYFUNCTION("""COMPUTED_VALUE"""),0.0)</f>
        <v>0</v>
      </c>
      <c r="BD220" s="11">
        <f>IFERROR(__xludf.DUMMYFUNCTION("""COMPUTED_VALUE"""),0.0)</f>
        <v>0</v>
      </c>
      <c r="BE220" s="11">
        <f>IFERROR(__xludf.DUMMYFUNCTION("""COMPUTED_VALUE"""),0.0)</f>
        <v>0</v>
      </c>
      <c r="BF220" s="13">
        <f>IFERROR(__xludf.DUMMYFUNCTION("""COMPUTED_VALUE"""),0.0)</f>
        <v>0</v>
      </c>
      <c r="BG220" s="12"/>
      <c r="BH220" s="12"/>
      <c r="BI220" s="12"/>
      <c r="BJ220" s="14"/>
      <c r="BK220" s="14"/>
      <c r="BL220" s="14"/>
      <c r="BM220" s="14"/>
      <c r="BN220" s="14"/>
      <c r="BO220" s="14"/>
    </row>
    <row r="221">
      <c r="A221" s="15" t="str">
        <f>IFERROR(__xludf.DUMMYFUNCTION("""COMPUTED_VALUE"""),"")</f>
        <v/>
      </c>
      <c r="B221" s="16"/>
      <c r="C221" s="17"/>
      <c r="D221" s="16"/>
      <c r="E221" s="16"/>
      <c r="F221" s="16"/>
      <c r="G221" s="17"/>
      <c r="H221" s="15"/>
      <c r="I221" s="18"/>
      <c r="J221" s="18"/>
      <c r="K221" s="18"/>
      <c r="L221" s="19"/>
      <c r="M221" s="20"/>
      <c r="N221" s="20"/>
      <c r="O221" s="20"/>
      <c r="P221" s="21"/>
      <c r="Q221" s="21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1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1">
        <f>IFERROR(__xludf.DUMMYFUNCTION("""COMPUTED_VALUE"""),0.0)</f>
        <v>0</v>
      </c>
      <c r="BD221" s="21">
        <f>IFERROR(__xludf.DUMMYFUNCTION("""COMPUTED_VALUE"""),0.0)</f>
        <v>0</v>
      </c>
      <c r="BE221" s="21">
        <f>IFERROR(__xludf.DUMMYFUNCTION("""COMPUTED_VALUE"""),0.0)</f>
        <v>0</v>
      </c>
      <c r="BF221" s="22">
        <f>IFERROR(__xludf.DUMMYFUNCTION("""COMPUTED_VALUE"""),0.0)</f>
        <v>0</v>
      </c>
      <c r="BG221" s="20"/>
      <c r="BH221" s="20"/>
      <c r="BI221" s="20"/>
      <c r="BJ221" s="14"/>
      <c r="BK221" s="14"/>
      <c r="BL221" s="14"/>
      <c r="BM221" s="14"/>
      <c r="BN221" s="14"/>
      <c r="BO221" s="14"/>
    </row>
    <row r="222">
      <c r="A222" s="6" t="str">
        <f>IFERROR(__xludf.DUMMYFUNCTION("""COMPUTED_VALUE"""),"")</f>
        <v/>
      </c>
      <c r="B222" s="7"/>
      <c r="C222" s="8"/>
      <c r="D222" s="7"/>
      <c r="E222" s="7"/>
      <c r="F222" s="7"/>
      <c r="G222" s="8"/>
      <c r="H222" s="6"/>
      <c r="I222" s="9"/>
      <c r="J222" s="9"/>
      <c r="K222" s="9"/>
      <c r="L222" s="10"/>
      <c r="M222" s="12"/>
      <c r="N222" s="12"/>
      <c r="O222" s="12"/>
      <c r="P222" s="12"/>
      <c r="Q222" s="1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1">
        <f>IFERROR(__xludf.DUMMYFUNCTION("""COMPUTED_VALUE"""),0.0)</f>
        <v>0</v>
      </c>
      <c r="BD222" s="11">
        <f>IFERROR(__xludf.DUMMYFUNCTION("""COMPUTED_VALUE"""),0.0)</f>
        <v>0</v>
      </c>
      <c r="BE222" s="11">
        <f>IFERROR(__xludf.DUMMYFUNCTION("""COMPUTED_VALUE"""),0.0)</f>
        <v>0</v>
      </c>
      <c r="BF222" s="13">
        <f>IFERROR(__xludf.DUMMYFUNCTION("""COMPUTED_VALUE"""),0.0)</f>
        <v>0</v>
      </c>
      <c r="BG222" s="12"/>
      <c r="BH222" s="12"/>
      <c r="BI222" s="12"/>
      <c r="BJ222" s="14"/>
      <c r="BK222" s="14"/>
      <c r="BL222" s="14"/>
      <c r="BM222" s="14"/>
      <c r="BN222" s="14"/>
      <c r="BO222" s="14"/>
    </row>
    <row r="223">
      <c r="A223" s="15" t="str">
        <f>IFERROR(__xludf.DUMMYFUNCTION("""COMPUTED_VALUE"""),"")</f>
        <v/>
      </c>
      <c r="B223" s="16"/>
      <c r="C223" s="17"/>
      <c r="D223" s="16"/>
      <c r="E223" s="16"/>
      <c r="F223" s="16"/>
      <c r="G223" s="17"/>
      <c r="H223" s="15"/>
      <c r="I223" s="18"/>
      <c r="J223" s="18"/>
      <c r="K223" s="18"/>
      <c r="L223" s="19"/>
      <c r="M223" s="20"/>
      <c r="N223" s="20"/>
      <c r="O223" s="20"/>
      <c r="P223" s="21"/>
      <c r="Q223" s="21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1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1">
        <f>IFERROR(__xludf.DUMMYFUNCTION("""COMPUTED_VALUE"""),0.0)</f>
        <v>0</v>
      </c>
      <c r="BD223" s="21">
        <f>IFERROR(__xludf.DUMMYFUNCTION("""COMPUTED_VALUE"""),0.0)</f>
        <v>0</v>
      </c>
      <c r="BE223" s="21">
        <f>IFERROR(__xludf.DUMMYFUNCTION("""COMPUTED_VALUE"""),0.0)</f>
        <v>0</v>
      </c>
      <c r="BF223" s="22">
        <f>IFERROR(__xludf.DUMMYFUNCTION("""COMPUTED_VALUE"""),0.0)</f>
        <v>0</v>
      </c>
      <c r="BG223" s="20"/>
      <c r="BH223" s="20"/>
      <c r="BI223" s="20"/>
      <c r="BJ223" s="14"/>
      <c r="BK223" s="14"/>
      <c r="BL223" s="14"/>
      <c r="BM223" s="14"/>
      <c r="BN223" s="14"/>
      <c r="BO223" s="14"/>
    </row>
    <row r="224">
      <c r="A224" s="6" t="str">
        <f>IFERROR(__xludf.DUMMYFUNCTION("""COMPUTED_VALUE"""),"")</f>
        <v/>
      </c>
      <c r="B224" s="7"/>
      <c r="C224" s="8"/>
      <c r="D224" s="7"/>
      <c r="E224" s="7"/>
      <c r="F224" s="7"/>
      <c r="G224" s="8"/>
      <c r="H224" s="6"/>
      <c r="I224" s="12"/>
      <c r="J224" s="9"/>
      <c r="K224" s="9"/>
      <c r="L224" s="10"/>
      <c r="M224" s="12"/>
      <c r="N224" s="12"/>
      <c r="O224" s="12"/>
      <c r="P224" s="12"/>
      <c r="Q224" s="11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1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1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1">
        <f>IFERROR(__xludf.DUMMYFUNCTION("""COMPUTED_VALUE"""),0.0)</f>
        <v>0</v>
      </c>
      <c r="BD224" s="11">
        <f>IFERROR(__xludf.DUMMYFUNCTION("""COMPUTED_VALUE"""),0.0)</f>
        <v>0</v>
      </c>
      <c r="BE224" s="11">
        <f>IFERROR(__xludf.DUMMYFUNCTION("""COMPUTED_VALUE"""),0.0)</f>
        <v>0</v>
      </c>
      <c r="BF224" s="13">
        <f>IFERROR(__xludf.DUMMYFUNCTION("""COMPUTED_VALUE"""),0.0)</f>
        <v>0</v>
      </c>
      <c r="BG224" s="12"/>
      <c r="BH224" s="12"/>
      <c r="BI224" s="12"/>
      <c r="BJ224" s="14"/>
      <c r="BK224" s="14"/>
      <c r="BL224" s="14"/>
      <c r="BM224" s="14"/>
      <c r="BN224" s="14"/>
      <c r="BO224" s="14"/>
    </row>
    <row r="225">
      <c r="A225" s="15" t="str">
        <f>IFERROR(__xludf.DUMMYFUNCTION("""COMPUTED_VALUE"""),"")</f>
        <v/>
      </c>
      <c r="B225" s="16"/>
      <c r="C225" s="17"/>
      <c r="D225" s="16"/>
      <c r="E225" s="16"/>
      <c r="F225" s="16"/>
      <c r="G225" s="17"/>
      <c r="H225" s="15"/>
      <c r="I225" s="20"/>
      <c r="J225" s="18"/>
      <c r="K225" s="18"/>
      <c r="L225" s="19"/>
      <c r="M225" s="20"/>
      <c r="N225" s="20"/>
      <c r="O225" s="20"/>
      <c r="P225" s="20"/>
      <c r="Q225" s="21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1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1">
        <f>IFERROR(__xludf.DUMMYFUNCTION("""COMPUTED_VALUE"""),0.0)</f>
        <v>0</v>
      </c>
      <c r="BD225" s="21">
        <f>IFERROR(__xludf.DUMMYFUNCTION("""COMPUTED_VALUE"""),0.0)</f>
        <v>0</v>
      </c>
      <c r="BE225" s="21">
        <f>IFERROR(__xludf.DUMMYFUNCTION("""COMPUTED_VALUE"""),0.0)</f>
        <v>0</v>
      </c>
      <c r="BF225" s="22">
        <f>IFERROR(__xludf.DUMMYFUNCTION("""COMPUTED_VALUE"""),0.0)</f>
        <v>0</v>
      </c>
      <c r="BG225" s="20"/>
      <c r="BH225" s="20"/>
      <c r="BI225" s="20"/>
      <c r="BJ225" s="14"/>
      <c r="BK225" s="14"/>
      <c r="BL225" s="14"/>
      <c r="BM225" s="14"/>
      <c r="BN225" s="14"/>
      <c r="BO225" s="14"/>
    </row>
    <row r="226">
      <c r="A226" s="6" t="str">
        <f>IFERROR(__xludf.DUMMYFUNCTION("""COMPUTED_VALUE"""),"")</f>
        <v/>
      </c>
      <c r="B226" s="7"/>
      <c r="C226" s="8"/>
      <c r="D226" s="7"/>
      <c r="E226" s="7"/>
      <c r="F226" s="7"/>
      <c r="G226" s="8"/>
      <c r="H226" s="6"/>
      <c r="I226" s="12"/>
      <c r="J226" s="9"/>
      <c r="K226" s="9"/>
      <c r="L226" s="10"/>
      <c r="M226" s="12"/>
      <c r="N226" s="12"/>
      <c r="O226" s="12"/>
      <c r="P226" s="12"/>
      <c r="Q226" s="11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1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1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1">
        <f>IFERROR(__xludf.DUMMYFUNCTION("""COMPUTED_VALUE"""),0.0)</f>
        <v>0</v>
      </c>
      <c r="BD226" s="11">
        <f>IFERROR(__xludf.DUMMYFUNCTION("""COMPUTED_VALUE"""),0.0)</f>
        <v>0</v>
      </c>
      <c r="BE226" s="11">
        <f>IFERROR(__xludf.DUMMYFUNCTION("""COMPUTED_VALUE"""),0.0)</f>
        <v>0</v>
      </c>
      <c r="BF226" s="13">
        <f>IFERROR(__xludf.DUMMYFUNCTION("""COMPUTED_VALUE"""),0.0)</f>
        <v>0</v>
      </c>
      <c r="BG226" s="12"/>
      <c r="BH226" s="12"/>
      <c r="BI226" s="12"/>
      <c r="BJ226" s="14"/>
      <c r="BK226" s="14"/>
      <c r="BL226" s="14"/>
      <c r="BM226" s="14"/>
      <c r="BN226" s="14"/>
      <c r="BO226" s="14"/>
    </row>
    <row r="227">
      <c r="A227" s="15" t="str">
        <f>IFERROR(__xludf.DUMMYFUNCTION("""COMPUTED_VALUE"""),"")</f>
        <v/>
      </c>
      <c r="B227" s="16"/>
      <c r="C227" s="17"/>
      <c r="D227" s="16"/>
      <c r="E227" s="16"/>
      <c r="F227" s="16"/>
      <c r="G227" s="17"/>
      <c r="H227" s="15"/>
      <c r="I227" s="20"/>
      <c r="J227" s="18"/>
      <c r="K227" s="18"/>
      <c r="L227" s="19"/>
      <c r="M227" s="20"/>
      <c r="N227" s="20"/>
      <c r="O227" s="20"/>
      <c r="P227" s="20"/>
      <c r="Q227" s="21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1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1">
        <f>IFERROR(__xludf.DUMMYFUNCTION("""COMPUTED_VALUE"""),0.0)</f>
        <v>0</v>
      </c>
      <c r="BD227" s="21">
        <f>IFERROR(__xludf.DUMMYFUNCTION("""COMPUTED_VALUE"""),0.0)</f>
        <v>0</v>
      </c>
      <c r="BE227" s="21">
        <f>IFERROR(__xludf.DUMMYFUNCTION("""COMPUTED_VALUE"""),0.0)</f>
        <v>0</v>
      </c>
      <c r="BF227" s="22">
        <f>IFERROR(__xludf.DUMMYFUNCTION("""COMPUTED_VALUE"""),0.0)</f>
        <v>0</v>
      </c>
      <c r="BG227" s="20"/>
      <c r="BH227" s="20"/>
      <c r="BI227" s="20"/>
      <c r="BJ227" s="14"/>
      <c r="BK227" s="14"/>
      <c r="BL227" s="14"/>
      <c r="BM227" s="14"/>
      <c r="BN227" s="14"/>
      <c r="BO227" s="14"/>
    </row>
    <row r="228">
      <c r="A228" s="6" t="str">
        <f>IFERROR(__xludf.DUMMYFUNCTION("""COMPUTED_VALUE"""),"")</f>
        <v/>
      </c>
      <c r="B228" s="7"/>
      <c r="C228" s="8"/>
      <c r="D228" s="7"/>
      <c r="E228" s="7"/>
      <c r="F228" s="7"/>
      <c r="G228" s="8"/>
      <c r="H228" s="6"/>
      <c r="I228" s="9"/>
      <c r="J228" s="9"/>
      <c r="K228" s="9"/>
      <c r="L228" s="10"/>
      <c r="M228" s="12"/>
      <c r="N228" s="12"/>
      <c r="O228" s="12"/>
      <c r="P228" s="12"/>
      <c r="Q228" s="11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1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1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1">
        <f>IFERROR(__xludf.DUMMYFUNCTION("""COMPUTED_VALUE"""),0.0)</f>
        <v>0</v>
      </c>
      <c r="BD228" s="11">
        <f>IFERROR(__xludf.DUMMYFUNCTION("""COMPUTED_VALUE"""),0.0)</f>
        <v>0</v>
      </c>
      <c r="BE228" s="11">
        <f>IFERROR(__xludf.DUMMYFUNCTION("""COMPUTED_VALUE"""),0.0)</f>
        <v>0</v>
      </c>
      <c r="BF228" s="13">
        <f>IFERROR(__xludf.DUMMYFUNCTION("""COMPUTED_VALUE"""),0.0)</f>
        <v>0</v>
      </c>
      <c r="BG228" s="12"/>
      <c r="BH228" s="12"/>
      <c r="BI228" s="12"/>
      <c r="BJ228" s="14"/>
      <c r="BK228" s="14"/>
      <c r="BL228" s="14"/>
      <c r="BM228" s="14"/>
      <c r="BN228" s="14"/>
      <c r="BO228" s="14"/>
    </row>
    <row r="229">
      <c r="A229" s="15" t="str">
        <f>IFERROR(__xludf.DUMMYFUNCTION("""COMPUTED_VALUE"""),"")</f>
        <v/>
      </c>
      <c r="B229" s="16"/>
      <c r="C229" s="17"/>
      <c r="D229" s="16"/>
      <c r="E229" s="16"/>
      <c r="F229" s="16"/>
      <c r="G229" s="17"/>
      <c r="H229" s="15"/>
      <c r="I229" s="20"/>
      <c r="J229" s="18"/>
      <c r="K229" s="18"/>
      <c r="L229" s="19"/>
      <c r="M229" s="20"/>
      <c r="N229" s="20"/>
      <c r="O229" s="20"/>
      <c r="P229" s="20"/>
      <c r="Q229" s="21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1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1">
        <f>IFERROR(__xludf.DUMMYFUNCTION("""COMPUTED_VALUE"""),0.0)</f>
        <v>0</v>
      </c>
      <c r="BD229" s="21">
        <f>IFERROR(__xludf.DUMMYFUNCTION("""COMPUTED_VALUE"""),0.0)</f>
        <v>0</v>
      </c>
      <c r="BE229" s="21">
        <f>IFERROR(__xludf.DUMMYFUNCTION("""COMPUTED_VALUE"""),0.0)</f>
        <v>0</v>
      </c>
      <c r="BF229" s="22">
        <f>IFERROR(__xludf.DUMMYFUNCTION("""COMPUTED_VALUE"""),0.0)</f>
        <v>0</v>
      </c>
      <c r="BG229" s="20"/>
      <c r="BH229" s="20"/>
      <c r="BI229" s="20"/>
      <c r="BJ229" s="14"/>
      <c r="BK229" s="14"/>
      <c r="BL229" s="14"/>
      <c r="BM229" s="14"/>
      <c r="BN229" s="14"/>
      <c r="BO229" s="14"/>
    </row>
    <row r="230">
      <c r="A230" s="6" t="str">
        <f>IFERROR(__xludf.DUMMYFUNCTION("""COMPUTED_VALUE"""),"")</f>
        <v/>
      </c>
      <c r="B230" s="7"/>
      <c r="C230" s="8"/>
      <c r="D230" s="7"/>
      <c r="E230" s="7"/>
      <c r="F230" s="7"/>
      <c r="G230" s="8"/>
      <c r="H230" s="6"/>
      <c r="I230" s="12"/>
      <c r="J230" s="9"/>
      <c r="K230" s="9"/>
      <c r="L230" s="10"/>
      <c r="M230" s="12"/>
      <c r="N230" s="12"/>
      <c r="O230" s="12"/>
      <c r="P230" s="11"/>
      <c r="Q230" s="11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1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1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1">
        <f>IFERROR(__xludf.DUMMYFUNCTION("""COMPUTED_VALUE"""),0.0)</f>
        <v>0</v>
      </c>
      <c r="BD230" s="11">
        <f>IFERROR(__xludf.DUMMYFUNCTION("""COMPUTED_VALUE"""),0.0)</f>
        <v>0</v>
      </c>
      <c r="BE230" s="11">
        <f>IFERROR(__xludf.DUMMYFUNCTION("""COMPUTED_VALUE"""),0.0)</f>
        <v>0</v>
      </c>
      <c r="BF230" s="13">
        <f>IFERROR(__xludf.DUMMYFUNCTION("""COMPUTED_VALUE"""),0.0)</f>
        <v>0</v>
      </c>
      <c r="BG230" s="12"/>
      <c r="BH230" s="12"/>
      <c r="BI230" s="12"/>
      <c r="BJ230" s="14"/>
      <c r="BK230" s="14"/>
      <c r="BL230" s="14"/>
      <c r="BM230" s="14"/>
      <c r="BN230" s="14"/>
      <c r="BO230" s="14"/>
    </row>
    <row r="231">
      <c r="A231" s="15" t="str">
        <f>IFERROR(__xludf.DUMMYFUNCTION("""COMPUTED_VALUE"""),"")</f>
        <v/>
      </c>
      <c r="B231" s="16"/>
      <c r="C231" s="17"/>
      <c r="D231" s="16"/>
      <c r="E231" s="16"/>
      <c r="F231" s="16"/>
      <c r="G231" s="17"/>
      <c r="H231" s="15"/>
      <c r="I231" s="20"/>
      <c r="J231" s="18"/>
      <c r="K231" s="18"/>
      <c r="L231" s="19"/>
      <c r="M231" s="20"/>
      <c r="N231" s="20"/>
      <c r="O231" s="20"/>
      <c r="P231" s="21"/>
      <c r="Q231" s="21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1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1">
        <f>IFERROR(__xludf.DUMMYFUNCTION("""COMPUTED_VALUE"""),0.0)</f>
        <v>0</v>
      </c>
      <c r="BD231" s="21">
        <f>IFERROR(__xludf.DUMMYFUNCTION("""COMPUTED_VALUE"""),0.0)</f>
        <v>0</v>
      </c>
      <c r="BE231" s="21">
        <f>IFERROR(__xludf.DUMMYFUNCTION("""COMPUTED_VALUE"""),0.0)</f>
        <v>0</v>
      </c>
      <c r="BF231" s="22">
        <f>IFERROR(__xludf.DUMMYFUNCTION("""COMPUTED_VALUE"""),0.0)</f>
        <v>0</v>
      </c>
      <c r="BG231" s="20"/>
      <c r="BH231" s="20"/>
      <c r="BI231" s="20"/>
      <c r="BJ231" s="14"/>
      <c r="BK231" s="14"/>
      <c r="BL231" s="14"/>
      <c r="BM231" s="14"/>
      <c r="BN231" s="14"/>
      <c r="BO231" s="14"/>
    </row>
    <row r="232">
      <c r="A232" s="6" t="str">
        <f>IFERROR(__xludf.DUMMYFUNCTION("""COMPUTED_VALUE"""),"")</f>
        <v/>
      </c>
      <c r="B232" s="7"/>
      <c r="C232" s="8"/>
      <c r="D232" s="7"/>
      <c r="E232" s="7"/>
      <c r="F232" s="7"/>
      <c r="G232" s="8"/>
      <c r="H232" s="6"/>
      <c r="I232" s="12"/>
      <c r="J232" s="9"/>
      <c r="K232" s="9"/>
      <c r="L232" s="10"/>
      <c r="M232" s="12"/>
      <c r="N232" s="12"/>
      <c r="O232" s="12"/>
      <c r="P232" s="12"/>
      <c r="Q232" s="11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1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1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1">
        <f>IFERROR(__xludf.DUMMYFUNCTION("""COMPUTED_VALUE"""),0.0)</f>
        <v>0</v>
      </c>
      <c r="BD232" s="11">
        <f>IFERROR(__xludf.DUMMYFUNCTION("""COMPUTED_VALUE"""),0.0)</f>
        <v>0</v>
      </c>
      <c r="BE232" s="11">
        <f>IFERROR(__xludf.DUMMYFUNCTION("""COMPUTED_VALUE"""),0.0)</f>
        <v>0</v>
      </c>
      <c r="BF232" s="13">
        <f>IFERROR(__xludf.DUMMYFUNCTION("""COMPUTED_VALUE"""),0.0)</f>
        <v>0</v>
      </c>
      <c r="BG232" s="12"/>
      <c r="BH232" s="12"/>
      <c r="BI232" s="12"/>
      <c r="BJ232" s="14"/>
      <c r="BK232" s="14"/>
      <c r="BL232" s="14"/>
      <c r="BM232" s="14"/>
      <c r="BN232" s="14"/>
      <c r="BO232" s="14"/>
    </row>
    <row r="233">
      <c r="A233" s="15" t="str">
        <f>IFERROR(__xludf.DUMMYFUNCTION("""COMPUTED_VALUE"""),"")</f>
        <v/>
      </c>
      <c r="B233" s="16"/>
      <c r="C233" s="17"/>
      <c r="D233" s="16"/>
      <c r="E233" s="16"/>
      <c r="F233" s="16"/>
      <c r="G233" s="17"/>
      <c r="H233" s="15"/>
      <c r="I233" s="20"/>
      <c r="J233" s="18"/>
      <c r="K233" s="18"/>
      <c r="L233" s="19"/>
      <c r="M233" s="20"/>
      <c r="N233" s="20"/>
      <c r="O233" s="20"/>
      <c r="P233" s="20"/>
      <c r="Q233" s="21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1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1">
        <f>IFERROR(__xludf.DUMMYFUNCTION("""COMPUTED_VALUE"""),0.0)</f>
        <v>0</v>
      </c>
      <c r="BD233" s="21">
        <f>IFERROR(__xludf.DUMMYFUNCTION("""COMPUTED_VALUE"""),0.0)</f>
        <v>0</v>
      </c>
      <c r="BE233" s="21">
        <f>IFERROR(__xludf.DUMMYFUNCTION("""COMPUTED_VALUE"""),0.0)</f>
        <v>0</v>
      </c>
      <c r="BF233" s="22">
        <f>IFERROR(__xludf.DUMMYFUNCTION("""COMPUTED_VALUE"""),0.0)</f>
        <v>0</v>
      </c>
      <c r="BG233" s="20"/>
      <c r="BH233" s="20"/>
      <c r="BI233" s="20"/>
      <c r="BJ233" s="14"/>
      <c r="BK233" s="14"/>
      <c r="BL233" s="14"/>
      <c r="BM233" s="14"/>
      <c r="BN233" s="14"/>
      <c r="BO233" s="14"/>
    </row>
    <row r="234">
      <c r="A234" s="6" t="str">
        <f>IFERROR(__xludf.DUMMYFUNCTION("""COMPUTED_VALUE"""),"")</f>
        <v/>
      </c>
      <c r="B234" s="7"/>
      <c r="C234" s="8"/>
      <c r="D234" s="7"/>
      <c r="E234" s="7"/>
      <c r="F234" s="7"/>
      <c r="G234" s="8"/>
      <c r="H234" s="6"/>
      <c r="I234" s="12"/>
      <c r="J234" s="9"/>
      <c r="K234" s="9"/>
      <c r="L234" s="10"/>
      <c r="M234" s="12"/>
      <c r="N234" s="12"/>
      <c r="O234" s="12"/>
      <c r="P234" s="11"/>
      <c r="Q234" s="11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1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1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1">
        <f>IFERROR(__xludf.DUMMYFUNCTION("""COMPUTED_VALUE"""),0.0)</f>
        <v>0</v>
      </c>
      <c r="BD234" s="11">
        <f>IFERROR(__xludf.DUMMYFUNCTION("""COMPUTED_VALUE"""),0.0)</f>
        <v>0</v>
      </c>
      <c r="BE234" s="11">
        <f>IFERROR(__xludf.DUMMYFUNCTION("""COMPUTED_VALUE"""),0.0)</f>
        <v>0</v>
      </c>
      <c r="BF234" s="13">
        <f>IFERROR(__xludf.DUMMYFUNCTION("""COMPUTED_VALUE"""),0.0)</f>
        <v>0</v>
      </c>
      <c r="BG234" s="12"/>
      <c r="BH234" s="12"/>
      <c r="BI234" s="12"/>
      <c r="BJ234" s="14"/>
      <c r="BK234" s="14"/>
      <c r="BL234" s="14"/>
      <c r="BM234" s="14"/>
      <c r="BN234" s="14"/>
      <c r="BO234" s="14"/>
    </row>
    <row r="235">
      <c r="A235" s="15" t="str">
        <f>IFERROR(__xludf.DUMMYFUNCTION("""COMPUTED_VALUE"""),"")</f>
        <v/>
      </c>
      <c r="B235" s="16"/>
      <c r="C235" s="17"/>
      <c r="D235" s="16"/>
      <c r="E235" s="16"/>
      <c r="F235" s="16"/>
      <c r="G235" s="17"/>
      <c r="H235" s="15"/>
      <c r="I235" s="20"/>
      <c r="J235" s="18"/>
      <c r="K235" s="18"/>
      <c r="L235" s="19"/>
      <c r="M235" s="20"/>
      <c r="N235" s="20"/>
      <c r="O235" s="20"/>
      <c r="P235" s="20"/>
      <c r="Q235" s="21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1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1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1">
        <f>IFERROR(__xludf.DUMMYFUNCTION("""COMPUTED_VALUE"""),0.0)</f>
        <v>0</v>
      </c>
      <c r="BD235" s="21">
        <f>IFERROR(__xludf.DUMMYFUNCTION("""COMPUTED_VALUE"""),0.0)</f>
        <v>0</v>
      </c>
      <c r="BE235" s="21">
        <f>IFERROR(__xludf.DUMMYFUNCTION("""COMPUTED_VALUE"""),0.0)</f>
        <v>0</v>
      </c>
      <c r="BF235" s="22">
        <f>IFERROR(__xludf.DUMMYFUNCTION("""COMPUTED_VALUE"""),0.0)</f>
        <v>0</v>
      </c>
      <c r="BG235" s="20"/>
      <c r="BH235" s="20"/>
      <c r="BI235" s="20"/>
      <c r="BJ235" s="14"/>
      <c r="BK235" s="14"/>
      <c r="BL235" s="14"/>
      <c r="BM235" s="14"/>
      <c r="BN235" s="14"/>
      <c r="BO235" s="14"/>
    </row>
    <row r="236">
      <c r="A236" s="6" t="str">
        <f>IFERROR(__xludf.DUMMYFUNCTION("""COMPUTED_VALUE"""),"")</f>
        <v/>
      </c>
      <c r="B236" s="7"/>
      <c r="C236" s="8"/>
      <c r="D236" s="7"/>
      <c r="E236" s="7"/>
      <c r="F236" s="7"/>
      <c r="G236" s="8"/>
      <c r="H236" s="6"/>
      <c r="I236" s="12"/>
      <c r="J236" s="9"/>
      <c r="K236" s="9"/>
      <c r="L236" s="10"/>
      <c r="M236" s="12"/>
      <c r="N236" s="12"/>
      <c r="O236" s="12"/>
      <c r="P236" s="11"/>
      <c r="Q236" s="11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1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1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1">
        <f>IFERROR(__xludf.DUMMYFUNCTION("""COMPUTED_VALUE"""),0.0)</f>
        <v>0</v>
      </c>
      <c r="BD236" s="11">
        <f>IFERROR(__xludf.DUMMYFUNCTION("""COMPUTED_VALUE"""),0.0)</f>
        <v>0</v>
      </c>
      <c r="BE236" s="11">
        <f>IFERROR(__xludf.DUMMYFUNCTION("""COMPUTED_VALUE"""),0.0)</f>
        <v>0</v>
      </c>
      <c r="BF236" s="13">
        <f>IFERROR(__xludf.DUMMYFUNCTION("""COMPUTED_VALUE"""),0.0)</f>
        <v>0</v>
      </c>
      <c r="BG236" s="12"/>
      <c r="BH236" s="12"/>
      <c r="BI236" s="12"/>
      <c r="BJ236" s="14"/>
      <c r="BK236" s="14"/>
      <c r="BL236" s="14"/>
      <c r="BM236" s="14"/>
      <c r="BN236" s="14"/>
      <c r="BO236" s="14"/>
    </row>
    <row r="237">
      <c r="A237" s="15" t="str">
        <f>IFERROR(__xludf.DUMMYFUNCTION("""COMPUTED_VALUE"""),"")</f>
        <v/>
      </c>
      <c r="B237" s="16"/>
      <c r="C237" s="17"/>
      <c r="D237" s="16"/>
      <c r="E237" s="16"/>
      <c r="F237" s="16"/>
      <c r="G237" s="17"/>
      <c r="H237" s="15"/>
      <c r="I237" s="18"/>
      <c r="J237" s="18"/>
      <c r="K237" s="18"/>
      <c r="L237" s="19"/>
      <c r="M237" s="20"/>
      <c r="N237" s="20"/>
      <c r="O237" s="20"/>
      <c r="P237" s="20"/>
      <c r="Q237" s="21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1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1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1">
        <f>IFERROR(__xludf.DUMMYFUNCTION("""COMPUTED_VALUE"""),0.0)</f>
        <v>0</v>
      </c>
      <c r="BD237" s="21">
        <f>IFERROR(__xludf.DUMMYFUNCTION("""COMPUTED_VALUE"""),0.0)</f>
        <v>0</v>
      </c>
      <c r="BE237" s="21">
        <f>IFERROR(__xludf.DUMMYFUNCTION("""COMPUTED_VALUE"""),0.0)</f>
        <v>0</v>
      </c>
      <c r="BF237" s="22">
        <f>IFERROR(__xludf.DUMMYFUNCTION("""COMPUTED_VALUE"""),0.0)</f>
        <v>0</v>
      </c>
      <c r="BG237" s="20"/>
      <c r="BH237" s="20"/>
      <c r="BI237" s="20"/>
      <c r="BJ237" s="14"/>
      <c r="BK237" s="14"/>
      <c r="BL237" s="14"/>
      <c r="BM237" s="14"/>
      <c r="BN237" s="14"/>
      <c r="BO237" s="14"/>
    </row>
    <row r="238">
      <c r="A238" s="6" t="str">
        <f>IFERROR(__xludf.DUMMYFUNCTION("""COMPUTED_VALUE"""),"")</f>
        <v/>
      </c>
      <c r="B238" s="7"/>
      <c r="C238" s="8"/>
      <c r="D238" s="7"/>
      <c r="E238" s="7"/>
      <c r="F238" s="7"/>
      <c r="G238" s="8"/>
      <c r="H238" s="6"/>
      <c r="I238" s="12"/>
      <c r="J238" s="9"/>
      <c r="K238" s="9"/>
      <c r="L238" s="10"/>
      <c r="M238" s="12"/>
      <c r="N238" s="12"/>
      <c r="O238" s="12"/>
      <c r="P238" s="11"/>
      <c r="Q238" s="11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1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1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1">
        <f>IFERROR(__xludf.DUMMYFUNCTION("""COMPUTED_VALUE"""),0.0)</f>
        <v>0</v>
      </c>
      <c r="BD238" s="11">
        <f>IFERROR(__xludf.DUMMYFUNCTION("""COMPUTED_VALUE"""),0.0)</f>
        <v>0</v>
      </c>
      <c r="BE238" s="11">
        <f>IFERROR(__xludf.DUMMYFUNCTION("""COMPUTED_VALUE"""),0.0)</f>
        <v>0</v>
      </c>
      <c r="BF238" s="13">
        <f>IFERROR(__xludf.DUMMYFUNCTION("""COMPUTED_VALUE"""),0.0)</f>
        <v>0</v>
      </c>
      <c r="BG238" s="12"/>
      <c r="BH238" s="12"/>
      <c r="BI238" s="12"/>
      <c r="BJ238" s="14"/>
      <c r="BK238" s="14"/>
      <c r="BL238" s="14"/>
      <c r="BM238" s="14"/>
      <c r="BN238" s="14"/>
      <c r="BO238" s="14"/>
    </row>
    <row r="239">
      <c r="A239" s="15" t="str">
        <f>IFERROR(__xludf.DUMMYFUNCTION("""COMPUTED_VALUE"""),"")</f>
        <v/>
      </c>
      <c r="B239" s="16"/>
      <c r="C239" s="17"/>
      <c r="D239" s="16"/>
      <c r="E239" s="16"/>
      <c r="F239" s="16"/>
      <c r="G239" s="17"/>
      <c r="H239" s="15"/>
      <c r="I239" s="20"/>
      <c r="J239" s="18"/>
      <c r="K239" s="18"/>
      <c r="L239" s="19"/>
      <c r="M239" s="20"/>
      <c r="N239" s="20"/>
      <c r="O239" s="20"/>
      <c r="P239" s="20"/>
      <c r="Q239" s="21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1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1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1">
        <f>IFERROR(__xludf.DUMMYFUNCTION("""COMPUTED_VALUE"""),0.0)</f>
        <v>0</v>
      </c>
      <c r="BD239" s="21">
        <f>IFERROR(__xludf.DUMMYFUNCTION("""COMPUTED_VALUE"""),0.0)</f>
        <v>0</v>
      </c>
      <c r="BE239" s="21">
        <f>IFERROR(__xludf.DUMMYFUNCTION("""COMPUTED_VALUE"""),0.0)</f>
        <v>0</v>
      </c>
      <c r="BF239" s="22">
        <f>IFERROR(__xludf.DUMMYFUNCTION("""COMPUTED_VALUE"""),0.0)</f>
        <v>0</v>
      </c>
      <c r="BG239" s="20"/>
      <c r="BH239" s="20"/>
      <c r="BI239" s="20"/>
      <c r="BJ239" s="14"/>
      <c r="BK239" s="14"/>
      <c r="BL239" s="14"/>
      <c r="BM239" s="14"/>
      <c r="BN239" s="14"/>
      <c r="BO239" s="14"/>
    </row>
    <row r="240">
      <c r="A240" s="6" t="str">
        <f>IFERROR(__xludf.DUMMYFUNCTION("""COMPUTED_VALUE"""),"")</f>
        <v/>
      </c>
      <c r="B240" s="7"/>
      <c r="C240" s="8"/>
      <c r="D240" s="7"/>
      <c r="E240" s="7"/>
      <c r="F240" s="7"/>
      <c r="G240" s="8"/>
      <c r="H240" s="6"/>
      <c r="I240" s="9"/>
      <c r="J240" s="9"/>
      <c r="K240" s="9"/>
      <c r="L240" s="10"/>
      <c r="M240" s="12"/>
      <c r="N240" s="12"/>
      <c r="O240" s="12"/>
      <c r="P240" s="12"/>
      <c r="Q240" s="11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1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1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1">
        <f>IFERROR(__xludf.DUMMYFUNCTION("""COMPUTED_VALUE"""),0.0)</f>
        <v>0</v>
      </c>
      <c r="BD240" s="11">
        <f>IFERROR(__xludf.DUMMYFUNCTION("""COMPUTED_VALUE"""),0.0)</f>
        <v>0</v>
      </c>
      <c r="BE240" s="11">
        <f>IFERROR(__xludf.DUMMYFUNCTION("""COMPUTED_VALUE"""),0.0)</f>
        <v>0</v>
      </c>
      <c r="BF240" s="13">
        <f>IFERROR(__xludf.DUMMYFUNCTION("""COMPUTED_VALUE"""),0.0)</f>
        <v>0</v>
      </c>
      <c r="BG240" s="12"/>
      <c r="BH240" s="12"/>
      <c r="BI240" s="12"/>
      <c r="BJ240" s="14"/>
      <c r="BK240" s="14"/>
      <c r="BL240" s="14"/>
      <c r="BM240" s="14"/>
      <c r="BN240" s="14"/>
      <c r="BO240" s="14"/>
    </row>
    <row r="241">
      <c r="A241" s="15" t="str">
        <f>IFERROR(__xludf.DUMMYFUNCTION("""COMPUTED_VALUE"""),"")</f>
        <v/>
      </c>
      <c r="B241" s="16"/>
      <c r="C241" s="17"/>
      <c r="D241" s="16"/>
      <c r="E241" s="16"/>
      <c r="F241" s="16"/>
      <c r="G241" s="17"/>
      <c r="H241" s="15"/>
      <c r="I241" s="20"/>
      <c r="J241" s="18"/>
      <c r="K241" s="18"/>
      <c r="L241" s="19"/>
      <c r="M241" s="20"/>
      <c r="N241" s="20"/>
      <c r="O241" s="20"/>
      <c r="P241" s="20"/>
      <c r="Q241" s="21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1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1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1">
        <f>IFERROR(__xludf.DUMMYFUNCTION("""COMPUTED_VALUE"""),0.0)</f>
        <v>0</v>
      </c>
      <c r="BD241" s="21">
        <f>IFERROR(__xludf.DUMMYFUNCTION("""COMPUTED_VALUE"""),0.0)</f>
        <v>0</v>
      </c>
      <c r="BE241" s="21">
        <f>IFERROR(__xludf.DUMMYFUNCTION("""COMPUTED_VALUE"""),0.0)</f>
        <v>0</v>
      </c>
      <c r="BF241" s="22">
        <f>IFERROR(__xludf.DUMMYFUNCTION("""COMPUTED_VALUE"""),0.0)</f>
        <v>0</v>
      </c>
      <c r="BG241" s="20"/>
      <c r="BH241" s="20"/>
      <c r="BI241" s="20"/>
      <c r="BJ241" s="14"/>
      <c r="BK241" s="14"/>
      <c r="BL241" s="14"/>
      <c r="BM241" s="14"/>
      <c r="BN241" s="14"/>
      <c r="BO241" s="14"/>
    </row>
    <row r="242">
      <c r="A242" s="6" t="str">
        <f>IFERROR(__xludf.DUMMYFUNCTION("""COMPUTED_VALUE"""),"")</f>
        <v/>
      </c>
      <c r="B242" s="7"/>
      <c r="C242" s="8"/>
      <c r="D242" s="7"/>
      <c r="E242" s="7"/>
      <c r="F242" s="7"/>
      <c r="G242" s="8"/>
      <c r="H242" s="6"/>
      <c r="I242" s="12"/>
      <c r="J242" s="9"/>
      <c r="K242" s="9"/>
      <c r="L242" s="10"/>
      <c r="M242" s="12"/>
      <c r="N242" s="12"/>
      <c r="O242" s="12"/>
      <c r="P242" s="12"/>
      <c r="Q242" s="11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1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1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1">
        <f>IFERROR(__xludf.DUMMYFUNCTION("""COMPUTED_VALUE"""),0.0)</f>
        <v>0</v>
      </c>
      <c r="BD242" s="11">
        <f>IFERROR(__xludf.DUMMYFUNCTION("""COMPUTED_VALUE"""),0.0)</f>
        <v>0</v>
      </c>
      <c r="BE242" s="11">
        <f>IFERROR(__xludf.DUMMYFUNCTION("""COMPUTED_VALUE"""),0.0)</f>
        <v>0</v>
      </c>
      <c r="BF242" s="13">
        <f>IFERROR(__xludf.DUMMYFUNCTION("""COMPUTED_VALUE"""),0.0)</f>
        <v>0</v>
      </c>
      <c r="BG242" s="12"/>
      <c r="BH242" s="12"/>
      <c r="BI242" s="12"/>
      <c r="BJ242" s="14"/>
      <c r="BK242" s="14"/>
      <c r="BL242" s="14"/>
      <c r="BM242" s="14"/>
      <c r="BN242" s="14"/>
      <c r="BO242" s="14"/>
    </row>
    <row r="243">
      <c r="A243" s="15" t="str">
        <f>IFERROR(__xludf.DUMMYFUNCTION("""COMPUTED_VALUE"""),"")</f>
        <v/>
      </c>
      <c r="B243" s="16"/>
      <c r="C243" s="17"/>
      <c r="D243" s="16"/>
      <c r="E243" s="16"/>
      <c r="F243" s="16"/>
      <c r="G243" s="17"/>
      <c r="H243" s="15"/>
      <c r="I243" s="20"/>
      <c r="J243" s="18"/>
      <c r="K243" s="18"/>
      <c r="L243" s="19"/>
      <c r="M243" s="20"/>
      <c r="N243" s="20"/>
      <c r="O243" s="20"/>
      <c r="P243" s="20"/>
      <c r="Q243" s="21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1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1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1">
        <f>IFERROR(__xludf.DUMMYFUNCTION("""COMPUTED_VALUE"""),0.0)</f>
        <v>0</v>
      </c>
      <c r="BD243" s="21">
        <f>IFERROR(__xludf.DUMMYFUNCTION("""COMPUTED_VALUE"""),0.0)</f>
        <v>0</v>
      </c>
      <c r="BE243" s="21">
        <f>IFERROR(__xludf.DUMMYFUNCTION("""COMPUTED_VALUE"""),0.0)</f>
        <v>0</v>
      </c>
      <c r="BF243" s="22">
        <f>IFERROR(__xludf.DUMMYFUNCTION("""COMPUTED_VALUE"""),0.0)</f>
        <v>0</v>
      </c>
      <c r="BG243" s="20"/>
      <c r="BH243" s="20"/>
      <c r="BI243" s="20"/>
      <c r="BJ243" s="14"/>
      <c r="BK243" s="14"/>
      <c r="BL243" s="14"/>
      <c r="BM243" s="14"/>
      <c r="BN243" s="14"/>
      <c r="BO243" s="14"/>
    </row>
    <row r="244">
      <c r="A244" s="6" t="str">
        <f>IFERROR(__xludf.DUMMYFUNCTION("""COMPUTED_VALUE"""),"")</f>
        <v/>
      </c>
      <c r="B244" s="7"/>
      <c r="C244" s="8"/>
      <c r="D244" s="7"/>
      <c r="E244" s="7"/>
      <c r="F244" s="7"/>
      <c r="G244" s="8"/>
      <c r="H244" s="6"/>
      <c r="I244" s="9"/>
      <c r="J244" s="9"/>
      <c r="K244" s="9"/>
      <c r="L244" s="10"/>
      <c r="M244" s="12"/>
      <c r="N244" s="12"/>
      <c r="O244" s="12"/>
      <c r="P244" s="12"/>
      <c r="Q244" s="11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1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1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1">
        <f>IFERROR(__xludf.DUMMYFUNCTION("""COMPUTED_VALUE"""),0.0)</f>
        <v>0</v>
      </c>
      <c r="BD244" s="11">
        <f>IFERROR(__xludf.DUMMYFUNCTION("""COMPUTED_VALUE"""),0.0)</f>
        <v>0</v>
      </c>
      <c r="BE244" s="11">
        <f>IFERROR(__xludf.DUMMYFUNCTION("""COMPUTED_VALUE"""),0.0)</f>
        <v>0</v>
      </c>
      <c r="BF244" s="13">
        <f>IFERROR(__xludf.DUMMYFUNCTION("""COMPUTED_VALUE"""),0.0)</f>
        <v>0</v>
      </c>
      <c r="BG244" s="12"/>
      <c r="BH244" s="12"/>
      <c r="BI244" s="12"/>
      <c r="BJ244" s="14"/>
      <c r="BK244" s="14"/>
      <c r="BL244" s="14"/>
      <c r="BM244" s="14"/>
      <c r="BN244" s="14"/>
      <c r="BO244" s="14"/>
    </row>
    <row r="245">
      <c r="A245" s="15" t="str">
        <f>IFERROR(__xludf.DUMMYFUNCTION("""COMPUTED_VALUE"""),"")</f>
        <v/>
      </c>
      <c r="B245" s="16"/>
      <c r="C245" s="17"/>
      <c r="D245" s="16"/>
      <c r="E245" s="16"/>
      <c r="F245" s="16"/>
      <c r="G245" s="17"/>
      <c r="H245" s="15"/>
      <c r="I245" s="20"/>
      <c r="J245" s="18"/>
      <c r="K245" s="18"/>
      <c r="L245" s="19"/>
      <c r="M245" s="20"/>
      <c r="N245" s="20"/>
      <c r="O245" s="20"/>
      <c r="P245" s="20"/>
      <c r="Q245" s="21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1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1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1">
        <f>IFERROR(__xludf.DUMMYFUNCTION("""COMPUTED_VALUE"""),0.0)</f>
        <v>0</v>
      </c>
      <c r="BD245" s="21">
        <f>IFERROR(__xludf.DUMMYFUNCTION("""COMPUTED_VALUE"""),0.0)</f>
        <v>0</v>
      </c>
      <c r="BE245" s="21">
        <f>IFERROR(__xludf.DUMMYFUNCTION("""COMPUTED_VALUE"""),0.0)</f>
        <v>0</v>
      </c>
      <c r="BF245" s="22">
        <f>IFERROR(__xludf.DUMMYFUNCTION("""COMPUTED_VALUE"""),0.0)</f>
        <v>0</v>
      </c>
      <c r="BG245" s="20"/>
      <c r="BH245" s="20"/>
      <c r="BI245" s="20"/>
      <c r="BJ245" s="14"/>
      <c r="BK245" s="14"/>
      <c r="BL245" s="14"/>
      <c r="BM245" s="14"/>
      <c r="BN245" s="14"/>
      <c r="BO245" s="14"/>
    </row>
    <row r="246">
      <c r="A246" s="6" t="str">
        <f>IFERROR(__xludf.DUMMYFUNCTION("""COMPUTED_VALUE"""),"")</f>
        <v/>
      </c>
      <c r="B246" s="7"/>
      <c r="C246" s="8"/>
      <c r="D246" s="7"/>
      <c r="E246" s="7"/>
      <c r="F246" s="7"/>
      <c r="G246" s="8"/>
      <c r="H246" s="6"/>
      <c r="I246" s="9"/>
      <c r="J246" s="9"/>
      <c r="K246" s="9"/>
      <c r="L246" s="10"/>
      <c r="M246" s="12"/>
      <c r="N246" s="12"/>
      <c r="O246" s="12"/>
      <c r="P246" s="12"/>
      <c r="Q246" s="11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1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1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1">
        <f>IFERROR(__xludf.DUMMYFUNCTION("""COMPUTED_VALUE"""),0.0)</f>
        <v>0</v>
      </c>
      <c r="BD246" s="11">
        <f>IFERROR(__xludf.DUMMYFUNCTION("""COMPUTED_VALUE"""),0.0)</f>
        <v>0</v>
      </c>
      <c r="BE246" s="11">
        <f>IFERROR(__xludf.DUMMYFUNCTION("""COMPUTED_VALUE"""),0.0)</f>
        <v>0</v>
      </c>
      <c r="BF246" s="13">
        <f>IFERROR(__xludf.DUMMYFUNCTION("""COMPUTED_VALUE"""),0.0)</f>
        <v>0</v>
      </c>
      <c r="BG246" s="12"/>
      <c r="BH246" s="12"/>
      <c r="BI246" s="12"/>
      <c r="BJ246" s="14"/>
      <c r="BK246" s="14"/>
      <c r="BL246" s="14"/>
      <c r="BM246" s="14"/>
      <c r="BN246" s="14"/>
      <c r="BO246" s="14"/>
    </row>
    <row r="247">
      <c r="A247" s="15" t="str">
        <f>IFERROR(__xludf.DUMMYFUNCTION("""COMPUTED_VALUE"""),"")</f>
        <v/>
      </c>
      <c r="B247" s="16"/>
      <c r="C247" s="17"/>
      <c r="D247" s="16"/>
      <c r="E247" s="16"/>
      <c r="F247" s="16"/>
      <c r="G247" s="17"/>
      <c r="H247" s="15"/>
      <c r="I247" s="20"/>
      <c r="J247" s="18"/>
      <c r="K247" s="18"/>
      <c r="L247" s="19"/>
      <c r="M247" s="21"/>
      <c r="N247" s="21"/>
      <c r="O247" s="21"/>
      <c r="P247" s="21"/>
      <c r="Q247" s="21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1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1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1">
        <f>IFERROR(__xludf.DUMMYFUNCTION("""COMPUTED_VALUE"""),0.0)</f>
        <v>0</v>
      </c>
      <c r="BD247" s="21">
        <f>IFERROR(__xludf.DUMMYFUNCTION("""COMPUTED_VALUE"""),0.0)</f>
        <v>0</v>
      </c>
      <c r="BE247" s="21">
        <f>IFERROR(__xludf.DUMMYFUNCTION("""COMPUTED_VALUE"""),0.0)</f>
        <v>0</v>
      </c>
      <c r="BF247" s="22">
        <f>IFERROR(__xludf.DUMMYFUNCTION("""COMPUTED_VALUE"""),0.0)</f>
        <v>0</v>
      </c>
      <c r="BG247" s="20"/>
      <c r="BH247" s="20"/>
      <c r="BI247" s="20"/>
      <c r="BJ247" s="14"/>
      <c r="BK247" s="14"/>
      <c r="BL247" s="14"/>
      <c r="BM247" s="14"/>
      <c r="BN247" s="14"/>
      <c r="BO247" s="14"/>
    </row>
    <row r="248">
      <c r="A248" s="6" t="str">
        <f>IFERROR(__xludf.DUMMYFUNCTION("""COMPUTED_VALUE"""),"")</f>
        <v/>
      </c>
      <c r="B248" s="7"/>
      <c r="C248" s="8"/>
      <c r="D248" s="7"/>
      <c r="E248" s="7"/>
      <c r="F248" s="7"/>
      <c r="G248" s="8"/>
      <c r="H248" s="6"/>
      <c r="I248" s="9"/>
      <c r="J248" s="9"/>
      <c r="K248" s="9"/>
      <c r="L248" s="10"/>
      <c r="M248" s="12"/>
      <c r="N248" s="12"/>
      <c r="O248" s="12"/>
      <c r="P248" s="12"/>
      <c r="Q248" s="11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1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1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1">
        <f>IFERROR(__xludf.DUMMYFUNCTION("""COMPUTED_VALUE"""),0.0)</f>
        <v>0</v>
      </c>
      <c r="BD248" s="11">
        <f>IFERROR(__xludf.DUMMYFUNCTION("""COMPUTED_VALUE"""),0.0)</f>
        <v>0</v>
      </c>
      <c r="BE248" s="11">
        <f>IFERROR(__xludf.DUMMYFUNCTION("""COMPUTED_VALUE"""),0.0)</f>
        <v>0</v>
      </c>
      <c r="BF248" s="13">
        <f>IFERROR(__xludf.DUMMYFUNCTION("""COMPUTED_VALUE"""),0.0)</f>
        <v>0</v>
      </c>
      <c r="BG248" s="12"/>
      <c r="BH248" s="12"/>
      <c r="BI248" s="12"/>
      <c r="BJ248" s="14"/>
      <c r="BK248" s="14"/>
      <c r="BL248" s="14"/>
      <c r="BM248" s="14"/>
      <c r="BN248" s="14"/>
      <c r="BO248" s="14"/>
    </row>
    <row r="249">
      <c r="A249" s="15" t="str">
        <f>IFERROR(__xludf.DUMMYFUNCTION("""COMPUTED_VALUE"""),"")</f>
        <v/>
      </c>
      <c r="B249" s="16"/>
      <c r="C249" s="17"/>
      <c r="D249" s="16"/>
      <c r="E249" s="16"/>
      <c r="F249" s="16"/>
      <c r="G249" s="17"/>
      <c r="H249" s="15"/>
      <c r="I249" s="20"/>
      <c r="J249" s="18"/>
      <c r="K249" s="18"/>
      <c r="L249" s="19"/>
      <c r="M249" s="20"/>
      <c r="N249" s="20"/>
      <c r="O249" s="20"/>
      <c r="P249" s="21"/>
      <c r="Q249" s="21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1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1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1">
        <f>IFERROR(__xludf.DUMMYFUNCTION("""COMPUTED_VALUE"""),0.0)</f>
        <v>0</v>
      </c>
      <c r="BD249" s="21">
        <f>IFERROR(__xludf.DUMMYFUNCTION("""COMPUTED_VALUE"""),0.0)</f>
        <v>0</v>
      </c>
      <c r="BE249" s="21">
        <f>IFERROR(__xludf.DUMMYFUNCTION("""COMPUTED_VALUE"""),0.0)</f>
        <v>0</v>
      </c>
      <c r="BF249" s="22">
        <f>IFERROR(__xludf.DUMMYFUNCTION("""COMPUTED_VALUE"""),0.0)</f>
        <v>0</v>
      </c>
      <c r="BG249" s="20"/>
      <c r="BH249" s="20"/>
      <c r="BI249" s="20"/>
      <c r="BJ249" s="14"/>
      <c r="BK249" s="14"/>
      <c r="BL249" s="14"/>
      <c r="BM249" s="14"/>
      <c r="BN249" s="14"/>
      <c r="BO249" s="14"/>
    </row>
    <row r="250">
      <c r="A250" s="6" t="str">
        <f>IFERROR(__xludf.DUMMYFUNCTION("""COMPUTED_VALUE"""),"")</f>
        <v/>
      </c>
      <c r="B250" s="7"/>
      <c r="C250" s="8"/>
      <c r="D250" s="7"/>
      <c r="E250" s="7"/>
      <c r="F250" s="7"/>
      <c r="G250" s="8"/>
      <c r="H250" s="6"/>
      <c r="I250" s="9"/>
      <c r="J250" s="9"/>
      <c r="K250" s="9"/>
      <c r="L250" s="10"/>
      <c r="M250" s="12"/>
      <c r="N250" s="12"/>
      <c r="O250" s="12"/>
      <c r="P250" s="12"/>
      <c r="Q250" s="11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1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1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1">
        <f>IFERROR(__xludf.DUMMYFUNCTION("""COMPUTED_VALUE"""),0.0)</f>
        <v>0</v>
      </c>
      <c r="BD250" s="11">
        <f>IFERROR(__xludf.DUMMYFUNCTION("""COMPUTED_VALUE"""),0.0)</f>
        <v>0</v>
      </c>
      <c r="BE250" s="11">
        <f>IFERROR(__xludf.DUMMYFUNCTION("""COMPUTED_VALUE"""),0.0)</f>
        <v>0</v>
      </c>
      <c r="BF250" s="13">
        <f>IFERROR(__xludf.DUMMYFUNCTION("""COMPUTED_VALUE"""),0.0)</f>
        <v>0</v>
      </c>
      <c r="BG250" s="12"/>
      <c r="BH250" s="12"/>
      <c r="BI250" s="12"/>
      <c r="BJ250" s="14"/>
      <c r="BK250" s="14"/>
      <c r="BL250" s="14"/>
      <c r="BM250" s="14"/>
      <c r="BN250" s="14"/>
      <c r="BO250" s="14"/>
    </row>
    <row r="251">
      <c r="A251" s="15" t="str">
        <f>IFERROR(__xludf.DUMMYFUNCTION("""COMPUTED_VALUE"""),"")</f>
        <v/>
      </c>
      <c r="B251" s="16"/>
      <c r="C251" s="17"/>
      <c r="D251" s="16"/>
      <c r="E251" s="16"/>
      <c r="F251" s="16"/>
      <c r="G251" s="17"/>
      <c r="H251" s="15"/>
      <c r="I251" s="20"/>
      <c r="J251" s="18"/>
      <c r="K251" s="18"/>
      <c r="L251" s="19"/>
      <c r="M251" s="20"/>
      <c r="N251" s="20"/>
      <c r="O251" s="20"/>
      <c r="P251" s="20"/>
      <c r="Q251" s="21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1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1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1">
        <f>IFERROR(__xludf.DUMMYFUNCTION("""COMPUTED_VALUE"""),0.0)</f>
        <v>0</v>
      </c>
      <c r="BD251" s="21">
        <f>IFERROR(__xludf.DUMMYFUNCTION("""COMPUTED_VALUE"""),0.0)</f>
        <v>0</v>
      </c>
      <c r="BE251" s="21">
        <f>IFERROR(__xludf.DUMMYFUNCTION("""COMPUTED_VALUE"""),0.0)</f>
        <v>0</v>
      </c>
      <c r="BF251" s="22">
        <f>IFERROR(__xludf.DUMMYFUNCTION("""COMPUTED_VALUE"""),0.0)</f>
        <v>0</v>
      </c>
      <c r="BG251" s="20"/>
      <c r="BH251" s="20"/>
      <c r="BI251" s="20"/>
      <c r="BJ251" s="14"/>
      <c r="BK251" s="14"/>
      <c r="BL251" s="14"/>
      <c r="BM251" s="14"/>
      <c r="BN251" s="14"/>
      <c r="BO251" s="14"/>
    </row>
    <row r="252">
      <c r="A252" s="6" t="str">
        <f>IFERROR(__xludf.DUMMYFUNCTION("""COMPUTED_VALUE"""),"")</f>
        <v/>
      </c>
      <c r="B252" s="7"/>
      <c r="C252" s="8"/>
      <c r="D252" s="7"/>
      <c r="E252" s="7"/>
      <c r="F252" s="7"/>
      <c r="G252" s="8"/>
      <c r="H252" s="6"/>
      <c r="I252" s="12"/>
      <c r="J252" s="9"/>
      <c r="K252" s="9"/>
      <c r="L252" s="10"/>
      <c r="M252" s="12"/>
      <c r="N252" s="12"/>
      <c r="O252" s="12"/>
      <c r="P252" s="12"/>
      <c r="Q252" s="11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1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1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1">
        <f>IFERROR(__xludf.DUMMYFUNCTION("""COMPUTED_VALUE"""),0.0)</f>
        <v>0</v>
      </c>
      <c r="BD252" s="11">
        <f>IFERROR(__xludf.DUMMYFUNCTION("""COMPUTED_VALUE"""),0.0)</f>
        <v>0</v>
      </c>
      <c r="BE252" s="11">
        <f>IFERROR(__xludf.DUMMYFUNCTION("""COMPUTED_VALUE"""),0.0)</f>
        <v>0</v>
      </c>
      <c r="BF252" s="13">
        <f>IFERROR(__xludf.DUMMYFUNCTION("""COMPUTED_VALUE"""),0.0)</f>
        <v>0</v>
      </c>
      <c r="BG252" s="12"/>
      <c r="BH252" s="12"/>
      <c r="BI252" s="12"/>
      <c r="BJ252" s="14"/>
      <c r="BK252" s="14"/>
      <c r="BL252" s="14"/>
      <c r="BM252" s="14"/>
      <c r="BN252" s="14"/>
      <c r="BO252" s="14"/>
    </row>
    <row r="253">
      <c r="A253" s="15" t="str">
        <f>IFERROR(__xludf.DUMMYFUNCTION("""COMPUTED_VALUE"""),"")</f>
        <v/>
      </c>
      <c r="B253" s="16"/>
      <c r="C253" s="17"/>
      <c r="D253" s="16"/>
      <c r="E253" s="16"/>
      <c r="F253" s="16"/>
      <c r="G253" s="17"/>
      <c r="H253" s="15"/>
      <c r="I253" s="18"/>
      <c r="J253" s="18"/>
      <c r="K253" s="18"/>
      <c r="L253" s="19"/>
      <c r="M253" s="20"/>
      <c r="N253" s="20"/>
      <c r="O253" s="20"/>
      <c r="P253" s="20"/>
      <c r="Q253" s="21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1">
        <f>IFERROR(__xludf.DUMMYFUNCTION("""COMPUTED_VALUE"""),0.0)</f>
        <v>0</v>
      </c>
      <c r="BD253" s="21">
        <f>IFERROR(__xludf.DUMMYFUNCTION("""COMPUTED_VALUE"""),0.0)</f>
        <v>0</v>
      </c>
      <c r="BE253" s="21">
        <f>IFERROR(__xludf.DUMMYFUNCTION("""COMPUTED_VALUE"""),0.0)</f>
        <v>0</v>
      </c>
      <c r="BF253" s="22">
        <f>IFERROR(__xludf.DUMMYFUNCTION("""COMPUTED_VALUE"""),0.0)</f>
        <v>0</v>
      </c>
      <c r="BG253" s="20"/>
      <c r="BH253" s="20"/>
      <c r="BI253" s="20"/>
      <c r="BJ253" s="14"/>
      <c r="BK253" s="14"/>
      <c r="BL253" s="14"/>
      <c r="BM253" s="14"/>
      <c r="BN253" s="14"/>
      <c r="BO253" s="14"/>
    </row>
    <row r="254">
      <c r="A254" s="6" t="str">
        <f>IFERROR(__xludf.DUMMYFUNCTION("""COMPUTED_VALUE"""),"")</f>
        <v/>
      </c>
      <c r="B254" s="7"/>
      <c r="C254" s="8"/>
      <c r="D254" s="7"/>
      <c r="E254" s="7"/>
      <c r="F254" s="7"/>
      <c r="G254" s="8"/>
      <c r="H254" s="6"/>
      <c r="I254" s="12"/>
      <c r="J254" s="9"/>
      <c r="K254" s="9"/>
      <c r="L254" s="10"/>
      <c r="M254" s="12"/>
      <c r="N254" s="12"/>
      <c r="O254" s="12"/>
      <c r="P254" s="12"/>
      <c r="Q254" s="11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1">
        <f>IFERROR(__xludf.DUMMYFUNCTION("""COMPUTED_VALUE"""),0.0)</f>
        <v>0</v>
      </c>
      <c r="BD254" s="11">
        <f>IFERROR(__xludf.DUMMYFUNCTION("""COMPUTED_VALUE"""),0.0)</f>
        <v>0</v>
      </c>
      <c r="BE254" s="11">
        <f>IFERROR(__xludf.DUMMYFUNCTION("""COMPUTED_VALUE"""),0.0)</f>
        <v>0</v>
      </c>
      <c r="BF254" s="13">
        <f>IFERROR(__xludf.DUMMYFUNCTION("""COMPUTED_VALUE"""),0.0)</f>
        <v>0</v>
      </c>
      <c r="BG254" s="12"/>
      <c r="BH254" s="12"/>
      <c r="BI254" s="12"/>
      <c r="BJ254" s="14"/>
      <c r="BK254" s="14"/>
      <c r="BL254" s="14"/>
      <c r="BM254" s="14"/>
      <c r="BN254" s="14"/>
      <c r="BO254" s="14"/>
    </row>
    <row r="255">
      <c r="A255" s="15" t="str">
        <f>IFERROR(__xludf.DUMMYFUNCTION("""COMPUTED_VALUE"""),"")</f>
        <v/>
      </c>
      <c r="B255" s="16"/>
      <c r="C255" s="17"/>
      <c r="D255" s="16"/>
      <c r="E255" s="16"/>
      <c r="F255" s="16"/>
      <c r="G255" s="17"/>
      <c r="H255" s="15"/>
      <c r="I255" s="20"/>
      <c r="J255" s="18"/>
      <c r="K255" s="18"/>
      <c r="L255" s="19"/>
      <c r="M255" s="21"/>
      <c r="N255" s="21"/>
      <c r="O255" s="21"/>
      <c r="P255" s="21"/>
      <c r="Q255" s="21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1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1">
        <f>IFERROR(__xludf.DUMMYFUNCTION("""COMPUTED_VALUE"""),0.0)</f>
        <v>0</v>
      </c>
      <c r="BD255" s="21">
        <f>IFERROR(__xludf.DUMMYFUNCTION("""COMPUTED_VALUE"""),0.0)</f>
        <v>0</v>
      </c>
      <c r="BE255" s="21">
        <f>IFERROR(__xludf.DUMMYFUNCTION("""COMPUTED_VALUE"""),0.0)</f>
        <v>0</v>
      </c>
      <c r="BF255" s="22">
        <f>IFERROR(__xludf.DUMMYFUNCTION("""COMPUTED_VALUE"""),0.0)</f>
        <v>0</v>
      </c>
      <c r="BG255" s="20"/>
      <c r="BH255" s="20"/>
      <c r="BI255" s="20"/>
      <c r="BJ255" s="14"/>
      <c r="BK255" s="14"/>
      <c r="BL255" s="14"/>
      <c r="BM255" s="14"/>
      <c r="BN255" s="14"/>
      <c r="BO255" s="14"/>
    </row>
    <row r="256">
      <c r="A256" s="6" t="str">
        <f>IFERROR(__xludf.DUMMYFUNCTION("""COMPUTED_VALUE"""),"")</f>
        <v/>
      </c>
      <c r="B256" s="7"/>
      <c r="C256" s="8"/>
      <c r="D256" s="7"/>
      <c r="E256" s="7"/>
      <c r="F256" s="7"/>
      <c r="G256" s="8"/>
      <c r="H256" s="6"/>
      <c r="I256" s="9"/>
      <c r="J256" s="9"/>
      <c r="K256" s="9"/>
      <c r="L256" s="10"/>
      <c r="M256" s="12"/>
      <c r="N256" s="12"/>
      <c r="O256" s="12"/>
      <c r="P256" s="12"/>
      <c r="Q256" s="11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1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1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1">
        <f>IFERROR(__xludf.DUMMYFUNCTION("""COMPUTED_VALUE"""),0.0)</f>
        <v>0</v>
      </c>
      <c r="BD256" s="11">
        <f>IFERROR(__xludf.DUMMYFUNCTION("""COMPUTED_VALUE"""),0.0)</f>
        <v>0</v>
      </c>
      <c r="BE256" s="11">
        <f>IFERROR(__xludf.DUMMYFUNCTION("""COMPUTED_VALUE"""),0.0)</f>
        <v>0</v>
      </c>
      <c r="BF256" s="13">
        <f>IFERROR(__xludf.DUMMYFUNCTION("""COMPUTED_VALUE"""),0.0)</f>
        <v>0</v>
      </c>
      <c r="BG256" s="12"/>
      <c r="BH256" s="12"/>
      <c r="BI256" s="12"/>
      <c r="BJ256" s="14"/>
      <c r="BK256" s="14"/>
      <c r="BL256" s="14"/>
      <c r="BM256" s="14"/>
      <c r="BN256" s="14"/>
      <c r="BO256" s="14"/>
    </row>
    <row r="257">
      <c r="A257" s="15" t="str">
        <f>IFERROR(__xludf.DUMMYFUNCTION("""COMPUTED_VALUE"""),"")</f>
        <v/>
      </c>
      <c r="B257" s="16"/>
      <c r="C257" s="17"/>
      <c r="D257" s="16"/>
      <c r="E257" s="16"/>
      <c r="F257" s="16"/>
      <c r="G257" s="17"/>
      <c r="H257" s="15"/>
      <c r="I257" s="20"/>
      <c r="J257" s="18"/>
      <c r="K257" s="18"/>
      <c r="L257" s="19"/>
      <c r="M257" s="21"/>
      <c r="N257" s="20"/>
      <c r="O257" s="20"/>
      <c r="P257" s="21"/>
      <c r="Q257" s="21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1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1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1">
        <f>IFERROR(__xludf.DUMMYFUNCTION("""COMPUTED_VALUE"""),0.0)</f>
        <v>0</v>
      </c>
      <c r="BD257" s="21">
        <f>IFERROR(__xludf.DUMMYFUNCTION("""COMPUTED_VALUE"""),0.0)</f>
        <v>0</v>
      </c>
      <c r="BE257" s="21">
        <f>IFERROR(__xludf.DUMMYFUNCTION("""COMPUTED_VALUE"""),0.0)</f>
        <v>0</v>
      </c>
      <c r="BF257" s="22">
        <f>IFERROR(__xludf.DUMMYFUNCTION("""COMPUTED_VALUE"""),0.0)</f>
        <v>0</v>
      </c>
      <c r="BG257" s="20"/>
      <c r="BH257" s="20"/>
      <c r="BI257" s="20"/>
      <c r="BJ257" s="14"/>
      <c r="BK257" s="14"/>
      <c r="BL257" s="14"/>
      <c r="BM257" s="14"/>
      <c r="BN257" s="14"/>
      <c r="BO257" s="14"/>
    </row>
    <row r="258">
      <c r="A258" s="6" t="str">
        <f>IFERROR(__xludf.DUMMYFUNCTION("""COMPUTED_VALUE"""),"")</f>
        <v/>
      </c>
      <c r="B258" s="7"/>
      <c r="C258" s="8"/>
      <c r="D258" s="7"/>
      <c r="E258" s="7"/>
      <c r="F258" s="7"/>
      <c r="G258" s="8"/>
      <c r="H258" s="6"/>
      <c r="I258" s="12"/>
      <c r="J258" s="9"/>
      <c r="K258" s="9"/>
      <c r="L258" s="10"/>
      <c r="M258" s="12"/>
      <c r="N258" s="12"/>
      <c r="O258" s="12"/>
      <c r="P258" s="12"/>
      <c r="Q258" s="11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1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1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1">
        <f>IFERROR(__xludf.DUMMYFUNCTION("""COMPUTED_VALUE"""),0.0)</f>
        <v>0</v>
      </c>
      <c r="BD258" s="11">
        <f>IFERROR(__xludf.DUMMYFUNCTION("""COMPUTED_VALUE"""),0.0)</f>
        <v>0</v>
      </c>
      <c r="BE258" s="11">
        <f>IFERROR(__xludf.DUMMYFUNCTION("""COMPUTED_VALUE"""),0.0)</f>
        <v>0</v>
      </c>
      <c r="BF258" s="13">
        <f>IFERROR(__xludf.DUMMYFUNCTION("""COMPUTED_VALUE"""),0.0)</f>
        <v>0</v>
      </c>
      <c r="BG258" s="12"/>
      <c r="BH258" s="12"/>
      <c r="BI258" s="12"/>
      <c r="BJ258" s="14"/>
      <c r="BK258" s="14"/>
      <c r="BL258" s="14"/>
      <c r="BM258" s="14"/>
      <c r="BN258" s="14"/>
      <c r="BO258" s="14"/>
    </row>
    <row r="259">
      <c r="A259" s="15" t="str">
        <f>IFERROR(__xludf.DUMMYFUNCTION("""COMPUTED_VALUE"""),"")</f>
        <v/>
      </c>
      <c r="B259" s="16"/>
      <c r="C259" s="17"/>
      <c r="D259" s="16"/>
      <c r="E259" s="16"/>
      <c r="F259" s="16"/>
      <c r="G259" s="17"/>
      <c r="H259" s="15"/>
      <c r="I259" s="18"/>
      <c r="J259" s="18"/>
      <c r="K259" s="18"/>
      <c r="L259" s="19"/>
      <c r="M259" s="20"/>
      <c r="N259" s="20"/>
      <c r="O259" s="20"/>
      <c r="P259" s="21"/>
      <c r="Q259" s="21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1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1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1">
        <f>IFERROR(__xludf.DUMMYFUNCTION("""COMPUTED_VALUE"""),0.0)</f>
        <v>0</v>
      </c>
      <c r="BD259" s="21">
        <f>IFERROR(__xludf.DUMMYFUNCTION("""COMPUTED_VALUE"""),0.0)</f>
        <v>0</v>
      </c>
      <c r="BE259" s="21">
        <f>IFERROR(__xludf.DUMMYFUNCTION("""COMPUTED_VALUE"""),0.0)</f>
        <v>0</v>
      </c>
      <c r="BF259" s="22">
        <f>IFERROR(__xludf.DUMMYFUNCTION("""COMPUTED_VALUE"""),0.0)</f>
        <v>0</v>
      </c>
      <c r="BG259" s="20"/>
      <c r="BH259" s="20"/>
      <c r="BI259" s="20"/>
      <c r="BJ259" s="14"/>
      <c r="BK259" s="14"/>
      <c r="BL259" s="14"/>
      <c r="BM259" s="14"/>
      <c r="BN259" s="14"/>
      <c r="BO259" s="14"/>
    </row>
    <row r="260">
      <c r="A260" s="6" t="str">
        <f>IFERROR(__xludf.DUMMYFUNCTION("""COMPUTED_VALUE"""),"")</f>
        <v/>
      </c>
      <c r="B260" s="7"/>
      <c r="C260" s="8"/>
      <c r="D260" s="7"/>
      <c r="E260" s="7"/>
      <c r="F260" s="7"/>
      <c r="G260" s="8"/>
      <c r="H260" s="6"/>
      <c r="I260" s="12"/>
      <c r="J260" s="9"/>
      <c r="K260" s="9"/>
      <c r="L260" s="10"/>
      <c r="M260" s="11"/>
      <c r="N260" s="12"/>
      <c r="O260" s="12"/>
      <c r="P260" s="12"/>
      <c r="Q260" s="11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1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1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1">
        <f>IFERROR(__xludf.DUMMYFUNCTION("""COMPUTED_VALUE"""),0.0)</f>
        <v>0</v>
      </c>
      <c r="BD260" s="11">
        <f>IFERROR(__xludf.DUMMYFUNCTION("""COMPUTED_VALUE"""),0.0)</f>
        <v>0</v>
      </c>
      <c r="BE260" s="11">
        <f>IFERROR(__xludf.DUMMYFUNCTION("""COMPUTED_VALUE"""),0.0)</f>
        <v>0</v>
      </c>
      <c r="BF260" s="13">
        <f>IFERROR(__xludf.DUMMYFUNCTION("""COMPUTED_VALUE"""),0.0)</f>
        <v>0</v>
      </c>
      <c r="BG260" s="12"/>
      <c r="BH260" s="12"/>
      <c r="BI260" s="12"/>
      <c r="BJ260" s="14"/>
      <c r="BK260" s="14"/>
      <c r="BL260" s="14"/>
      <c r="BM260" s="14"/>
      <c r="BN260" s="14"/>
      <c r="BO260" s="14"/>
    </row>
    <row r="261">
      <c r="A261" s="15" t="str">
        <f>IFERROR(__xludf.DUMMYFUNCTION("""COMPUTED_VALUE"""),"")</f>
        <v/>
      </c>
      <c r="B261" s="16"/>
      <c r="C261" s="17"/>
      <c r="D261" s="16"/>
      <c r="E261" s="16"/>
      <c r="F261" s="16"/>
      <c r="G261" s="17"/>
      <c r="H261" s="15"/>
      <c r="I261" s="20"/>
      <c r="J261" s="18"/>
      <c r="K261" s="18"/>
      <c r="L261" s="19"/>
      <c r="M261" s="20"/>
      <c r="N261" s="20"/>
      <c r="O261" s="20"/>
      <c r="P261" s="20"/>
      <c r="Q261" s="21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1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1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1">
        <f>IFERROR(__xludf.DUMMYFUNCTION("""COMPUTED_VALUE"""),0.0)</f>
        <v>0</v>
      </c>
      <c r="BD261" s="21">
        <f>IFERROR(__xludf.DUMMYFUNCTION("""COMPUTED_VALUE"""),0.0)</f>
        <v>0</v>
      </c>
      <c r="BE261" s="21">
        <f>IFERROR(__xludf.DUMMYFUNCTION("""COMPUTED_VALUE"""),0.0)</f>
        <v>0</v>
      </c>
      <c r="BF261" s="22">
        <f>IFERROR(__xludf.DUMMYFUNCTION("""COMPUTED_VALUE"""),0.0)</f>
        <v>0</v>
      </c>
      <c r="BG261" s="20"/>
      <c r="BH261" s="20"/>
      <c r="BI261" s="20"/>
      <c r="BJ261" s="14"/>
      <c r="BK261" s="14"/>
      <c r="BL261" s="14"/>
      <c r="BM261" s="14"/>
      <c r="BN261" s="14"/>
      <c r="BO261" s="14"/>
    </row>
    <row r="262">
      <c r="A262" s="6" t="str">
        <f>IFERROR(__xludf.DUMMYFUNCTION("""COMPUTED_VALUE"""),"")</f>
        <v/>
      </c>
      <c r="B262" s="7"/>
      <c r="C262" s="8"/>
      <c r="D262" s="7"/>
      <c r="E262" s="7"/>
      <c r="F262" s="7"/>
      <c r="G262" s="8"/>
      <c r="H262" s="6"/>
      <c r="I262" s="12"/>
      <c r="J262" s="9"/>
      <c r="K262" s="9"/>
      <c r="L262" s="10"/>
      <c r="M262" s="12"/>
      <c r="N262" s="12"/>
      <c r="O262" s="12"/>
      <c r="P262" s="11"/>
      <c r="Q262" s="11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1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1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1">
        <f>IFERROR(__xludf.DUMMYFUNCTION("""COMPUTED_VALUE"""),0.0)</f>
        <v>0</v>
      </c>
      <c r="BD262" s="11">
        <f>IFERROR(__xludf.DUMMYFUNCTION("""COMPUTED_VALUE"""),0.0)</f>
        <v>0</v>
      </c>
      <c r="BE262" s="11">
        <f>IFERROR(__xludf.DUMMYFUNCTION("""COMPUTED_VALUE"""),0.0)</f>
        <v>0</v>
      </c>
      <c r="BF262" s="13">
        <f>IFERROR(__xludf.DUMMYFUNCTION("""COMPUTED_VALUE"""),0.0)</f>
        <v>0</v>
      </c>
      <c r="BG262" s="12"/>
      <c r="BH262" s="12"/>
      <c r="BI262" s="12"/>
      <c r="BJ262" s="14"/>
      <c r="BK262" s="14"/>
      <c r="BL262" s="14"/>
      <c r="BM262" s="14"/>
      <c r="BN262" s="14"/>
      <c r="BO262" s="14"/>
    </row>
    <row r="263">
      <c r="A263" s="15" t="str">
        <f>IFERROR(__xludf.DUMMYFUNCTION("""COMPUTED_VALUE"""),"")</f>
        <v/>
      </c>
      <c r="B263" s="16"/>
      <c r="C263" s="17"/>
      <c r="D263" s="16"/>
      <c r="E263" s="16"/>
      <c r="F263" s="16"/>
      <c r="G263" s="17"/>
      <c r="H263" s="15"/>
      <c r="I263" s="18"/>
      <c r="J263" s="18"/>
      <c r="K263" s="18"/>
      <c r="L263" s="19"/>
      <c r="M263" s="20"/>
      <c r="N263" s="20"/>
      <c r="O263" s="20"/>
      <c r="P263" s="20"/>
      <c r="Q263" s="21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1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1">
        <f>IFERROR(__xludf.DUMMYFUNCTION("""COMPUTED_VALUE"""),0.0)</f>
        <v>0</v>
      </c>
      <c r="BD263" s="21">
        <f>IFERROR(__xludf.DUMMYFUNCTION("""COMPUTED_VALUE"""),0.0)</f>
        <v>0</v>
      </c>
      <c r="BE263" s="21">
        <f>IFERROR(__xludf.DUMMYFUNCTION("""COMPUTED_VALUE"""),0.0)</f>
        <v>0</v>
      </c>
      <c r="BF263" s="22">
        <f>IFERROR(__xludf.DUMMYFUNCTION("""COMPUTED_VALUE"""),0.0)</f>
        <v>0</v>
      </c>
      <c r="BG263" s="20"/>
      <c r="BH263" s="20"/>
      <c r="BI263" s="20"/>
      <c r="BJ263" s="14"/>
      <c r="BK263" s="14"/>
      <c r="BL263" s="14"/>
      <c r="BM263" s="14"/>
      <c r="BN263" s="14"/>
      <c r="BO263" s="14"/>
    </row>
    <row r="264">
      <c r="A264" s="6" t="str">
        <f>IFERROR(__xludf.DUMMYFUNCTION("""COMPUTED_VALUE"""),"")</f>
        <v/>
      </c>
      <c r="B264" s="7"/>
      <c r="C264" s="8"/>
      <c r="D264" s="7"/>
      <c r="E264" s="7"/>
      <c r="F264" s="7"/>
      <c r="G264" s="8"/>
      <c r="H264" s="6"/>
      <c r="I264" s="9"/>
      <c r="J264" s="9"/>
      <c r="K264" s="9"/>
      <c r="L264" s="10"/>
      <c r="M264" s="12"/>
      <c r="N264" s="12"/>
      <c r="O264" s="12"/>
      <c r="P264" s="12"/>
      <c r="Q264" s="11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1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1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1">
        <f>IFERROR(__xludf.DUMMYFUNCTION("""COMPUTED_VALUE"""),0.0)</f>
        <v>0</v>
      </c>
      <c r="BD264" s="11">
        <f>IFERROR(__xludf.DUMMYFUNCTION("""COMPUTED_VALUE"""),0.0)</f>
        <v>0</v>
      </c>
      <c r="BE264" s="11">
        <f>IFERROR(__xludf.DUMMYFUNCTION("""COMPUTED_VALUE"""),0.0)</f>
        <v>0</v>
      </c>
      <c r="BF264" s="13">
        <f>IFERROR(__xludf.DUMMYFUNCTION("""COMPUTED_VALUE"""),0.0)</f>
        <v>0</v>
      </c>
      <c r="BG264" s="12"/>
      <c r="BH264" s="12"/>
      <c r="BI264" s="12"/>
      <c r="BJ264" s="14"/>
      <c r="BK264" s="14"/>
      <c r="BL264" s="14"/>
      <c r="BM264" s="14"/>
      <c r="BN264" s="14"/>
      <c r="BO264" s="14"/>
    </row>
    <row r="265">
      <c r="A265" s="15" t="str">
        <f>IFERROR(__xludf.DUMMYFUNCTION("""COMPUTED_VALUE"""),"")</f>
        <v/>
      </c>
      <c r="B265" s="16"/>
      <c r="C265" s="17"/>
      <c r="D265" s="16"/>
      <c r="E265" s="16"/>
      <c r="F265" s="16"/>
      <c r="G265" s="17"/>
      <c r="H265" s="15"/>
      <c r="I265" s="20"/>
      <c r="J265" s="18"/>
      <c r="K265" s="18"/>
      <c r="L265" s="19"/>
      <c r="M265" s="20"/>
      <c r="N265" s="20"/>
      <c r="O265" s="20"/>
      <c r="P265" s="20"/>
      <c r="Q265" s="21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1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1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1">
        <f>IFERROR(__xludf.DUMMYFUNCTION("""COMPUTED_VALUE"""),0.0)</f>
        <v>0</v>
      </c>
      <c r="BD265" s="21">
        <f>IFERROR(__xludf.DUMMYFUNCTION("""COMPUTED_VALUE"""),0.0)</f>
        <v>0</v>
      </c>
      <c r="BE265" s="21">
        <f>IFERROR(__xludf.DUMMYFUNCTION("""COMPUTED_VALUE"""),0.0)</f>
        <v>0</v>
      </c>
      <c r="BF265" s="22">
        <f>IFERROR(__xludf.DUMMYFUNCTION("""COMPUTED_VALUE"""),0.0)</f>
        <v>0</v>
      </c>
      <c r="BG265" s="20"/>
      <c r="BH265" s="20"/>
      <c r="BI265" s="20"/>
      <c r="BJ265" s="14"/>
      <c r="BK265" s="14"/>
      <c r="BL265" s="14"/>
      <c r="BM265" s="14"/>
      <c r="BN265" s="14"/>
      <c r="BO265" s="14"/>
    </row>
    <row r="266">
      <c r="A266" s="6" t="str">
        <f>IFERROR(__xludf.DUMMYFUNCTION("""COMPUTED_VALUE"""),"")</f>
        <v/>
      </c>
      <c r="B266" s="7"/>
      <c r="C266" s="8"/>
      <c r="D266" s="7"/>
      <c r="E266" s="7"/>
      <c r="F266" s="7"/>
      <c r="G266" s="8"/>
      <c r="H266" s="6"/>
      <c r="I266" s="12"/>
      <c r="J266" s="9"/>
      <c r="K266" s="9"/>
      <c r="L266" s="10"/>
      <c r="M266" s="11"/>
      <c r="N266" s="12"/>
      <c r="O266" s="12"/>
      <c r="P266" s="12"/>
      <c r="Q266" s="11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1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1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1">
        <f>IFERROR(__xludf.DUMMYFUNCTION("""COMPUTED_VALUE"""),0.0)</f>
        <v>0</v>
      </c>
      <c r="BD266" s="11">
        <f>IFERROR(__xludf.DUMMYFUNCTION("""COMPUTED_VALUE"""),0.0)</f>
        <v>0</v>
      </c>
      <c r="BE266" s="11">
        <f>IFERROR(__xludf.DUMMYFUNCTION("""COMPUTED_VALUE"""),0.0)</f>
        <v>0</v>
      </c>
      <c r="BF266" s="13">
        <f>IFERROR(__xludf.DUMMYFUNCTION("""COMPUTED_VALUE"""),0.0)</f>
        <v>0</v>
      </c>
      <c r="BG266" s="12"/>
      <c r="BH266" s="12"/>
      <c r="BI266" s="12"/>
      <c r="BJ266" s="14"/>
      <c r="BK266" s="14"/>
      <c r="BL266" s="14"/>
      <c r="BM266" s="14"/>
      <c r="BN266" s="14"/>
      <c r="BO266" s="14"/>
    </row>
    <row r="267">
      <c r="A267" s="15" t="str">
        <f>IFERROR(__xludf.DUMMYFUNCTION("""COMPUTED_VALUE"""),"")</f>
        <v/>
      </c>
      <c r="B267" s="16"/>
      <c r="C267" s="17"/>
      <c r="D267" s="16"/>
      <c r="E267" s="16"/>
      <c r="F267" s="16"/>
      <c r="G267" s="17"/>
      <c r="H267" s="15"/>
      <c r="I267" s="20"/>
      <c r="J267" s="18"/>
      <c r="K267" s="18"/>
      <c r="L267" s="19"/>
      <c r="M267" s="20"/>
      <c r="N267" s="20"/>
      <c r="O267" s="20"/>
      <c r="P267" s="20"/>
      <c r="Q267" s="21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1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1">
        <f>IFERROR(__xludf.DUMMYFUNCTION("""COMPUTED_VALUE"""),0.0)</f>
        <v>0</v>
      </c>
      <c r="BD267" s="21">
        <f>IFERROR(__xludf.DUMMYFUNCTION("""COMPUTED_VALUE"""),0.0)</f>
        <v>0</v>
      </c>
      <c r="BE267" s="21">
        <f>IFERROR(__xludf.DUMMYFUNCTION("""COMPUTED_VALUE"""),0.0)</f>
        <v>0</v>
      </c>
      <c r="BF267" s="22">
        <f>IFERROR(__xludf.DUMMYFUNCTION("""COMPUTED_VALUE"""),0.0)</f>
        <v>0</v>
      </c>
      <c r="BG267" s="20"/>
      <c r="BH267" s="20"/>
      <c r="BI267" s="20"/>
      <c r="BJ267" s="14"/>
      <c r="BK267" s="14"/>
      <c r="BL267" s="14"/>
      <c r="BM267" s="14"/>
      <c r="BN267" s="14"/>
      <c r="BO267" s="14"/>
    </row>
    <row r="268">
      <c r="A268" s="6" t="str">
        <f>IFERROR(__xludf.DUMMYFUNCTION("""COMPUTED_VALUE"""),"")</f>
        <v/>
      </c>
      <c r="B268" s="7"/>
      <c r="C268" s="8"/>
      <c r="D268" s="7"/>
      <c r="E268" s="7"/>
      <c r="F268" s="7"/>
      <c r="G268" s="8"/>
      <c r="H268" s="6"/>
      <c r="I268" s="12"/>
      <c r="J268" s="9"/>
      <c r="K268" s="9"/>
      <c r="L268" s="10"/>
      <c r="M268" s="12"/>
      <c r="N268" s="12"/>
      <c r="O268" s="12"/>
      <c r="P268" s="12"/>
      <c r="Q268" s="11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1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1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1">
        <f>IFERROR(__xludf.DUMMYFUNCTION("""COMPUTED_VALUE"""),0.0)</f>
        <v>0</v>
      </c>
      <c r="BD268" s="11">
        <f>IFERROR(__xludf.DUMMYFUNCTION("""COMPUTED_VALUE"""),0.0)</f>
        <v>0</v>
      </c>
      <c r="BE268" s="11">
        <f>IFERROR(__xludf.DUMMYFUNCTION("""COMPUTED_VALUE"""),0.0)</f>
        <v>0</v>
      </c>
      <c r="BF268" s="13">
        <f>IFERROR(__xludf.DUMMYFUNCTION("""COMPUTED_VALUE"""),0.0)</f>
        <v>0</v>
      </c>
      <c r="BG268" s="12"/>
      <c r="BH268" s="12"/>
      <c r="BI268" s="12"/>
      <c r="BJ268" s="14"/>
      <c r="BK268" s="14"/>
      <c r="BL268" s="14"/>
      <c r="BM268" s="14"/>
      <c r="BN268" s="14"/>
      <c r="BO268" s="14"/>
    </row>
    <row r="269">
      <c r="A269" s="15" t="str">
        <f>IFERROR(__xludf.DUMMYFUNCTION("""COMPUTED_VALUE"""),"")</f>
        <v/>
      </c>
      <c r="B269" s="16"/>
      <c r="C269" s="17"/>
      <c r="D269" s="16"/>
      <c r="E269" s="16"/>
      <c r="F269" s="16"/>
      <c r="G269" s="17"/>
      <c r="H269" s="15"/>
      <c r="I269" s="20"/>
      <c r="J269" s="18"/>
      <c r="K269" s="18"/>
      <c r="L269" s="19"/>
      <c r="M269" s="21"/>
      <c r="N269" s="20"/>
      <c r="O269" s="21"/>
      <c r="P269" s="21"/>
      <c r="Q269" s="21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1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1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1">
        <f>IFERROR(__xludf.DUMMYFUNCTION("""COMPUTED_VALUE"""),0.0)</f>
        <v>0</v>
      </c>
      <c r="BD269" s="21">
        <f>IFERROR(__xludf.DUMMYFUNCTION("""COMPUTED_VALUE"""),0.0)</f>
        <v>0</v>
      </c>
      <c r="BE269" s="21">
        <f>IFERROR(__xludf.DUMMYFUNCTION("""COMPUTED_VALUE"""),0.0)</f>
        <v>0</v>
      </c>
      <c r="BF269" s="22">
        <f>IFERROR(__xludf.DUMMYFUNCTION("""COMPUTED_VALUE"""),0.0)</f>
        <v>0</v>
      </c>
      <c r="BG269" s="20"/>
      <c r="BH269" s="20"/>
      <c r="BI269" s="20"/>
      <c r="BJ269" s="14"/>
      <c r="BK269" s="14"/>
      <c r="BL269" s="14"/>
      <c r="BM269" s="14"/>
      <c r="BN269" s="14"/>
      <c r="BO269" s="14"/>
    </row>
    <row r="270">
      <c r="A270" s="6" t="str">
        <f>IFERROR(__xludf.DUMMYFUNCTION("""COMPUTED_VALUE"""),"")</f>
        <v/>
      </c>
      <c r="B270" s="7"/>
      <c r="C270" s="8"/>
      <c r="D270" s="7"/>
      <c r="E270" s="7"/>
      <c r="F270" s="7"/>
      <c r="G270" s="8"/>
      <c r="H270" s="6"/>
      <c r="I270" s="12"/>
      <c r="J270" s="9"/>
      <c r="K270" s="9"/>
      <c r="L270" s="10"/>
      <c r="M270" s="12"/>
      <c r="N270" s="12"/>
      <c r="O270" s="12"/>
      <c r="P270" s="12"/>
      <c r="Q270" s="11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1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1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1">
        <f>IFERROR(__xludf.DUMMYFUNCTION("""COMPUTED_VALUE"""),0.0)</f>
        <v>0</v>
      </c>
      <c r="BD270" s="11">
        <f>IFERROR(__xludf.DUMMYFUNCTION("""COMPUTED_VALUE"""),0.0)</f>
        <v>0</v>
      </c>
      <c r="BE270" s="11">
        <f>IFERROR(__xludf.DUMMYFUNCTION("""COMPUTED_VALUE"""),0.0)</f>
        <v>0</v>
      </c>
      <c r="BF270" s="13">
        <f>IFERROR(__xludf.DUMMYFUNCTION("""COMPUTED_VALUE"""),0.0)</f>
        <v>0</v>
      </c>
      <c r="BG270" s="12"/>
      <c r="BH270" s="12"/>
      <c r="BI270" s="12"/>
      <c r="BJ270" s="14"/>
      <c r="BK270" s="14"/>
      <c r="BL270" s="14"/>
      <c r="BM270" s="14"/>
      <c r="BN270" s="14"/>
      <c r="BO270" s="14"/>
    </row>
    <row r="271">
      <c r="A271" s="15" t="str">
        <f>IFERROR(__xludf.DUMMYFUNCTION("""COMPUTED_VALUE"""),"")</f>
        <v/>
      </c>
      <c r="B271" s="16"/>
      <c r="C271" s="17"/>
      <c r="D271" s="16"/>
      <c r="E271" s="16"/>
      <c r="F271" s="16"/>
      <c r="G271" s="17"/>
      <c r="H271" s="15"/>
      <c r="I271" s="18"/>
      <c r="J271" s="18"/>
      <c r="K271" s="18"/>
      <c r="L271" s="19"/>
      <c r="M271" s="20"/>
      <c r="N271" s="20"/>
      <c r="O271" s="20"/>
      <c r="P271" s="20"/>
      <c r="Q271" s="21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1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1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1">
        <f>IFERROR(__xludf.DUMMYFUNCTION("""COMPUTED_VALUE"""),0.0)</f>
        <v>0</v>
      </c>
      <c r="BD271" s="21">
        <f>IFERROR(__xludf.DUMMYFUNCTION("""COMPUTED_VALUE"""),0.0)</f>
        <v>0</v>
      </c>
      <c r="BE271" s="21">
        <f>IFERROR(__xludf.DUMMYFUNCTION("""COMPUTED_VALUE"""),0.0)</f>
        <v>0</v>
      </c>
      <c r="BF271" s="22">
        <f>IFERROR(__xludf.DUMMYFUNCTION("""COMPUTED_VALUE"""),0.0)</f>
        <v>0</v>
      </c>
      <c r="BG271" s="20"/>
      <c r="BH271" s="20"/>
      <c r="BI271" s="20"/>
      <c r="BJ271" s="14"/>
      <c r="BK271" s="14"/>
      <c r="BL271" s="14"/>
      <c r="BM271" s="14"/>
      <c r="BN271" s="14"/>
      <c r="BO271" s="14"/>
    </row>
    <row r="272">
      <c r="A272" s="6" t="str">
        <f>IFERROR(__xludf.DUMMYFUNCTION("""COMPUTED_VALUE"""),"")</f>
        <v/>
      </c>
      <c r="B272" s="7"/>
      <c r="C272" s="8"/>
      <c r="D272" s="7"/>
      <c r="E272" s="7"/>
      <c r="F272" s="7"/>
      <c r="G272" s="8"/>
      <c r="H272" s="6"/>
      <c r="I272" s="9"/>
      <c r="J272" s="9"/>
      <c r="K272" s="9"/>
      <c r="L272" s="10"/>
      <c r="M272" s="11"/>
      <c r="N272" s="12"/>
      <c r="O272" s="12"/>
      <c r="P272" s="11"/>
      <c r="Q272" s="11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1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1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1">
        <f>IFERROR(__xludf.DUMMYFUNCTION("""COMPUTED_VALUE"""),0.0)</f>
        <v>0</v>
      </c>
      <c r="BD272" s="11">
        <f>IFERROR(__xludf.DUMMYFUNCTION("""COMPUTED_VALUE"""),0.0)</f>
        <v>0</v>
      </c>
      <c r="BE272" s="11">
        <f>IFERROR(__xludf.DUMMYFUNCTION("""COMPUTED_VALUE"""),0.0)</f>
        <v>0</v>
      </c>
      <c r="BF272" s="13">
        <f>IFERROR(__xludf.DUMMYFUNCTION("""COMPUTED_VALUE"""),0.0)</f>
        <v>0</v>
      </c>
      <c r="BG272" s="12"/>
      <c r="BH272" s="12"/>
      <c r="BI272" s="12"/>
      <c r="BJ272" s="14"/>
      <c r="BK272" s="14"/>
      <c r="BL272" s="14"/>
      <c r="BM272" s="14"/>
      <c r="BN272" s="14"/>
      <c r="BO272" s="14"/>
    </row>
    <row r="273">
      <c r="A273" s="15" t="str">
        <f>IFERROR(__xludf.DUMMYFUNCTION("""COMPUTED_VALUE"""),"")</f>
        <v/>
      </c>
      <c r="B273" s="16"/>
      <c r="C273" s="17"/>
      <c r="D273" s="16"/>
      <c r="E273" s="16"/>
      <c r="F273" s="16"/>
      <c r="G273" s="17"/>
      <c r="H273" s="15"/>
      <c r="I273" s="20"/>
      <c r="J273" s="18"/>
      <c r="K273" s="18"/>
      <c r="L273" s="19"/>
      <c r="M273" s="20"/>
      <c r="N273" s="20"/>
      <c r="O273" s="20"/>
      <c r="P273" s="20"/>
      <c r="Q273" s="21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1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1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1">
        <f>IFERROR(__xludf.DUMMYFUNCTION("""COMPUTED_VALUE"""),0.0)</f>
        <v>0</v>
      </c>
      <c r="BD273" s="21">
        <f>IFERROR(__xludf.DUMMYFUNCTION("""COMPUTED_VALUE"""),0.0)</f>
        <v>0</v>
      </c>
      <c r="BE273" s="21">
        <f>IFERROR(__xludf.DUMMYFUNCTION("""COMPUTED_VALUE"""),0.0)</f>
        <v>0</v>
      </c>
      <c r="BF273" s="22">
        <f>IFERROR(__xludf.DUMMYFUNCTION("""COMPUTED_VALUE"""),0.0)</f>
        <v>0</v>
      </c>
      <c r="BG273" s="20"/>
      <c r="BH273" s="20"/>
      <c r="BI273" s="20"/>
      <c r="BJ273" s="14"/>
      <c r="BK273" s="14"/>
      <c r="BL273" s="14"/>
      <c r="BM273" s="14"/>
      <c r="BN273" s="14"/>
      <c r="BO273" s="14"/>
    </row>
    <row r="274">
      <c r="A274" s="6" t="str">
        <f>IFERROR(__xludf.DUMMYFUNCTION("""COMPUTED_VALUE"""),"")</f>
        <v/>
      </c>
      <c r="B274" s="7"/>
      <c r="C274" s="8"/>
      <c r="D274" s="7"/>
      <c r="E274" s="7"/>
      <c r="F274" s="7"/>
      <c r="G274" s="8"/>
      <c r="H274" s="6"/>
      <c r="I274" s="12"/>
      <c r="J274" s="9"/>
      <c r="K274" s="9"/>
      <c r="L274" s="10"/>
      <c r="M274" s="12"/>
      <c r="N274" s="12"/>
      <c r="O274" s="12"/>
      <c r="P274" s="12"/>
      <c r="Q274" s="11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1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1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1">
        <f>IFERROR(__xludf.DUMMYFUNCTION("""COMPUTED_VALUE"""),0.0)</f>
        <v>0</v>
      </c>
      <c r="BD274" s="11">
        <f>IFERROR(__xludf.DUMMYFUNCTION("""COMPUTED_VALUE"""),0.0)</f>
        <v>0</v>
      </c>
      <c r="BE274" s="11">
        <f>IFERROR(__xludf.DUMMYFUNCTION("""COMPUTED_VALUE"""),0.0)</f>
        <v>0</v>
      </c>
      <c r="BF274" s="13">
        <f>IFERROR(__xludf.DUMMYFUNCTION("""COMPUTED_VALUE"""),0.0)</f>
        <v>0</v>
      </c>
      <c r="BG274" s="12"/>
      <c r="BH274" s="12"/>
      <c r="BI274" s="12"/>
      <c r="BJ274" s="14"/>
      <c r="BK274" s="14"/>
      <c r="BL274" s="14"/>
      <c r="BM274" s="14"/>
      <c r="BN274" s="14"/>
      <c r="BO274" s="14"/>
    </row>
    <row r="275">
      <c r="A275" s="15" t="str">
        <f>IFERROR(__xludf.DUMMYFUNCTION("""COMPUTED_VALUE"""),"")</f>
        <v/>
      </c>
      <c r="B275" s="16"/>
      <c r="C275" s="17"/>
      <c r="D275" s="16"/>
      <c r="E275" s="16"/>
      <c r="F275" s="16"/>
      <c r="G275" s="17"/>
      <c r="H275" s="15"/>
      <c r="I275" s="18"/>
      <c r="J275" s="18"/>
      <c r="K275" s="18"/>
      <c r="L275" s="19"/>
      <c r="M275" s="20"/>
      <c r="N275" s="20"/>
      <c r="O275" s="20"/>
      <c r="P275" s="20"/>
      <c r="Q275" s="21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1">
        <f>IFERROR(__xludf.DUMMYFUNCTION("""COMPUTED_VALUE"""),0.0)</f>
        <v>0</v>
      </c>
      <c r="BD275" s="21">
        <f>IFERROR(__xludf.DUMMYFUNCTION("""COMPUTED_VALUE"""),0.0)</f>
        <v>0</v>
      </c>
      <c r="BE275" s="21">
        <f>IFERROR(__xludf.DUMMYFUNCTION("""COMPUTED_VALUE"""),0.0)</f>
        <v>0</v>
      </c>
      <c r="BF275" s="22">
        <f>IFERROR(__xludf.DUMMYFUNCTION("""COMPUTED_VALUE"""),0.0)</f>
        <v>0</v>
      </c>
      <c r="BG275" s="20"/>
      <c r="BH275" s="20"/>
      <c r="BI275" s="20"/>
      <c r="BJ275" s="14"/>
      <c r="BK275" s="14"/>
      <c r="BL275" s="14"/>
      <c r="BM275" s="14"/>
      <c r="BN275" s="14"/>
      <c r="BO275" s="14"/>
    </row>
    <row r="276">
      <c r="A276" s="6" t="str">
        <f>IFERROR(__xludf.DUMMYFUNCTION("""COMPUTED_VALUE"""),"")</f>
        <v/>
      </c>
      <c r="B276" s="7"/>
      <c r="C276" s="8"/>
      <c r="D276" s="7"/>
      <c r="E276" s="7"/>
      <c r="F276" s="7"/>
      <c r="G276" s="8"/>
      <c r="H276" s="6"/>
      <c r="I276" s="12"/>
      <c r="J276" s="9"/>
      <c r="K276" s="9"/>
      <c r="L276" s="10"/>
      <c r="M276" s="12"/>
      <c r="N276" s="12"/>
      <c r="O276" s="12"/>
      <c r="P276" s="12"/>
      <c r="Q276" s="11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1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1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1">
        <f>IFERROR(__xludf.DUMMYFUNCTION("""COMPUTED_VALUE"""),0.0)</f>
        <v>0</v>
      </c>
      <c r="BD276" s="11">
        <f>IFERROR(__xludf.DUMMYFUNCTION("""COMPUTED_VALUE"""),0.0)</f>
        <v>0</v>
      </c>
      <c r="BE276" s="11">
        <f>IFERROR(__xludf.DUMMYFUNCTION("""COMPUTED_VALUE"""),0.0)</f>
        <v>0</v>
      </c>
      <c r="BF276" s="13">
        <f>IFERROR(__xludf.DUMMYFUNCTION("""COMPUTED_VALUE"""),0.0)</f>
        <v>0</v>
      </c>
      <c r="BG276" s="12"/>
      <c r="BH276" s="12"/>
      <c r="BI276" s="12"/>
      <c r="BJ276" s="14"/>
      <c r="BK276" s="14"/>
      <c r="BL276" s="14"/>
      <c r="BM276" s="14"/>
      <c r="BN276" s="14"/>
      <c r="BO276" s="14"/>
    </row>
    <row r="277">
      <c r="A277" s="15" t="str">
        <f>IFERROR(__xludf.DUMMYFUNCTION("""COMPUTED_VALUE"""),"")</f>
        <v/>
      </c>
      <c r="B277" s="16"/>
      <c r="C277" s="17"/>
      <c r="D277" s="16"/>
      <c r="E277" s="16"/>
      <c r="F277" s="16"/>
      <c r="G277" s="17"/>
      <c r="H277" s="15"/>
      <c r="I277" s="20"/>
      <c r="J277" s="18"/>
      <c r="K277" s="18"/>
      <c r="L277" s="19"/>
      <c r="M277" s="20"/>
      <c r="N277" s="20"/>
      <c r="O277" s="20"/>
      <c r="P277" s="20"/>
      <c r="Q277" s="21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1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1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1">
        <f>IFERROR(__xludf.DUMMYFUNCTION("""COMPUTED_VALUE"""),0.0)</f>
        <v>0</v>
      </c>
      <c r="BD277" s="21">
        <f>IFERROR(__xludf.DUMMYFUNCTION("""COMPUTED_VALUE"""),0.0)</f>
        <v>0</v>
      </c>
      <c r="BE277" s="21">
        <f>IFERROR(__xludf.DUMMYFUNCTION("""COMPUTED_VALUE"""),0.0)</f>
        <v>0</v>
      </c>
      <c r="BF277" s="22">
        <f>IFERROR(__xludf.DUMMYFUNCTION("""COMPUTED_VALUE"""),0.0)</f>
        <v>0</v>
      </c>
      <c r="BG277" s="20"/>
      <c r="BH277" s="20"/>
      <c r="BI277" s="20"/>
      <c r="BJ277" s="14"/>
      <c r="BK277" s="14"/>
      <c r="BL277" s="14"/>
      <c r="BM277" s="14"/>
      <c r="BN277" s="14"/>
      <c r="BO277" s="14"/>
    </row>
    <row r="278">
      <c r="A278" s="6" t="str">
        <f>IFERROR(__xludf.DUMMYFUNCTION("""COMPUTED_VALUE"""),"")</f>
        <v/>
      </c>
      <c r="B278" s="7"/>
      <c r="C278" s="8"/>
      <c r="D278" s="7"/>
      <c r="E278" s="7"/>
      <c r="F278" s="7"/>
      <c r="G278" s="8"/>
      <c r="H278" s="6"/>
      <c r="I278" s="12"/>
      <c r="J278" s="9"/>
      <c r="K278" s="9"/>
      <c r="L278" s="10"/>
      <c r="M278" s="12"/>
      <c r="N278" s="12"/>
      <c r="O278" s="12"/>
      <c r="P278" s="12"/>
      <c r="Q278" s="11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1">
        <f>IFERROR(__xludf.DUMMYFUNCTION("""COMPUTED_VALUE"""),0.0)</f>
        <v>0</v>
      </c>
      <c r="BD278" s="11">
        <f>IFERROR(__xludf.DUMMYFUNCTION("""COMPUTED_VALUE"""),0.0)</f>
        <v>0</v>
      </c>
      <c r="BE278" s="11">
        <f>IFERROR(__xludf.DUMMYFUNCTION("""COMPUTED_VALUE"""),0.0)</f>
        <v>0</v>
      </c>
      <c r="BF278" s="13">
        <f>IFERROR(__xludf.DUMMYFUNCTION("""COMPUTED_VALUE"""),0.0)</f>
        <v>0</v>
      </c>
      <c r="BG278" s="12"/>
      <c r="BH278" s="12"/>
      <c r="BI278" s="12"/>
      <c r="BJ278" s="14"/>
      <c r="BK278" s="14"/>
      <c r="BL278" s="14"/>
      <c r="BM278" s="14"/>
      <c r="BN278" s="14"/>
      <c r="BO278" s="14"/>
    </row>
    <row r="279">
      <c r="A279" s="15" t="str">
        <f>IFERROR(__xludf.DUMMYFUNCTION("""COMPUTED_VALUE"""),"")</f>
        <v/>
      </c>
      <c r="B279" s="16"/>
      <c r="C279" s="17"/>
      <c r="D279" s="16"/>
      <c r="E279" s="16"/>
      <c r="F279" s="16"/>
      <c r="G279" s="17"/>
      <c r="H279" s="15"/>
      <c r="I279" s="20"/>
      <c r="J279" s="18"/>
      <c r="K279" s="18"/>
      <c r="L279" s="19"/>
      <c r="M279" s="20"/>
      <c r="N279" s="20"/>
      <c r="O279" s="20"/>
      <c r="P279" s="20"/>
      <c r="Q279" s="21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1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1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1">
        <f>IFERROR(__xludf.DUMMYFUNCTION("""COMPUTED_VALUE"""),0.0)</f>
        <v>0</v>
      </c>
      <c r="BD279" s="21">
        <f>IFERROR(__xludf.DUMMYFUNCTION("""COMPUTED_VALUE"""),0.0)</f>
        <v>0</v>
      </c>
      <c r="BE279" s="21">
        <f>IFERROR(__xludf.DUMMYFUNCTION("""COMPUTED_VALUE"""),0.0)</f>
        <v>0</v>
      </c>
      <c r="BF279" s="22">
        <f>IFERROR(__xludf.DUMMYFUNCTION("""COMPUTED_VALUE"""),0.0)</f>
        <v>0</v>
      </c>
      <c r="BG279" s="20"/>
      <c r="BH279" s="20"/>
      <c r="BI279" s="20"/>
      <c r="BJ279" s="14"/>
      <c r="BK279" s="14"/>
      <c r="BL279" s="14"/>
      <c r="BM279" s="14"/>
      <c r="BN279" s="14"/>
      <c r="BO279" s="14"/>
    </row>
    <row r="280">
      <c r="A280" s="6" t="str">
        <f>IFERROR(__xludf.DUMMYFUNCTION("""COMPUTED_VALUE"""),"")</f>
        <v/>
      </c>
      <c r="B280" s="7"/>
      <c r="C280" s="8"/>
      <c r="D280" s="7"/>
      <c r="E280" s="7"/>
      <c r="F280" s="7"/>
      <c r="G280" s="8"/>
      <c r="H280" s="6"/>
      <c r="I280" s="9"/>
      <c r="J280" s="9"/>
      <c r="K280" s="9"/>
      <c r="L280" s="10"/>
      <c r="M280" s="12"/>
      <c r="N280" s="12"/>
      <c r="O280" s="12"/>
      <c r="P280" s="12"/>
      <c r="Q280" s="11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1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1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1">
        <f>IFERROR(__xludf.DUMMYFUNCTION("""COMPUTED_VALUE"""),0.0)</f>
        <v>0</v>
      </c>
      <c r="BD280" s="11">
        <f>IFERROR(__xludf.DUMMYFUNCTION("""COMPUTED_VALUE"""),0.0)</f>
        <v>0</v>
      </c>
      <c r="BE280" s="11">
        <f>IFERROR(__xludf.DUMMYFUNCTION("""COMPUTED_VALUE"""),0.0)</f>
        <v>0</v>
      </c>
      <c r="BF280" s="13">
        <f>IFERROR(__xludf.DUMMYFUNCTION("""COMPUTED_VALUE"""),0.0)</f>
        <v>0</v>
      </c>
      <c r="BG280" s="12"/>
      <c r="BH280" s="12"/>
      <c r="BI280" s="12"/>
      <c r="BJ280" s="14"/>
      <c r="BK280" s="14"/>
      <c r="BL280" s="14"/>
      <c r="BM280" s="14"/>
      <c r="BN280" s="14"/>
      <c r="BO280" s="14"/>
    </row>
    <row r="281">
      <c r="A281" s="15" t="str">
        <f>IFERROR(__xludf.DUMMYFUNCTION("""COMPUTED_VALUE"""),"")</f>
        <v/>
      </c>
      <c r="B281" s="16"/>
      <c r="C281" s="17"/>
      <c r="D281" s="16"/>
      <c r="E281" s="16"/>
      <c r="F281" s="16"/>
      <c r="G281" s="17"/>
      <c r="H281" s="15"/>
      <c r="I281" s="20"/>
      <c r="J281" s="18"/>
      <c r="K281" s="18"/>
      <c r="L281" s="19"/>
      <c r="M281" s="20"/>
      <c r="N281" s="20"/>
      <c r="O281" s="20"/>
      <c r="P281" s="21"/>
      <c r="Q281" s="21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1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1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1">
        <f>IFERROR(__xludf.DUMMYFUNCTION("""COMPUTED_VALUE"""),0.0)</f>
        <v>0</v>
      </c>
      <c r="BD281" s="21">
        <f>IFERROR(__xludf.DUMMYFUNCTION("""COMPUTED_VALUE"""),0.0)</f>
        <v>0</v>
      </c>
      <c r="BE281" s="21">
        <f>IFERROR(__xludf.DUMMYFUNCTION("""COMPUTED_VALUE"""),0.0)</f>
        <v>0</v>
      </c>
      <c r="BF281" s="22">
        <f>IFERROR(__xludf.DUMMYFUNCTION("""COMPUTED_VALUE"""),0.0)</f>
        <v>0</v>
      </c>
      <c r="BG281" s="20"/>
      <c r="BH281" s="20"/>
      <c r="BI281" s="20"/>
      <c r="BJ281" s="14"/>
      <c r="BK281" s="14"/>
      <c r="BL281" s="14"/>
      <c r="BM281" s="14"/>
      <c r="BN281" s="14"/>
      <c r="BO281" s="14"/>
    </row>
    <row r="282">
      <c r="A282" s="6" t="str">
        <f>IFERROR(__xludf.DUMMYFUNCTION("""COMPUTED_VALUE"""),"")</f>
        <v/>
      </c>
      <c r="B282" s="7"/>
      <c r="C282" s="8"/>
      <c r="D282" s="7"/>
      <c r="E282" s="7"/>
      <c r="F282" s="7"/>
      <c r="G282" s="8"/>
      <c r="H282" s="6"/>
      <c r="I282" s="12"/>
      <c r="J282" s="9"/>
      <c r="K282" s="9"/>
      <c r="L282" s="10"/>
      <c r="M282" s="12"/>
      <c r="N282" s="12"/>
      <c r="O282" s="12"/>
      <c r="P282" s="12"/>
      <c r="Q282" s="11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1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1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1">
        <f>IFERROR(__xludf.DUMMYFUNCTION("""COMPUTED_VALUE"""),0.0)</f>
        <v>0</v>
      </c>
      <c r="BD282" s="11">
        <f>IFERROR(__xludf.DUMMYFUNCTION("""COMPUTED_VALUE"""),0.0)</f>
        <v>0</v>
      </c>
      <c r="BE282" s="11">
        <f>IFERROR(__xludf.DUMMYFUNCTION("""COMPUTED_VALUE"""),0.0)</f>
        <v>0</v>
      </c>
      <c r="BF282" s="13">
        <f>IFERROR(__xludf.DUMMYFUNCTION("""COMPUTED_VALUE"""),0.0)</f>
        <v>0</v>
      </c>
      <c r="BG282" s="12"/>
      <c r="BH282" s="12"/>
      <c r="BI282" s="12"/>
      <c r="BJ282" s="14"/>
      <c r="BK282" s="14"/>
      <c r="BL282" s="14"/>
      <c r="BM282" s="14"/>
      <c r="BN282" s="14"/>
      <c r="BO282" s="14"/>
    </row>
    <row r="283">
      <c r="A283" s="15" t="str">
        <f>IFERROR(__xludf.DUMMYFUNCTION("""COMPUTED_VALUE"""),"")</f>
        <v/>
      </c>
      <c r="B283" s="16"/>
      <c r="C283" s="17"/>
      <c r="D283" s="16"/>
      <c r="E283" s="16"/>
      <c r="F283" s="16"/>
      <c r="G283" s="17"/>
      <c r="H283" s="15"/>
      <c r="I283" s="20"/>
      <c r="J283" s="18"/>
      <c r="K283" s="18"/>
      <c r="L283" s="19"/>
      <c r="M283" s="20"/>
      <c r="N283" s="20"/>
      <c r="O283" s="20"/>
      <c r="P283" s="20"/>
      <c r="Q283" s="21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1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1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1">
        <f>IFERROR(__xludf.DUMMYFUNCTION("""COMPUTED_VALUE"""),0.0)</f>
        <v>0</v>
      </c>
      <c r="BD283" s="21">
        <f>IFERROR(__xludf.DUMMYFUNCTION("""COMPUTED_VALUE"""),0.0)</f>
        <v>0</v>
      </c>
      <c r="BE283" s="21">
        <f>IFERROR(__xludf.DUMMYFUNCTION("""COMPUTED_VALUE"""),0.0)</f>
        <v>0</v>
      </c>
      <c r="BF283" s="22">
        <f>IFERROR(__xludf.DUMMYFUNCTION("""COMPUTED_VALUE"""),0.0)</f>
        <v>0</v>
      </c>
      <c r="BG283" s="20"/>
      <c r="BH283" s="20"/>
      <c r="BI283" s="20"/>
      <c r="BJ283" s="14"/>
      <c r="BK283" s="14"/>
      <c r="BL283" s="14"/>
      <c r="BM283" s="14"/>
      <c r="BN283" s="14"/>
      <c r="BO283" s="14"/>
    </row>
    <row r="284">
      <c r="A284" s="6" t="str">
        <f>IFERROR(__xludf.DUMMYFUNCTION("""COMPUTED_VALUE"""),"")</f>
        <v/>
      </c>
      <c r="B284" s="7"/>
      <c r="C284" s="8"/>
      <c r="D284" s="7"/>
      <c r="E284" s="7"/>
      <c r="F284" s="7"/>
      <c r="G284" s="8"/>
      <c r="H284" s="6"/>
      <c r="I284" s="12"/>
      <c r="J284" s="9"/>
      <c r="K284" s="9"/>
      <c r="L284" s="10"/>
      <c r="M284" s="12"/>
      <c r="N284" s="12"/>
      <c r="O284" s="12"/>
      <c r="P284" s="12"/>
      <c r="Q284" s="11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1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1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1">
        <f>IFERROR(__xludf.DUMMYFUNCTION("""COMPUTED_VALUE"""),0.0)</f>
        <v>0</v>
      </c>
      <c r="BD284" s="11">
        <f>IFERROR(__xludf.DUMMYFUNCTION("""COMPUTED_VALUE"""),0.0)</f>
        <v>0</v>
      </c>
      <c r="BE284" s="11">
        <f>IFERROR(__xludf.DUMMYFUNCTION("""COMPUTED_VALUE"""),0.0)</f>
        <v>0</v>
      </c>
      <c r="BF284" s="13">
        <f>IFERROR(__xludf.DUMMYFUNCTION("""COMPUTED_VALUE"""),0.0)</f>
        <v>0</v>
      </c>
      <c r="BG284" s="12"/>
      <c r="BH284" s="12"/>
      <c r="BI284" s="12"/>
      <c r="BJ284" s="14"/>
      <c r="BK284" s="14"/>
      <c r="BL284" s="14"/>
      <c r="BM284" s="14"/>
      <c r="BN284" s="14"/>
      <c r="BO284" s="14"/>
    </row>
    <row r="285">
      <c r="A285" s="15" t="str">
        <f>IFERROR(__xludf.DUMMYFUNCTION("""COMPUTED_VALUE"""),"")</f>
        <v/>
      </c>
      <c r="B285" s="16"/>
      <c r="C285" s="17"/>
      <c r="D285" s="16"/>
      <c r="E285" s="16"/>
      <c r="F285" s="16"/>
      <c r="G285" s="17"/>
      <c r="H285" s="15"/>
      <c r="I285" s="18"/>
      <c r="J285" s="18"/>
      <c r="K285" s="18"/>
      <c r="L285" s="19"/>
      <c r="M285" s="20"/>
      <c r="N285" s="20"/>
      <c r="O285" s="20"/>
      <c r="P285" s="20"/>
      <c r="Q285" s="21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1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1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1">
        <f>IFERROR(__xludf.DUMMYFUNCTION("""COMPUTED_VALUE"""),0.0)</f>
        <v>0</v>
      </c>
      <c r="BD285" s="21">
        <f>IFERROR(__xludf.DUMMYFUNCTION("""COMPUTED_VALUE"""),0.0)</f>
        <v>0</v>
      </c>
      <c r="BE285" s="21">
        <f>IFERROR(__xludf.DUMMYFUNCTION("""COMPUTED_VALUE"""),0.0)</f>
        <v>0</v>
      </c>
      <c r="BF285" s="22">
        <f>IFERROR(__xludf.DUMMYFUNCTION("""COMPUTED_VALUE"""),0.0)</f>
        <v>0</v>
      </c>
      <c r="BG285" s="20"/>
      <c r="BH285" s="20"/>
      <c r="BI285" s="20"/>
      <c r="BJ285" s="14"/>
      <c r="BK285" s="14"/>
      <c r="BL285" s="14"/>
      <c r="BM285" s="14"/>
      <c r="BN285" s="14"/>
      <c r="BO285" s="14"/>
    </row>
    <row r="286">
      <c r="A286" s="6" t="str">
        <f>IFERROR(__xludf.DUMMYFUNCTION("""COMPUTED_VALUE"""),"")</f>
        <v/>
      </c>
      <c r="B286" s="7"/>
      <c r="C286" s="8"/>
      <c r="D286" s="7"/>
      <c r="E286" s="7"/>
      <c r="F286" s="7"/>
      <c r="G286" s="8"/>
      <c r="H286" s="6"/>
      <c r="I286" s="12"/>
      <c r="J286" s="9"/>
      <c r="K286" s="9"/>
      <c r="L286" s="10"/>
      <c r="M286" s="11"/>
      <c r="N286" s="11"/>
      <c r="O286" s="12"/>
      <c r="P286" s="11"/>
      <c r="Q286" s="11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1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1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1">
        <f>IFERROR(__xludf.DUMMYFUNCTION("""COMPUTED_VALUE"""),0.0)</f>
        <v>0</v>
      </c>
      <c r="BD286" s="11">
        <f>IFERROR(__xludf.DUMMYFUNCTION("""COMPUTED_VALUE"""),0.0)</f>
        <v>0</v>
      </c>
      <c r="BE286" s="11">
        <f>IFERROR(__xludf.DUMMYFUNCTION("""COMPUTED_VALUE"""),0.0)</f>
        <v>0</v>
      </c>
      <c r="BF286" s="13">
        <f>IFERROR(__xludf.DUMMYFUNCTION("""COMPUTED_VALUE"""),0.0)</f>
        <v>0</v>
      </c>
      <c r="BG286" s="12"/>
      <c r="BH286" s="12"/>
      <c r="BI286" s="12"/>
      <c r="BJ286" s="14"/>
      <c r="BK286" s="14"/>
      <c r="BL286" s="14"/>
      <c r="BM286" s="14"/>
      <c r="BN286" s="14"/>
      <c r="BO286" s="14"/>
    </row>
    <row r="287">
      <c r="A287" s="15" t="str">
        <f>IFERROR(__xludf.DUMMYFUNCTION("""COMPUTED_VALUE"""),"")</f>
        <v/>
      </c>
      <c r="B287" s="16"/>
      <c r="C287" s="17"/>
      <c r="D287" s="16"/>
      <c r="E287" s="16"/>
      <c r="F287" s="16"/>
      <c r="G287" s="17"/>
      <c r="H287" s="15"/>
      <c r="I287" s="18"/>
      <c r="J287" s="18"/>
      <c r="K287" s="18"/>
      <c r="L287" s="19"/>
      <c r="M287" s="20"/>
      <c r="N287" s="20"/>
      <c r="O287" s="20"/>
      <c r="P287" s="20"/>
      <c r="Q287" s="21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1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1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1">
        <f>IFERROR(__xludf.DUMMYFUNCTION("""COMPUTED_VALUE"""),0.0)</f>
        <v>0</v>
      </c>
      <c r="BD287" s="21">
        <f>IFERROR(__xludf.DUMMYFUNCTION("""COMPUTED_VALUE"""),0.0)</f>
        <v>0</v>
      </c>
      <c r="BE287" s="21">
        <f>IFERROR(__xludf.DUMMYFUNCTION("""COMPUTED_VALUE"""),0.0)</f>
        <v>0</v>
      </c>
      <c r="BF287" s="22">
        <f>IFERROR(__xludf.DUMMYFUNCTION("""COMPUTED_VALUE"""),0.0)</f>
        <v>0</v>
      </c>
      <c r="BG287" s="20"/>
      <c r="BH287" s="20"/>
      <c r="BI287" s="20"/>
      <c r="BJ287" s="14"/>
      <c r="BK287" s="14"/>
      <c r="BL287" s="14"/>
      <c r="BM287" s="14"/>
      <c r="BN287" s="14"/>
      <c r="BO287" s="14"/>
    </row>
    <row r="288">
      <c r="A288" s="6" t="str">
        <f>IFERROR(__xludf.DUMMYFUNCTION("""COMPUTED_VALUE"""),"")</f>
        <v/>
      </c>
      <c r="B288" s="7"/>
      <c r="C288" s="8"/>
      <c r="D288" s="7"/>
      <c r="E288" s="7"/>
      <c r="F288" s="7"/>
      <c r="G288" s="8"/>
      <c r="H288" s="6"/>
      <c r="I288" s="12"/>
      <c r="J288" s="9"/>
      <c r="K288" s="9"/>
      <c r="L288" s="10"/>
      <c r="M288" s="12"/>
      <c r="N288" s="12"/>
      <c r="O288" s="12"/>
      <c r="P288" s="12"/>
      <c r="Q288" s="11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1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1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1">
        <f>IFERROR(__xludf.DUMMYFUNCTION("""COMPUTED_VALUE"""),0.0)</f>
        <v>0</v>
      </c>
      <c r="BD288" s="11">
        <f>IFERROR(__xludf.DUMMYFUNCTION("""COMPUTED_VALUE"""),0.0)</f>
        <v>0</v>
      </c>
      <c r="BE288" s="11">
        <f>IFERROR(__xludf.DUMMYFUNCTION("""COMPUTED_VALUE"""),0.0)</f>
        <v>0</v>
      </c>
      <c r="BF288" s="13">
        <f>IFERROR(__xludf.DUMMYFUNCTION("""COMPUTED_VALUE"""),0.0)</f>
        <v>0</v>
      </c>
      <c r="BG288" s="12"/>
      <c r="BH288" s="12"/>
      <c r="BI288" s="12"/>
      <c r="BJ288" s="14"/>
      <c r="BK288" s="14"/>
      <c r="BL288" s="14"/>
      <c r="BM288" s="14"/>
      <c r="BN288" s="14"/>
      <c r="BO288" s="14"/>
    </row>
    <row r="289">
      <c r="A289" s="15" t="str">
        <f>IFERROR(__xludf.DUMMYFUNCTION("""COMPUTED_VALUE"""),"")</f>
        <v/>
      </c>
      <c r="B289" s="16"/>
      <c r="C289" s="17"/>
      <c r="D289" s="16"/>
      <c r="E289" s="16"/>
      <c r="F289" s="16"/>
      <c r="G289" s="17"/>
      <c r="H289" s="15"/>
      <c r="I289" s="18"/>
      <c r="J289" s="18"/>
      <c r="K289" s="18"/>
      <c r="L289" s="19"/>
      <c r="M289" s="20"/>
      <c r="N289" s="20"/>
      <c r="O289" s="20"/>
      <c r="P289" s="20"/>
      <c r="Q289" s="21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1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1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1">
        <f>IFERROR(__xludf.DUMMYFUNCTION("""COMPUTED_VALUE"""),0.0)</f>
        <v>0</v>
      </c>
      <c r="BD289" s="21">
        <f>IFERROR(__xludf.DUMMYFUNCTION("""COMPUTED_VALUE"""),0.0)</f>
        <v>0</v>
      </c>
      <c r="BE289" s="21">
        <f>IFERROR(__xludf.DUMMYFUNCTION("""COMPUTED_VALUE"""),0.0)</f>
        <v>0</v>
      </c>
      <c r="BF289" s="22">
        <f>IFERROR(__xludf.DUMMYFUNCTION("""COMPUTED_VALUE"""),0.0)</f>
        <v>0</v>
      </c>
      <c r="BG289" s="20"/>
      <c r="BH289" s="20"/>
      <c r="BI289" s="20"/>
      <c r="BJ289" s="14"/>
      <c r="BK289" s="14"/>
      <c r="BL289" s="14"/>
      <c r="BM289" s="14"/>
      <c r="BN289" s="14"/>
      <c r="BO289" s="14"/>
    </row>
    <row r="290">
      <c r="A290" s="6" t="str">
        <f>IFERROR(__xludf.DUMMYFUNCTION("""COMPUTED_VALUE"""),"")</f>
        <v/>
      </c>
      <c r="B290" s="7"/>
      <c r="C290" s="8"/>
      <c r="D290" s="7"/>
      <c r="E290" s="7"/>
      <c r="F290" s="7"/>
      <c r="G290" s="8"/>
      <c r="H290" s="6"/>
      <c r="I290" s="12"/>
      <c r="J290" s="9"/>
      <c r="K290" s="9"/>
      <c r="L290" s="1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1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1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1">
        <f>IFERROR(__xludf.DUMMYFUNCTION("""COMPUTED_VALUE"""),0.0)</f>
        <v>0</v>
      </c>
      <c r="BD290" s="11">
        <f>IFERROR(__xludf.DUMMYFUNCTION("""COMPUTED_VALUE"""),0.0)</f>
        <v>0</v>
      </c>
      <c r="BE290" s="11">
        <f>IFERROR(__xludf.DUMMYFUNCTION("""COMPUTED_VALUE"""),0.0)</f>
        <v>0</v>
      </c>
      <c r="BF290" s="13">
        <f>IFERROR(__xludf.DUMMYFUNCTION("""COMPUTED_VALUE"""),0.0)</f>
        <v>0</v>
      </c>
      <c r="BG290" s="12"/>
      <c r="BH290" s="12"/>
      <c r="BI290" s="12"/>
      <c r="BJ290" s="14"/>
      <c r="BK290" s="14"/>
      <c r="BL290" s="14"/>
      <c r="BM290" s="14"/>
      <c r="BN290" s="14"/>
      <c r="BO290" s="14"/>
    </row>
    <row r="291">
      <c r="A291" s="15" t="str">
        <f>IFERROR(__xludf.DUMMYFUNCTION("""COMPUTED_VALUE"""),"")</f>
        <v/>
      </c>
      <c r="B291" s="16"/>
      <c r="C291" s="17"/>
      <c r="D291" s="16"/>
      <c r="E291" s="16"/>
      <c r="F291" s="16"/>
      <c r="G291" s="17"/>
      <c r="H291" s="15"/>
      <c r="I291" s="20"/>
      <c r="J291" s="18"/>
      <c r="K291" s="18"/>
      <c r="L291" s="19"/>
      <c r="M291" s="20"/>
      <c r="N291" s="20"/>
      <c r="O291" s="20"/>
      <c r="P291" s="20"/>
      <c r="Q291" s="21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1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1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1">
        <f>IFERROR(__xludf.DUMMYFUNCTION("""COMPUTED_VALUE"""),0.0)</f>
        <v>0</v>
      </c>
      <c r="BD291" s="21">
        <f>IFERROR(__xludf.DUMMYFUNCTION("""COMPUTED_VALUE"""),0.0)</f>
        <v>0</v>
      </c>
      <c r="BE291" s="21">
        <f>IFERROR(__xludf.DUMMYFUNCTION("""COMPUTED_VALUE"""),0.0)</f>
        <v>0</v>
      </c>
      <c r="BF291" s="22">
        <f>IFERROR(__xludf.DUMMYFUNCTION("""COMPUTED_VALUE"""),0.0)</f>
        <v>0</v>
      </c>
      <c r="BG291" s="20"/>
      <c r="BH291" s="20"/>
      <c r="BI291" s="20"/>
      <c r="BJ291" s="14"/>
      <c r="BK291" s="14"/>
      <c r="BL291" s="14"/>
      <c r="BM291" s="14"/>
      <c r="BN291" s="14"/>
      <c r="BO291" s="14"/>
    </row>
    <row r="292">
      <c r="A292" s="6" t="str">
        <f>IFERROR(__xludf.DUMMYFUNCTION("""COMPUTED_VALUE"""),"")</f>
        <v/>
      </c>
      <c r="B292" s="7"/>
      <c r="C292" s="8"/>
      <c r="D292" s="7"/>
      <c r="E292" s="7"/>
      <c r="F292" s="7"/>
      <c r="G292" s="8"/>
      <c r="H292" s="6"/>
      <c r="I292" s="12"/>
      <c r="J292" s="9"/>
      <c r="K292" s="9"/>
      <c r="L292" s="10"/>
      <c r="M292" s="11"/>
      <c r="N292" s="12"/>
      <c r="O292" s="12"/>
      <c r="P292" s="11"/>
      <c r="Q292" s="11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1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1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1">
        <f>IFERROR(__xludf.DUMMYFUNCTION("""COMPUTED_VALUE"""),0.0)</f>
        <v>0</v>
      </c>
      <c r="BD292" s="11">
        <f>IFERROR(__xludf.DUMMYFUNCTION("""COMPUTED_VALUE"""),0.0)</f>
        <v>0</v>
      </c>
      <c r="BE292" s="11">
        <f>IFERROR(__xludf.DUMMYFUNCTION("""COMPUTED_VALUE"""),0.0)</f>
        <v>0</v>
      </c>
      <c r="BF292" s="13">
        <f>IFERROR(__xludf.DUMMYFUNCTION("""COMPUTED_VALUE"""),0.0)</f>
        <v>0</v>
      </c>
      <c r="BG292" s="12"/>
      <c r="BH292" s="12"/>
      <c r="BI292" s="12"/>
      <c r="BJ292" s="14"/>
      <c r="BK292" s="14"/>
      <c r="BL292" s="14"/>
      <c r="BM292" s="14"/>
      <c r="BN292" s="14"/>
      <c r="BO292" s="14"/>
    </row>
    <row r="293">
      <c r="A293" s="15" t="str">
        <f>IFERROR(__xludf.DUMMYFUNCTION("""COMPUTED_VALUE"""),"")</f>
        <v/>
      </c>
      <c r="B293" s="16"/>
      <c r="C293" s="17"/>
      <c r="D293" s="16"/>
      <c r="E293" s="16"/>
      <c r="F293" s="16"/>
      <c r="G293" s="17"/>
      <c r="H293" s="15"/>
      <c r="I293" s="20"/>
      <c r="J293" s="18"/>
      <c r="K293" s="18"/>
      <c r="L293" s="19"/>
      <c r="M293" s="20"/>
      <c r="N293" s="20"/>
      <c r="O293" s="20"/>
      <c r="P293" s="20"/>
      <c r="Q293" s="21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1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1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1">
        <f>IFERROR(__xludf.DUMMYFUNCTION("""COMPUTED_VALUE"""),0.0)</f>
        <v>0</v>
      </c>
      <c r="BD293" s="21">
        <f>IFERROR(__xludf.DUMMYFUNCTION("""COMPUTED_VALUE"""),0.0)</f>
        <v>0</v>
      </c>
      <c r="BE293" s="21">
        <f>IFERROR(__xludf.DUMMYFUNCTION("""COMPUTED_VALUE"""),0.0)</f>
        <v>0</v>
      </c>
      <c r="BF293" s="22">
        <f>IFERROR(__xludf.DUMMYFUNCTION("""COMPUTED_VALUE"""),0.0)</f>
        <v>0</v>
      </c>
      <c r="BG293" s="20"/>
      <c r="BH293" s="20"/>
      <c r="BI293" s="20"/>
      <c r="BJ293" s="14"/>
      <c r="BK293" s="14"/>
      <c r="BL293" s="14"/>
      <c r="BM293" s="14"/>
      <c r="BN293" s="14"/>
      <c r="BO293" s="14"/>
    </row>
    <row r="294">
      <c r="A294" s="6" t="str">
        <f>IFERROR(__xludf.DUMMYFUNCTION("""COMPUTED_VALUE"""),"")</f>
        <v/>
      </c>
      <c r="B294" s="7"/>
      <c r="C294" s="8"/>
      <c r="D294" s="7"/>
      <c r="E294" s="7"/>
      <c r="F294" s="7"/>
      <c r="G294" s="8"/>
      <c r="H294" s="6"/>
      <c r="I294" s="12"/>
      <c r="J294" s="9"/>
      <c r="K294" s="9"/>
      <c r="L294" s="10"/>
      <c r="M294" s="12"/>
      <c r="N294" s="12"/>
      <c r="O294" s="12"/>
      <c r="P294" s="12"/>
      <c r="Q294" s="11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1">
        <f>IFERROR(__xludf.DUMMYFUNCTION("""COMPUTED_VALUE"""),0.0)</f>
        <v>0</v>
      </c>
      <c r="BD294" s="11">
        <f>IFERROR(__xludf.DUMMYFUNCTION("""COMPUTED_VALUE"""),0.0)</f>
        <v>0</v>
      </c>
      <c r="BE294" s="11">
        <f>IFERROR(__xludf.DUMMYFUNCTION("""COMPUTED_VALUE"""),0.0)</f>
        <v>0</v>
      </c>
      <c r="BF294" s="13">
        <f>IFERROR(__xludf.DUMMYFUNCTION("""COMPUTED_VALUE"""),0.0)</f>
        <v>0</v>
      </c>
      <c r="BG294" s="12"/>
      <c r="BH294" s="12"/>
      <c r="BI294" s="12"/>
      <c r="BJ294" s="14"/>
      <c r="BK294" s="14"/>
      <c r="BL294" s="14"/>
      <c r="BM294" s="14"/>
      <c r="BN294" s="14"/>
      <c r="BO294" s="14"/>
    </row>
    <row r="295">
      <c r="A295" s="15" t="str">
        <f>IFERROR(__xludf.DUMMYFUNCTION("""COMPUTED_VALUE"""),"")</f>
        <v/>
      </c>
      <c r="B295" s="16"/>
      <c r="C295" s="17"/>
      <c r="D295" s="16"/>
      <c r="E295" s="16"/>
      <c r="F295" s="16"/>
      <c r="G295" s="17"/>
      <c r="H295" s="15"/>
      <c r="I295" s="20"/>
      <c r="J295" s="18"/>
      <c r="K295" s="18"/>
      <c r="L295" s="19"/>
      <c r="M295" s="20"/>
      <c r="N295" s="20"/>
      <c r="O295" s="20"/>
      <c r="P295" s="21"/>
      <c r="Q295" s="21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1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1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1">
        <f>IFERROR(__xludf.DUMMYFUNCTION("""COMPUTED_VALUE"""),0.0)</f>
        <v>0</v>
      </c>
      <c r="BD295" s="21">
        <f>IFERROR(__xludf.DUMMYFUNCTION("""COMPUTED_VALUE"""),0.0)</f>
        <v>0</v>
      </c>
      <c r="BE295" s="21">
        <f>IFERROR(__xludf.DUMMYFUNCTION("""COMPUTED_VALUE"""),0.0)</f>
        <v>0</v>
      </c>
      <c r="BF295" s="22">
        <f>IFERROR(__xludf.DUMMYFUNCTION("""COMPUTED_VALUE"""),0.0)</f>
        <v>0</v>
      </c>
      <c r="BG295" s="20"/>
      <c r="BH295" s="20"/>
      <c r="BI295" s="20"/>
      <c r="BJ295" s="14"/>
      <c r="BK295" s="14"/>
      <c r="BL295" s="14"/>
      <c r="BM295" s="14"/>
      <c r="BN295" s="14"/>
      <c r="BO295" s="14"/>
    </row>
    <row r="296">
      <c r="A296" s="6" t="str">
        <f>IFERROR(__xludf.DUMMYFUNCTION("""COMPUTED_VALUE"""),"")</f>
        <v/>
      </c>
      <c r="B296" s="7"/>
      <c r="C296" s="8"/>
      <c r="D296" s="7"/>
      <c r="E296" s="7"/>
      <c r="F296" s="7"/>
      <c r="G296" s="8"/>
      <c r="H296" s="6"/>
      <c r="I296" s="9"/>
      <c r="J296" s="9"/>
      <c r="K296" s="9"/>
      <c r="L296" s="10"/>
      <c r="M296" s="12"/>
      <c r="N296" s="12"/>
      <c r="O296" s="12"/>
      <c r="P296" s="12"/>
      <c r="Q296" s="11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1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1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1">
        <f>IFERROR(__xludf.DUMMYFUNCTION("""COMPUTED_VALUE"""),0.0)</f>
        <v>0</v>
      </c>
      <c r="BD296" s="11">
        <f>IFERROR(__xludf.DUMMYFUNCTION("""COMPUTED_VALUE"""),0.0)</f>
        <v>0</v>
      </c>
      <c r="BE296" s="11">
        <f>IFERROR(__xludf.DUMMYFUNCTION("""COMPUTED_VALUE"""),0.0)</f>
        <v>0</v>
      </c>
      <c r="BF296" s="13">
        <f>IFERROR(__xludf.DUMMYFUNCTION("""COMPUTED_VALUE"""),0.0)</f>
        <v>0</v>
      </c>
      <c r="BG296" s="12"/>
      <c r="BH296" s="12"/>
      <c r="BI296" s="12"/>
      <c r="BJ296" s="14"/>
      <c r="BK296" s="14"/>
      <c r="BL296" s="14"/>
      <c r="BM296" s="14"/>
      <c r="BN296" s="14"/>
      <c r="BO296" s="14"/>
    </row>
    <row r="297">
      <c r="A297" s="15" t="str">
        <f>IFERROR(__xludf.DUMMYFUNCTION("""COMPUTED_VALUE"""),"")</f>
        <v/>
      </c>
      <c r="B297" s="16"/>
      <c r="C297" s="17"/>
      <c r="D297" s="16"/>
      <c r="E297" s="16"/>
      <c r="F297" s="16"/>
      <c r="G297" s="17"/>
      <c r="H297" s="15"/>
      <c r="I297" s="20"/>
      <c r="J297" s="18"/>
      <c r="K297" s="18"/>
      <c r="L297" s="19"/>
      <c r="M297" s="20"/>
      <c r="N297" s="20"/>
      <c r="O297" s="20"/>
      <c r="P297" s="20"/>
      <c r="Q297" s="21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1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1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1">
        <f>IFERROR(__xludf.DUMMYFUNCTION("""COMPUTED_VALUE"""),0.0)</f>
        <v>0</v>
      </c>
      <c r="BD297" s="21">
        <f>IFERROR(__xludf.DUMMYFUNCTION("""COMPUTED_VALUE"""),0.0)</f>
        <v>0</v>
      </c>
      <c r="BE297" s="21">
        <f>IFERROR(__xludf.DUMMYFUNCTION("""COMPUTED_VALUE"""),0.0)</f>
        <v>0</v>
      </c>
      <c r="BF297" s="22">
        <f>IFERROR(__xludf.DUMMYFUNCTION("""COMPUTED_VALUE"""),0.0)</f>
        <v>0</v>
      </c>
      <c r="BG297" s="20"/>
      <c r="BH297" s="20"/>
      <c r="BI297" s="20"/>
      <c r="BJ297" s="14"/>
      <c r="BK297" s="14"/>
      <c r="BL297" s="14"/>
      <c r="BM297" s="14"/>
      <c r="BN297" s="14"/>
      <c r="BO297" s="14"/>
    </row>
    <row r="298">
      <c r="A298" s="6" t="str">
        <f>IFERROR(__xludf.DUMMYFUNCTION("""COMPUTED_VALUE"""),"")</f>
        <v/>
      </c>
      <c r="B298" s="7"/>
      <c r="C298" s="8"/>
      <c r="D298" s="7"/>
      <c r="E298" s="7"/>
      <c r="F298" s="7"/>
      <c r="G298" s="8"/>
      <c r="H298" s="6"/>
      <c r="I298" s="12"/>
      <c r="J298" s="9"/>
      <c r="K298" s="9"/>
      <c r="L298" s="10"/>
      <c r="M298" s="12"/>
      <c r="N298" s="12"/>
      <c r="O298" s="12"/>
      <c r="P298" s="12"/>
      <c r="Q298" s="11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1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1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1">
        <f>IFERROR(__xludf.DUMMYFUNCTION("""COMPUTED_VALUE"""),0.0)</f>
        <v>0</v>
      </c>
      <c r="BD298" s="11">
        <f>IFERROR(__xludf.DUMMYFUNCTION("""COMPUTED_VALUE"""),0.0)</f>
        <v>0</v>
      </c>
      <c r="BE298" s="11">
        <f>IFERROR(__xludf.DUMMYFUNCTION("""COMPUTED_VALUE"""),0.0)</f>
        <v>0</v>
      </c>
      <c r="BF298" s="13">
        <f>IFERROR(__xludf.DUMMYFUNCTION("""COMPUTED_VALUE"""),0.0)</f>
        <v>0</v>
      </c>
      <c r="BG298" s="12"/>
      <c r="BH298" s="12"/>
      <c r="BI298" s="12"/>
      <c r="BJ298" s="14"/>
      <c r="BK298" s="14"/>
      <c r="BL298" s="14"/>
      <c r="BM298" s="14"/>
      <c r="BN298" s="14"/>
      <c r="BO298" s="14"/>
    </row>
    <row r="299">
      <c r="A299" s="15" t="str">
        <f>IFERROR(__xludf.DUMMYFUNCTION("""COMPUTED_VALUE"""),"")</f>
        <v/>
      </c>
      <c r="B299" s="16"/>
      <c r="C299" s="17"/>
      <c r="D299" s="16"/>
      <c r="E299" s="16"/>
      <c r="F299" s="16"/>
      <c r="G299" s="17"/>
      <c r="H299" s="15"/>
      <c r="I299" s="20"/>
      <c r="J299" s="18"/>
      <c r="K299" s="18"/>
      <c r="L299" s="19"/>
      <c r="M299" s="20"/>
      <c r="N299" s="20"/>
      <c r="O299" s="20"/>
      <c r="P299" s="20"/>
      <c r="Q299" s="21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1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1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1">
        <f>IFERROR(__xludf.DUMMYFUNCTION("""COMPUTED_VALUE"""),0.0)</f>
        <v>0</v>
      </c>
      <c r="BD299" s="21">
        <f>IFERROR(__xludf.DUMMYFUNCTION("""COMPUTED_VALUE"""),0.0)</f>
        <v>0</v>
      </c>
      <c r="BE299" s="21">
        <f>IFERROR(__xludf.DUMMYFUNCTION("""COMPUTED_VALUE"""),0.0)</f>
        <v>0</v>
      </c>
      <c r="BF299" s="22">
        <f>IFERROR(__xludf.DUMMYFUNCTION("""COMPUTED_VALUE"""),0.0)</f>
        <v>0</v>
      </c>
      <c r="BG299" s="20"/>
      <c r="BH299" s="20"/>
      <c r="BI299" s="20"/>
      <c r="BJ299" s="14"/>
      <c r="BK299" s="14"/>
      <c r="BL299" s="14"/>
      <c r="BM299" s="14"/>
      <c r="BN299" s="14"/>
      <c r="BO299" s="14"/>
    </row>
    <row r="300">
      <c r="A300" s="6" t="str">
        <f>IFERROR(__xludf.DUMMYFUNCTION("""COMPUTED_VALUE"""),"")</f>
        <v/>
      </c>
      <c r="B300" s="7"/>
      <c r="C300" s="8"/>
      <c r="D300" s="7"/>
      <c r="E300" s="7"/>
      <c r="F300" s="7"/>
      <c r="G300" s="8"/>
      <c r="H300" s="6"/>
      <c r="I300" s="12"/>
      <c r="J300" s="9"/>
      <c r="K300" s="9"/>
      <c r="L300" s="10"/>
      <c r="M300" s="12"/>
      <c r="N300" s="12"/>
      <c r="O300" s="12"/>
      <c r="P300" s="12"/>
      <c r="Q300" s="11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1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1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1">
        <f>IFERROR(__xludf.DUMMYFUNCTION("""COMPUTED_VALUE"""),0.0)</f>
        <v>0</v>
      </c>
      <c r="BD300" s="11">
        <f>IFERROR(__xludf.DUMMYFUNCTION("""COMPUTED_VALUE"""),0.0)</f>
        <v>0</v>
      </c>
      <c r="BE300" s="11">
        <f>IFERROR(__xludf.DUMMYFUNCTION("""COMPUTED_VALUE"""),0.0)</f>
        <v>0</v>
      </c>
      <c r="BF300" s="13">
        <f>IFERROR(__xludf.DUMMYFUNCTION("""COMPUTED_VALUE"""),0.0)</f>
        <v>0</v>
      </c>
      <c r="BG300" s="12"/>
      <c r="BH300" s="12"/>
      <c r="BI300" s="12"/>
      <c r="BJ300" s="14"/>
      <c r="BK300" s="14"/>
      <c r="BL300" s="14"/>
      <c r="BM300" s="14"/>
      <c r="BN300" s="14"/>
      <c r="BO300" s="14"/>
    </row>
    <row r="301">
      <c r="A301" s="15" t="str">
        <f>IFERROR(__xludf.DUMMYFUNCTION("""COMPUTED_VALUE"""),"")</f>
        <v/>
      </c>
      <c r="B301" s="16"/>
      <c r="C301" s="17"/>
      <c r="D301" s="16"/>
      <c r="E301" s="16"/>
      <c r="F301" s="16"/>
      <c r="G301" s="17"/>
      <c r="H301" s="15"/>
      <c r="I301" s="18"/>
      <c r="J301" s="18"/>
      <c r="K301" s="18"/>
      <c r="L301" s="19"/>
      <c r="M301" s="20"/>
      <c r="N301" s="20"/>
      <c r="O301" s="20"/>
      <c r="P301" s="20"/>
      <c r="Q301" s="21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1">
        <f>IFERROR(__xludf.DUMMYFUNCTION("""COMPUTED_VALUE"""),0.0)</f>
        <v>0</v>
      </c>
      <c r="BD301" s="21">
        <f>IFERROR(__xludf.DUMMYFUNCTION("""COMPUTED_VALUE"""),0.0)</f>
        <v>0</v>
      </c>
      <c r="BE301" s="21">
        <f>IFERROR(__xludf.DUMMYFUNCTION("""COMPUTED_VALUE"""),0.0)</f>
        <v>0</v>
      </c>
      <c r="BF301" s="22">
        <f>IFERROR(__xludf.DUMMYFUNCTION("""COMPUTED_VALUE"""),0.0)</f>
        <v>0</v>
      </c>
      <c r="BG301" s="20"/>
      <c r="BH301" s="20"/>
      <c r="BI301" s="20"/>
      <c r="BJ301" s="14"/>
      <c r="BK301" s="14"/>
      <c r="BL301" s="14"/>
      <c r="BM301" s="14"/>
      <c r="BN301" s="14"/>
      <c r="BO301" s="14"/>
    </row>
    <row r="302">
      <c r="A302" s="6" t="str">
        <f>IFERROR(__xludf.DUMMYFUNCTION("""COMPUTED_VALUE"""),"")</f>
        <v/>
      </c>
      <c r="B302" s="7"/>
      <c r="C302" s="8"/>
      <c r="D302" s="7"/>
      <c r="E302" s="7"/>
      <c r="F302" s="7"/>
      <c r="G302" s="8"/>
      <c r="H302" s="6"/>
      <c r="I302" s="12"/>
      <c r="J302" s="9"/>
      <c r="K302" s="9"/>
      <c r="L302" s="10"/>
      <c r="M302" s="12"/>
      <c r="N302" s="12"/>
      <c r="O302" s="12"/>
      <c r="P302" s="12"/>
      <c r="Q302" s="11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1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1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1">
        <f>IFERROR(__xludf.DUMMYFUNCTION("""COMPUTED_VALUE"""),0.0)</f>
        <v>0</v>
      </c>
      <c r="BD302" s="11">
        <f>IFERROR(__xludf.DUMMYFUNCTION("""COMPUTED_VALUE"""),0.0)</f>
        <v>0</v>
      </c>
      <c r="BE302" s="11">
        <f>IFERROR(__xludf.DUMMYFUNCTION("""COMPUTED_VALUE"""),0.0)</f>
        <v>0</v>
      </c>
      <c r="BF302" s="13">
        <f>IFERROR(__xludf.DUMMYFUNCTION("""COMPUTED_VALUE"""),0.0)</f>
        <v>0</v>
      </c>
      <c r="BG302" s="12"/>
      <c r="BH302" s="12"/>
      <c r="BI302" s="12"/>
      <c r="BJ302" s="14"/>
      <c r="BK302" s="14"/>
      <c r="BL302" s="14"/>
      <c r="BM302" s="14"/>
      <c r="BN302" s="14"/>
      <c r="BO302" s="14"/>
    </row>
    <row r="303">
      <c r="A303" s="15" t="str">
        <f>IFERROR(__xludf.DUMMYFUNCTION("""COMPUTED_VALUE"""),"")</f>
        <v/>
      </c>
      <c r="B303" s="16"/>
      <c r="C303" s="17"/>
      <c r="D303" s="16"/>
      <c r="E303" s="16"/>
      <c r="F303" s="16"/>
      <c r="G303" s="17"/>
      <c r="H303" s="15"/>
      <c r="I303" s="20"/>
      <c r="J303" s="18"/>
      <c r="K303" s="18"/>
      <c r="L303" s="19"/>
      <c r="M303" s="20"/>
      <c r="N303" s="20"/>
      <c r="O303" s="20"/>
      <c r="P303" s="21"/>
      <c r="Q303" s="21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1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1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1">
        <f>IFERROR(__xludf.DUMMYFUNCTION("""COMPUTED_VALUE"""),0.0)</f>
        <v>0</v>
      </c>
      <c r="BD303" s="21">
        <f>IFERROR(__xludf.DUMMYFUNCTION("""COMPUTED_VALUE"""),0.0)</f>
        <v>0</v>
      </c>
      <c r="BE303" s="21">
        <f>IFERROR(__xludf.DUMMYFUNCTION("""COMPUTED_VALUE"""),0.0)</f>
        <v>0</v>
      </c>
      <c r="BF303" s="22">
        <f>IFERROR(__xludf.DUMMYFUNCTION("""COMPUTED_VALUE"""),0.0)</f>
        <v>0</v>
      </c>
      <c r="BG303" s="20"/>
      <c r="BH303" s="20"/>
      <c r="BI303" s="20"/>
      <c r="BJ303" s="14"/>
      <c r="BK303" s="14"/>
      <c r="BL303" s="14"/>
      <c r="BM303" s="14"/>
      <c r="BN303" s="14"/>
      <c r="BO303" s="14"/>
    </row>
    <row r="304">
      <c r="A304" s="6" t="str">
        <f>IFERROR(__xludf.DUMMYFUNCTION("""COMPUTED_VALUE"""),"")</f>
        <v/>
      </c>
      <c r="B304" s="7"/>
      <c r="C304" s="8"/>
      <c r="D304" s="7"/>
      <c r="E304" s="7"/>
      <c r="F304" s="7"/>
      <c r="G304" s="8"/>
      <c r="H304" s="6"/>
      <c r="I304" s="12"/>
      <c r="J304" s="9"/>
      <c r="K304" s="9"/>
      <c r="L304" s="10"/>
      <c r="M304" s="12"/>
      <c r="N304" s="12"/>
      <c r="O304" s="12"/>
      <c r="P304" s="12"/>
      <c r="Q304" s="11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1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1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1">
        <f>IFERROR(__xludf.DUMMYFUNCTION("""COMPUTED_VALUE"""),0.0)</f>
        <v>0</v>
      </c>
      <c r="BD304" s="11">
        <f>IFERROR(__xludf.DUMMYFUNCTION("""COMPUTED_VALUE"""),0.0)</f>
        <v>0</v>
      </c>
      <c r="BE304" s="11">
        <f>IFERROR(__xludf.DUMMYFUNCTION("""COMPUTED_VALUE"""),0.0)</f>
        <v>0</v>
      </c>
      <c r="BF304" s="13">
        <f>IFERROR(__xludf.DUMMYFUNCTION("""COMPUTED_VALUE"""),0.0)</f>
        <v>0</v>
      </c>
      <c r="BG304" s="12"/>
      <c r="BH304" s="12"/>
      <c r="BI304" s="12"/>
      <c r="BJ304" s="14"/>
      <c r="BK304" s="14"/>
      <c r="BL304" s="14"/>
      <c r="BM304" s="14"/>
      <c r="BN304" s="14"/>
      <c r="BO304" s="14"/>
    </row>
    <row r="305">
      <c r="A305" s="15" t="str">
        <f>IFERROR(__xludf.DUMMYFUNCTION("""COMPUTED_VALUE"""),"")</f>
        <v/>
      </c>
      <c r="B305" s="16"/>
      <c r="C305" s="17"/>
      <c r="D305" s="16"/>
      <c r="E305" s="16"/>
      <c r="F305" s="16"/>
      <c r="G305" s="17"/>
      <c r="H305" s="15"/>
      <c r="I305" s="18"/>
      <c r="J305" s="18"/>
      <c r="K305" s="18"/>
      <c r="L305" s="19"/>
      <c r="M305" s="20"/>
      <c r="N305" s="20"/>
      <c r="O305" s="20"/>
      <c r="P305" s="21"/>
      <c r="Q305" s="21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1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1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1">
        <f>IFERROR(__xludf.DUMMYFUNCTION("""COMPUTED_VALUE"""),0.0)</f>
        <v>0</v>
      </c>
      <c r="BD305" s="21">
        <f>IFERROR(__xludf.DUMMYFUNCTION("""COMPUTED_VALUE"""),0.0)</f>
        <v>0</v>
      </c>
      <c r="BE305" s="21">
        <f>IFERROR(__xludf.DUMMYFUNCTION("""COMPUTED_VALUE"""),0.0)</f>
        <v>0</v>
      </c>
      <c r="BF305" s="22">
        <f>IFERROR(__xludf.DUMMYFUNCTION("""COMPUTED_VALUE"""),0.0)</f>
        <v>0</v>
      </c>
      <c r="BG305" s="20"/>
      <c r="BH305" s="20"/>
      <c r="BI305" s="20"/>
      <c r="BJ305" s="14"/>
      <c r="BK305" s="14"/>
      <c r="BL305" s="14"/>
      <c r="BM305" s="14"/>
      <c r="BN305" s="14"/>
      <c r="BO305" s="14"/>
    </row>
    <row r="306">
      <c r="A306" s="6" t="str">
        <f>IFERROR(__xludf.DUMMYFUNCTION("""COMPUTED_VALUE"""),"")</f>
        <v/>
      </c>
      <c r="B306" s="7"/>
      <c r="C306" s="8"/>
      <c r="D306" s="7"/>
      <c r="E306" s="7"/>
      <c r="F306" s="7"/>
      <c r="G306" s="8"/>
      <c r="H306" s="6"/>
      <c r="I306" s="12"/>
      <c r="J306" s="9"/>
      <c r="K306" s="9"/>
      <c r="L306" s="10"/>
      <c r="M306" s="11"/>
      <c r="N306" s="12"/>
      <c r="O306" s="11"/>
      <c r="P306" s="11"/>
      <c r="Q306" s="11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1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1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1">
        <f>IFERROR(__xludf.DUMMYFUNCTION("""COMPUTED_VALUE"""),0.0)</f>
        <v>0</v>
      </c>
      <c r="BD306" s="11">
        <f>IFERROR(__xludf.DUMMYFUNCTION("""COMPUTED_VALUE"""),0.0)</f>
        <v>0</v>
      </c>
      <c r="BE306" s="11">
        <f>IFERROR(__xludf.DUMMYFUNCTION("""COMPUTED_VALUE"""),0.0)</f>
        <v>0</v>
      </c>
      <c r="BF306" s="13">
        <f>IFERROR(__xludf.DUMMYFUNCTION("""COMPUTED_VALUE"""),0.0)</f>
        <v>0</v>
      </c>
      <c r="BG306" s="12"/>
      <c r="BH306" s="12"/>
      <c r="BI306" s="12"/>
      <c r="BJ306" s="14"/>
      <c r="BK306" s="14"/>
      <c r="BL306" s="14"/>
      <c r="BM306" s="14"/>
      <c r="BN306" s="14"/>
      <c r="BO306" s="14"/>
    </row>
    <row r="307">
      <c r="A307" s="15" t="str">
        <f>IFERROR(__xludf.DUMMYFUNCTION("""COMPUTED_VALUE"""),"")</f>
        <v/>
      </c>
      <c r="B307" s="16"/>
      <c r="C307" s="17"/>
      <c r="D307" s="16"/>
      <c r="E307" s="16"/>
      <c r="F307" s="16"/>
      <c r="G307" s="17"/>
      <c r="H307" s="15"/>
      <c r="I307" s="20"/>
      <c r="J307" s="18"/>
      <c r="K307" s="18"/>
      <c r="L307" s="19"/>
      <c r="M307" s="20"/>
      <c r="N307" s="20"/>
      <c r="O307" s="20"/>
      <c r="P307" s="20"/>
      <c r="Q307" s="21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1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1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1">
        <f>IFERROR(__xludf.DUMMYFUNCTION("""COMPUTED_VALUE"""),0.0)</f>
        <v>0</v>
      </c>
      <c r="BD307" s="21">
        <f>IFERROR(__xludf.DUMMYFUNCTION("""COMPUTED_VALUE"""),0.0)</f>
        <v>0</v>
      </c>
      <c r="BE307" s="21">
        <f>IFERROR(__xludf.DUMMYFUNCTION("""COMPUTED_VALUE"""),0.0)</f>
        <v>0</v>
      </c>
      <c r="BF307" s="22">
        <f>IFERROR(__xludf.DUMMYFUNCTION("""COMPUTED_VALUE"""),0.0)</f>
        <v>0</v>
      </c>
      <c r="BG307" s="20"/>
      <c r="BH307" s="20"/>
      <c r="BI307" s="20"/>
      <c r="BJ307" s="14"/>
      <c r="BK307" s="14"/>
      <c r="BL307" s="14"/>
      <c r="BM307" s="14"/>
      <c r="BN307" s="14"/>
      <c r="BO307" s="14"/>
    </row>
    <row r="308">
      <c r="A308" s="6" t="str">
        <f>IFERROR(__xludf.DUMMYFUNCTION("""COMPUTED_VALUE"""),"")</f>
        <v/>
      </c>
      <c r="B308" s="7"/>
      <c r="C308" s="8"/>
      <c r="D308" s="7"/>
      <c r="E308" s="7"/>
      <c r="F308" s="7"/>
      <c r="G308" s="8"/>
      <c r="H308" s="6"/>
      <c r="I308" s="9"/>
      <c r="J308" s="9"/>
      <c r="K308" s="9"/>
      <c r="L308" s="10"/>
      <c r="M308" s="12"/>
      <c r="N308" s="12"/>
      <c r="O308" s="12"/>
      <c r="P308" s="12"/>
      <c r="Q308" s="11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1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1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1">
        <f>IFERROR(__xludf.DUMMYFUNCTION("""COMPUTED_VALUE"""),0.0)</f>
        <v>0</v>
      </c>
      <c r="BD308" s="11">
        <f>IFERROR(__xludf.DUMMYFUNCTION("""COMPUTED_VALUE"""),0.0)</f>
        <v>0</v>
      </c>
      <c r="BE308" s="11">
        <f>IFERROR(__xludf.DUMMYFUNCTION("""COMPUTED_VALUE"""),0.0)</f>
        <v>0</v>
      </c>
      <c r="BF308" s="13">
        <f>IFERROR(__xludf.DUMMYFUNCTION("""COMPUTED_VALUE"""),0.0)</f>
        <v>0</v>
      </c>
      <c r="BG308" s="12"/>
      <c r="BH308" s="12"/>
      <c r="BI308" s="12"/>
      <c r="BJ308" s="14"/>
      <c r="BK308" s="14"/>
      <c r="BL308" s="14"/>
      <c r="BM308" s="14"/>
      <c r="BN308" s="14"/>
      <c r="BO308" s="14"/>
    </row>
    <row r="309">
      <c r="A309" s="15" t="str">
        <f>IFERROR(__xludf.DUMMYFUNCTION("""COMPUTED_VALUE"""),"")</f>
        <v/>
      </c>
      <c r="B309" s="16"/>
      <c r="C309" s="17"/>
      <c r="D309" s="16"/>
      <c r="E309" s="16"/>
      <c r="F309" s="16"/>
      <c r="G309" s="17"/>
      <c r="H309" s="15"/>
      <c r="I309" s="20"/>
      <c r="J309" s="18"/>
      <c r="K309" s="18"/>
      <c r="L309" s="19"/>
      <c r="M309" s="20"/>
      <c r="N309" s="20"/>
      <c r="O309" s="20"/>
      <c r="P309" s="20"/>
      <c r="Q309" s="21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1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1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1">
        <f>IFERROR(__xludf.DUMMYFUNCTION("""COMPUTED_VALUE"""),0.0)</f>
        <v>0</v>
      </c>
      <c r="BD309" s="21">
        <f>IFERROR(__xludf.DUMMYFUNCTION("""COMPUTED_VALUE"""),0.0)</f>
        <v>0</v>
      </c>
      <c r="BE309" s="21">
        <f>IFERROR(__xludf.DUMMYFUNCTION("""COMPUTED_VALUE"""),0.0)</f>
        <v>0</v>
      </c>
      <c r="BF309" s="22">
        <f>IFERROR(__xludf.DUMMYFUNCTION("""COMPUTED_VALUE"""),0.0)</f>
        <v>0</v>
      </c>
      <c r="BG309" s="20"/>
      <c r="BH309" s="20"/>
      <c r="BI309" s="20"/>
      <c r="BJ309" s="14"/>
      <c r="BK309" s="14"/>
      <c r="BL309" s="14"/>
      <c r="BM309" s="14"/>
      <c r="BN309" s="14"/>
      <c r="BO309" s="14"/>
    </row>
    <row r="310">
      <c r="A310" s="6" t="str">
        <f>IFERROR(__xludf.DUMMYFUNCTION("""COMPUTED_VALUE"""),"")</f>
        <v/>
      </c>
      <c r="B310" s="7"/>
      <c r="C310" s="8"/>
      <c r="D310" s="7"/>
      <c r="E310" s="7"/>
      <c r="F310" s="7"/>
      <c r="G310" s="8"/>
      <c r="H310" s="6"/>
      <c r="I310" s="12"/>
      <c r="J310" s="9"/>
      <c r="K310" s="9"/>
      <c r="L310" s="10"/>
      <c r="M310" s="12"/>
      <c r="N310" s="12"/>
      <c r="O310" s="12"/>
      <c r="P310" s="12"/>
      <c r="Q310" s="11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1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1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1">
        <f>IFERROR(__xludf.DUMMYFUNCTION("""COMPUTED_VALUE"""),0.0)</f>
        <v>0</v>
      </c>
      <c r="BD310" s="11">
        <f>IFERROR(__xludf.DUMMYFUNCTION("""COMPUTED_VALUE"""),0.0)</f>
        <v>0</v>
      </c>
      <c r="BE310" s="11">
        <f>IFERROR(__xludf.DUMMYFUNCTION("""COMPUTED_VALUE"""),0.0)</f>
        <v>0</v>
      </c>
      <c r="BF310" s="13">
        <f>IFERROR(__xludf.DUMMYFUNCTION("""COMPUTED_VALUE"""),0.0)</f>
        <v>0</v>
      </c>
      <c r="BG310" s="12"/>
      <c r="BH310" s="12"/>
      <c r="BI310" s="12"/>
      <c r="BJ310" s="14"/>
      <c r="BK310" s="14"/>
      <c r="BL310" s="14"/>
      <c r="BM310" s="14"/>
      <c r="BN310" s="14"/>
      <c r="BO310" s="14"/>
    </row>
    <row r="311">
      <c r="A311" s="15" t="str">
        <f>IFERROR(__xludf.DUMMYFUNCTION("""COMPUTED_VALUE"""),"")</f>
        <v/>
      </c>
      <c r="B311" s="16"/>
      <c r="C311" s="17"/>
      <c r="D311" s="16"/>
      <c r="E311" s="16"/>
      <c r="F311" s="16"/>
      <c r="G311" s="17"/>
      <c r="H311" s="15"/>
      <c r="I311" s="20"/>
      <c r="J311" s="18"/>
      <c r="K311" s="18"/>
      <c r="L311" s="19"/>
      <c r="M311" s="21"/>
      <c r="N311" s="20"/>
      <c r="O311" s="20"/>
      <c r="P311" s="21"/>
      <c r="Q311" s="21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1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1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1">
        <f>IFERROR(__xludf.DUMMYFUNCTION("""COMPUTED_VALUE"""),0.0)</f>
        <v>0</v>
      </c>
      <c r="BD311" s="21">
        <f>IFERROR(__xludf.DUMMYFUNCTION("""COMPUTED_VALUE"""),0.0)</f>
        <v>0</v>
      </c>
      <c r="BE311" s="21">
        <f>IFERROR(__xludf.DUMMYFUNCTION("""COMPUTED_VALUE"""),0.0)</f>
        <v>0</v>
      </c>
      <c r="BF311" s="22">
        <f>IFERROR(__xludf.DUMMYFUNCTION("""COMPUTED_VALUE"""),0.0)</f>
        <v>0</v>
      </c>
      <c r="BG311" s="20"/>
      <c r="BH311" s="20"/>
      <c r="BI311" s="20"/>
      <c r="BJ311" s="14"/>
      <c r="BK311" s="14"/>
      <c r="BL311" s="14"/>
      <c r="BM311" s="14"/>
      <c r="BN311" s="14"/>
      <c r="BO311" s="14"/>
    </row>
    <row r="312">
      <c r="A312" s="6" t="str">
        <f>IFERROR(__xludf.DUMMYFUNCTION("""COMPUTED_VALUE"""),"")</f>
        <v/>
      </c>
      <c r="B312" s="7"/>
      <c r="C312" s="8"/>
      <c r="D312" s="7"/>
      <c r="E312" s="7"/>
      <c r="F312" s="7"/>
      <c r="G312" s="8"/>
      <c r="H312" s="6"/>
      <c r="I312" s="9"/>
      <c r="J312" s="9"/>
      <c r="K312" s="9"/>
      <c r="L312" s="10"/>
      <c r="M312" s="12"/>
      <c r="N312" s="12"/>
      <c r="O312" s="12"/>
      <c r="P312" s="12"/>
      <c r="Q312" s="11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1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1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1">
        <f>IFERROR(__xludf.DUMMYFUNCTION("""COMPUTED_VALUE"""),0.0)</f>
        <v>0</v>
      </c>
      <c r="BD312" s="11">
        <f>IFERROR(__xludf.DUMMYFUNCTION("""COMPUTED_VALUE"""),0.0)</f>
        <v>0</v>
      </c>
      <c r="BE312" s="11">
        <f>IFERROR(__xludf.DUMMYFUNCTION("""COMPUTED_VALUE"""),0.0)</f>
        <v>0</v>
      </c>
      <c r="BF312" s="13">
        <f>IFERROR(__xludf.DUMMYFUNCTION("""COMPUTED_VALUE"""),0.0)</f>
        <v>0</v>
      </c>
      <c r="BG312" s="12"/>
      <c r="BH312" s="12"/>
      <c r="BI312" s="12"/>
      <c r="BJ312" s="14"/>
      <c r="BK312" s="14"/>
      <c r="BL312" s="14"/>
      <c r="BM312" s="14"/>
      <c r="BN312" s="14"/>
      <c r="BO312" s="14"/>
    </row>
    <row r="313">
      <c r="A313" s="15" t="str">
        <f>IFERROR(__xludf.DUMMYFUNCTION("""COMPUTED_VALUE"""),"")</f>
        <v/>
      </c>
      <c r="B313" s="16"/>
      <c r="C313" s="17"/>
      <c r="D313" s="16"/>
      <c r="E313" s="16"/>
      <c r="F313" s="16"/>
      <c r="G313" s="17"/>
      <c r="H313" s="15"/>
      <c r="I313" s="20"/>
      <c r="J313" s="18"/>
      <c r="K313" s="18"/>
      <c r="L313" s="19"/>
      <c r="M313" s="20"/>
      <c r="N313" s="20"/>
      <c r="O313" s="20"/>
      <c r="P313" s="21"/>
      <c r="Q313" s="21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1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1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1">
        <f>IFERROR(__xludf.DUMMYFUNCTION("""COMPUTED_VALUE"""),0.0)</f>
        <v>0</v>
      </c>
      <c r="BD313" s="21">
        <f>IFERROR(__xludf.DUMMYFUNCTION("""COMPUTED_VALUE"""),0.0)</f>
        <v>0</v>
      </c>
      <c r="BE313" s="21">
        <f>IFERROR(__xludf.DUMMYFUNCTION("""COMPUTED_VALUE"""),0.0)</f>
        <v>0</v>
      </c>
      <c r="BF313" s="22">
        <f>IFERROR(__xludf.DUMMYFUNCTION("""COMPUTED_VALUE"""),0.0)</f>
        <v>0</v>
      </c>
      <c r="BG313" s="20"/>
      <c r="BH313" s="20"/>
      <c r="BI313" s="20"/>
      <c r="BJ313" s="14"/>
      <c r="BK313" s="14"/>
      <c r="BL313" s="14"/>
      <c r="BM313" s="14"/>
      <c r="BN313" s="14"/>
      <c r="BO313" s="14"/>
    </row>
    <row r="314">
      <c r="A314" s="6" t="str">
        <f>IFERROR(__xludf.DUMMYFUNCTION("""COMPUTED_VALUE"""),"")</f>
        <v/>
      </c>
      <c r="B314" s="7"/>
      <c r="C314" s="8"/>
      <c r="D314" s="7"/>
      <c r="E314" s="7"/>
      <c r="F314" s="7"/>
      <c r="G314" s="8"/>
      <c r="H314" s="6"/>
      <c r="I314" s="12"/>
      <c r="J314" s="9"/>
      <c r="K314" s="9"/>
      <c r="L314" s="10"/>
      <c r="M314" s="12"/>
      <c r="N314" s="12"/>
      <c r="O314" s="12"/>
      <c r="P314" s="11"/>
      <c r="Q314" s="11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1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1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1">
        <f>IFERROR(__xludf.DUMMYFUNCTION("""COMPUTED_VALUE"""),0.0)</f>
        <v>0</v>
      </c>
      <c r="BD314" s="11">
        <f>IFERROR(__xludf.DUMMYFUNCTION("""COMPUTED_VALUE"""),0.0)</f>
        <v>0</v>
      </c>
      <c r="BE314" s="11">
        <f>IFERROR(__xludf.DUMMYFUNCTION("""COMPUTED_VALUE"""),0.0)</f>
        <v>0</v>
      </c>
      <c r="BF314" s="13">
        <f>IFERROR(__xludf.DUMMYFUNCTION("""COMPUTED_VALUE"""),0.0)</f>
        <v>0</v>
      </c>
      <c r="BG314" s="12"/>
      <c r="BH314" s="12"/>
      <c r="BI314" s="12"/>
      <c r="BJ314" s="14"/>
      <c r="BK314" s="14"/>
      <c r="BL314" s="14"/>
      <c r="BM314" s="14"/>
      <c r="BN314" s="14"/>
      <c r="BO314" s="14"/>
    </row>
    <row r="315">
      <c r="A315" s="15" t="str">
        <f>IFERROR(__xludf.DUMMYFUNCTION("""COMPUTED_VALUE"""),"")</f>
        <v/>
      </c>
      <c r="B315" s="16"/>
      <c r="C315" s="17"/>
      <c r="D315" s="16"/>
      <c r="E315" s="16"/>
      <c r="F315" s="16"/>
      <c r="G315" s="17"/>
      <c r="H315" s="15"/>
      <c r="I315" s="20"/>
      <c r="J315" s="18"/>
      <c r="K315" s="18"/>
      <c r="L315" s="19"/>
      <c r="M315" s="20"/>
      <c r="N315" s="20"/>
      <c r="O315" s="20"/>
      <c r="P315" s="20"/>
      <c r="Q315" s="21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1">
        <f>IFERROR(__xludf.DUMMYFUNCTION("""COMPUTED_VALUE"""),0.0)</f>
        <v>0</v>
      </c>
      <c r="BD315" s="21">
        <f>IFERROR(__xludf.DUMMYFUNCTION("""COMPUTED_VALUE"""),0.0)</f>
        <v>0</v>
      </c>
      <c r="BE315" s="21">
        <f>IFERROR(__xludf.DUMMYFUNCTION("""COMPUTED_VALUE"""),0.0)</f>
        <v>0</v>
      </c>
      <c r="BF315" s="22">
        <f>IFERROR(__xludf.DUMMYFUNCTION("""COMPUTED_VALUE"""),0.0)</f>
        <v>0</v>
      </c>
      <c r="BG315" s="20"/>
      <c r="BH315" s="20"/>
      <c r="BI315" s="20"/>
      <c r="BJ315" s="14"/>
      <c r="BK315" s="14"/>
      <c r="BL315" s="14"/>
      <c r="BM315" s="14"/>
      <c r="BN315" s="14"/>
      <c r="BO315" s="14"/>
    </row>
    <row r="316">
      <c r="A316" s="6" t="str">
        <f>IFERROR(__xludf.DUMMYFUNCTION("""COMPUTED_VALUE"""),"")</f>
        <v/>
      </c>
      <c r="B316" s="7"/>
      <c r="C316" s="8"/>
      <c r="D316" s="7"/>
      <c r="E316" s="7"/>
      <c r="F316" s="7"/>
      <c r="G316" s="8"/>
      <c r="H316" s="6"/>
      <c r="I316" s="12"/>
      <c r="J316" s="9"/>
      <c r="K316" s="9"/>
      <c r="L316" s="10"/>
      <c r="M316" s="12"/>
      <c r="N316" s="12"/>
      <c r="O316" s="12"/>
      <c r="P316" s="12"/>
      <c r="Q316" s="11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1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1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1">
        <f>IFERROR(__xludf.DUMMYFUNCTION("""COMPUTED_VALUE"""),0.0)</f>
        <v>0</v>
      </c>
      <c r="BD316" s="11">
        <f>IFERROR(__xludf.DUMMYFUNCTION("""COMPUTED_VALUE"""),0.0)</f>
        <v>0</v>
      </c>
      <c r="BE316" s="11">
        <f>IFERROR(__xludf.DUMMYFUNCTION("""COMPUTED_VALUE"""),0.0)</f>
        <v>0</v>
      </c>
      <c r="BF316" s="13">
        <f>IFERROR(__xludf.DUMMYFUNCTION("""COMPUTED_VALUE"""),0.0)</f>
        <v>0</v>
      </c>
      <c r="BG316" s="12"/>
      <c r="BH316" s="12"/>
      <c r="BI316" s="12"/>
      <c r="BJ316" s="14"/>
      <c r="BK316" s="14"/>
      <c r="BL316" s="14"/>
      <c r="BM316" s="14"/>
      <c r="BN316" s="14"/>
      <c r="BO316" s="14"/>
    </row>
    <row r="317">
      <c r="A317" s="15" t="str">
        <f>IFERROR(__xludf.DUMMYFUNCTION("""COMPUTED_VALUE"""),"")</f>
        <v/>
      </c>
      <c r="B317" s="16"/>
      <c r="C317" s="17"/>
      <c r="D317" s="16"/>
      <c r="E317" s="16"/>
      <c r="F317" s="16"/>
      <c r="G317" s="17"/>
      <c r="H317" s="15"/>
      <c r="I317" s="20"/>
      <c r="J317" s="18"/>
      <c r="K317" s="18"/>
      <c r="L317" s="19"/>
      <c r="M317" s="20"/>
      <c r="N317" s="20"/>
      <c r="O317" s="20"/>
      <c r="P317" s="21"/>
      <c r="Q317" s="21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1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1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1">
        <f>IFERROR(__xludf.DUMMYFUNCTION("""COMPUTED_VALUE"""),0.0)</f>
        <v>0</v>
      </c>
      <c r="BD317" s="21">
        <f>IFERROR(__xludf.DUMMYFUNCTION("""COMPUTED_VALUE"""),0.0)</f>
        <v>0</v>
      </c>
      <c r="BE317" s="21">
        <f>IFERROR(__xludf.DUMMYFUNCTION("""COMPUTED_VALUE"""),0.0)</f>
        <v>0</v>
      </c>
      <c r="BF317" s="22">
        <f>IFERROR(__xludf.DUMMYFUNCTION("""COMPUTED_VALUE"""),0.0)</f>
        <v>0</v>
      </c>
      <c r="BG317" s="20"/>
      <c r="BH317" s="20"/>
      <c r="BI317" s="20"/>
      <c r="BJ317" s="14"/>
      <c r="BK317" s="14"/>
      <c r="BL317" s="14"/>
      <c r="BM317" s="14"/>
      <c r="BN317" s="14"/>
      <c r="BO317" s="14"/>
    </row>
    <row r="318">
      <c r="A318" s="6" t="str">
        <f>IFERROR(__xludf.DUMMYFUNCTION("""COMPUTED_VALUE"""),"")</f>
        <v/>
      </c>
      <c r="B318" s="7"/>
      <c r="C318" s="8"/>
      <c r="D318" s="7"/>
      <c r="E318" s="7"/>
      <c r="F318" s="7"/>
      <c r="G318" s="8"/>
      <c r="H318" s="6"/>
      <c r="I318" s="12"/>
      <c r="J318" s="9"/>
      <c r="K318" s="9"/>
      <c r="L318" s="10"/>
      <c r="M318" s="12"/>
      <c r="N318" s="12"/>
      <c r="O318" s="12"/>
      <c r="P318" s="12"/>
      <c r="Q318" s="11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1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1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1">
        <f>IFERROR(__xludf.DUMMYFUNCTION("""COMPUTED_VALUE"""),0.0)</f>
        <v>0</v>
      </c>
      <c r="BD318" s="11">
        <f>IFERROR(__xludf.DUMMYFUNCTION("""COMPUTED_VALUE"""),0.0)</f>
        <v>0</v>
      </c>
      <c r="BE318" s="11">
        <f>IFERROR(__xludf.DUMMYFUNCTION("""COMPUTED_VALUE"""),0.0)</f>
        <v>0</v>
      </c>
      <c r="BF318" s="13">
        <f>IFERROR(__xludf.DUMMYFUNCTION("""COMPUTED_VALUE"""),0.0)</f>
        <v>0</v>
      </c>
      <c r="BG318" s="12"/>
      <c r="BH318" s="12"/>
      <c r="BI318" s="12"/>
      <c r="BJ318" s="14"/>
      <c r="BK318" s="14"/>
      <c r="BL318" s="14"/>
      <c r="BM318" s="14"/>
      <c r="BN318" s="14"/>
      <c r="BO318" s="14"/>
    </row>
    <row r="319">
      <c r="A319" s="15" t="str">
        <f>IFERROR(__xludf.DUMMYFUNCTION("""COMPUTED_VALUE"""),"")</f>
        <v/>
      </c>
      <c r="B319" s="16"/>
      <c r="C319" s="17"/>
      <c r="D319" s="16"/>
      <c r="E319" s="16"/>
      <c r="F319" s="16"/>
      <c r="G319" s="17"/>
      <c r="H319" s="15"/>
      <c r="I319" s="18"/>
      <c r="J319" s="18"/>
      <c r="K319" s="18"/>
      <c r="L319" s="19"/>
      <c r="M319" s="20"/>
      <c r="N319" s="20"/>
      <c r="O319" s="20"/>
      <c r="P319" s="21"/>
      <c r="Q319" s="21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1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1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1">
        <f>IFERROR(__xludf.DUMMYFUNCTION("""COMPUTED_VALUE"""),0.0)</f>
        <v>0</v>
      </c>
      <c r="BD319" s="21">
        <f>IFERROR(__xludf.DUMMYFUNCTION("""COMPUTED_VALUE"""),0.0)</f>
        <v>0</v>
      </c>
      <c r="BE319" s="21">
        <f>IFERROR(__xludf.DUMMYFUNCTION("""COMPUTED_VALUE"""),0.0)</f>
        <v>0</v>
      </c>
      <c r="BF319" s="22">
        <f>IFERROR(__xludf.DUMMYFUNCTION("""COMPUTED_VALUE"""),0.0)</f>
        <v>0</v>
      </c>
      <c r="BG319" s="20"/>
      <c r="BH319" s="20"/>
      <c r="BI319" s="20"/>
      <c r="BJ319" s="14"/>
      <c r="BK319" s="14"/>
      <c r="BL319" s="14"/>
      <c r="BM319" s="14"/>
      <c r="BN319" s="14"/>
      <c r="BO319" s="14"/>
    </row>
    <row r="320">
      <c r="A320" s="6" t="str">
        <f>IFERROR(__xludf.DUMMYFUNCTION("""COMPUTED_VALUE"""),"")</f>
        <v/>
      </c>
      <c r="B320" s="7"/>
      <c r="C320" s="8"/>
      <c r="D320" s="7"/>
      <c r="E320" s="7"/>
      <c r="F320" s="7"/>
      <c r="G320" s="8"/>
      <c r="H320" s="6"/>
      <c r="I320" s="12"/>
      <c r="J320" s="9"/>
      <c r="K320" s="9"/>
      <c r="L320" s="10"/>
      <c r="M320" s="12"/>
      <c r="N320" s="12"/>
      <c r="O320" s="12"/>
      <c r="P320" s="11"/>
      <c r="Q320" s="11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1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1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1">
        <f>IFERROR(__xludf.DUMMYFUNCTION("""COMPUTED_VALUE"""),0.0)</f>
        <v>0</v>
      </c>
      <c r="BD320" s="11">
        <f>IFERROR(__xludf.DUMMYFUNCTION("""COMPUTED_VALUE"""),0.0)</f>
        <v>0</v>
      </c>
      <c r="BE320" s="11">
        <f>IFERROR(__xludf.DUMMYFUNCTION("""COMPUTED_VALUE"""),0.0)</f>
        <v>0</v>
      </c>
      <c r="BF320" s="13">
        <f>IFERROR(__xludf.DUMMYFUNCTION("""COMPUTED_VALUE"""),0.0)</f>
        <v>0</v>
      </c>
      <c r="BG320" s="12"/>
      <c r="BH320" s="12"/>
      <c r="BI320" s="12"/>
      <c r="BJ320" s="14"/>
      <c r="BK320" s="14"/>
      <c r="BL320" s="14"/>
      <c r="BM320" s="14"/>
      <c r="BN320" s="14"/>
      <c r="BO320" s="14"/>
    </row>
    <row r="321">
      <c r="A321" s="15" t="str">
        <f>IFERROR(__xludf.DUMMYFUNCTION("""COMPUTED_VALUE"""),"")</f>
        <v/>
      </c>
      <c r="B321" s="16"/>
      <c r="C321" s="17"/>
      <c r="D321" s="16"/>
      <c r="E321" s="16"/>
      <c r="F321" s="16"/>
      <c r="G321" s="17"/>
      <c r="H321" s="15"/>
      <c r="I321" s="20"/>
      <c r="J321" s="18"/>
      <c r="K321" s="18"/>
      <c r="L321" s="19"/>
      <c r="M321" s="20"/>
      <c r="N321" s="20"/>
      <c r="O321" s="20"/>
      <c r="P321" s="20"/>
      <c r="Q321" s="21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1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1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1">
        <f>IFERROR(__xludf.DUMMYFUNCTION("""COMPUTED_VALUE"""),0.0)</f>
        <v>0</v>
      </c>
      <c r="BD321" s="21">
        <f>IFERROR(__xludf.DUMMYFUNCTION("""COMPUTED_VALUE"""),0.0)</f>
        <v>0</v>
      </c>
      <c r="BE321" s="21">
        <f>IFERROR(__xludf.DUMMYFUNCTION("""COMPUTED_VALUE"""),0.0)</f>
        <v>0</v>
      </c>
      <c r="BF321" s="22">
        <f>IFERROR(__xludf.DUMMYFUNCTION("""COMPUTED_VALUE"""),0.0)</f>
        <v>0</v>
      </c>
      <c r="BG321" s="20"/>
      <c r="BH321" s="20"/>
      <c r="BI321" s="20"/>
      <c r="BJ321" s="14"/>
      <c r="BK321" s="14"/>
      <c r="BL321" s="14"/>
      <c r="BM321" s="14"/>
      <c r="BN321" s="14"/>
      <c r="BO321" s="14"/>
    </row>
    <row r="322">
      <c r="A322" s="6" t="str">
        <f>IFERROR(__xludf.DUMMYFUNCTION("""COMPUTED_VALUE"""),"")</f>
        <v/>
      </c>
      <c r="B322" s="7"/>
      <c r="C322" s="8"/>
      <c r="D322" s="7"/>
      <c r="E322" s="7"/>
      <c r="F322" s="7"/>
      <c r="G322" s="8"/>
      <c r="H322" s="6"/>
      <c r="I322" s="12"/>
      <c r="J322" s="9"/>
      <c r="K322" s="9"/>
      <c r="L322" s="10"/>
      <c r="M322" s="12"/>
      <c r="N322" s="12"/>
      <c r="O322" s="12"/>
      <c r="P322" s="12"/>
      <c r="Q322" s="11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1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1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1">
        <f>IFERROR(__xludf.DUMMYFUNCTION("""COMPUTED_VALUE"""),0.0)</f>
        <v>0</v>
      </c>
      <c r="BD322" s="11">
        <f>IFERROR(__xludf.DUMMYFUNCTION("""COMPUTED_VALUE"""),0.0)</f>
        <v>0</v>
      </c>
      <c r="BE322" s="11">
        <f>IFERROR(__xludf.DUMMYFUNCTION("""COMPUTED_VALUE"""),0.0)</f>
        <v>0</v>
      </c>
      <c r="BF322" s="13">
        <f>IFERROR(__xludf.DUMMYFUNCTION("""COMPUTED_VALUE"""),0.0)</f>
        <v>0</v>
      </c>
      <c r="BG322" s="12"/>
      <c r="BH322" s="12"/>
      <c r="BI322" s="12"/>
      <c r="BJ322" s="14"/>
      <c r="BK322" s="14"/>
      <c r="BL322" s="14"/>
      <c r="BM322" s="14"/>
      <c r="BN322" s="14"/>
      <c r="BO322" s="14"/>
    </row>
    <row r="323">
      <c r="A323" s="15" t="str">
        <f>IFERROR(__xludf.DUMMYFUNCTION("""COMPUTED_VALUE"""),"")</f>
        <v/>
      </c>
      <c r="B323" s="16"/>
      <c r="C323" s="17"/>
      <c r="D323" s="16"/>
      <c r="E323" s="16"/>
      <c r="F323" s="16"/>
      <c r="G323" s="17"/>
      <c r="H323" s="15"/>
      <c r="I323" s="20"/>
      <c r="J323" s="18"/>
      <c r="K323" s="18"/>
      <c r="L323" s="19"/>
      <c r="M323" s="20"/>
      <c r="N323" s="20"/>
      <c r="O323" s="20"/>
      <c r="P323" s="20"/>
      <c r="Q323" s="21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1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1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1">
        <f>IFERROR(__xludf.DUMMYFUNCTION("""COMPUTED_VALUE"""),0.0)</f>
        <v>0</v>
      </c>
      <c r="BD323" s="21">
        <f>IFERROR(__xludf.DUMMYFUNCTION("""COMPUTED_VALUE"""),0.0)</f>
        <v>0</v>
      </c>
      <c r="BE323" s="21">
        <f>IFERROR(__xludf.DUMMYFUNCTION("""COMPUTED_VALUE"""),0.0)</f>
        <v>0</v>
      </c>
      <c r="BF323" s="22">
        <f>IFERROR(__xludf.DUMMYFUNCTION("""COMPUTED_VALUE"""),0.0)</f>
        <v>0</v>
      </c>
      <c r="BG323" s="20"/>
      <c r="BH323" s="20"/>
      <c r="BI323" s="20"/>
      <c r="BJ323" s="14"/>
      <c r="BK323" s="14"/>
      <c r="BL323" s="14"/>
      <c r="BM323" s="14"/>
      <c r="BN323" s="14"/>
      <c r="BO323" s="14"/>
    </row>
    <row r="324">
      <c r="A324" s="6" t="str">
        <f>IFERROR(__xludf.DUMMYFUNCTION("""COMPUTED_VALUE"""),"")</f>
        <v/>
      </c>
      <c r="B324" s="7"/>
      <c r="C324" s="8"/>
      <c r="D324" s="7"/>
      <c r="E324" s="7"/>
      <c r="F324" s="7"/>
      <c r="G324" s="8"/>
      <c r="H324" s="6"/>
      <c r="I324" s="9"/>
      <c r="J324" s="9"/>
      <c r="K324" s="9"/>
      <c r="L324" s="10"/>
      <c r="M324" s="12"/>
      <c r="N324" s="12"/>
      <c r="O324" s="12"/>
      <c r="P324" s="12"/>
      <c r="Q324" s="11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1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1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1">
        <f>IFERROR(__xludf.DUMMYFUNCTION("""COMPUTED_VALUE"""),0.0)</f>
        <v>0</v>
      </c>
      <c r="BD324" s="11">
        <f>IFERROR(__xludf.DUMMYFUNCTION("""COMPUTED_VALUE"""),0.0)</f>
        <v>0</v>
      </c>
      <c r="BE324" s="11">
        <f>IFERROR(__xludf.DUMMYFUNCTION("""COMPUTED_VALUE"""),0.0)</f>
        <v>0</v>
      </c>
      <c r="BF324" s="13">
        <f>IFERROR(__xludf.DUMMYFUNCTION("""COMPUTED_VALUE"""),0.0)</f>
        <v>0</v>
      </c>
      <c r="BG324" s="12"/>
      <c r="BH324" s="12"/>
      <c r="BI324" s="12"/>
      <c r="BJ324" s="14"/>
      <c r="BK324" s="14"/>
      <c r="BL324" s="14"/>
      <c r="BM324" s="14"/>
      <c r="BN324" s="14"/>
      <c r="BO324" s="14"/>
    </row>
    <row r="325">
      <c r="A325" s="15" t="str">
        <f>IFERROR(__xludf.DUMMYFUNCTION("""COMPUTED_VALUE"""),"")</f>
        <v/>
      </c>
      <c r="B325" s="16"/>
      <c r="C325" s="17"/>
      <c r="D325" s="16"/>
      <c r="E325" s="16"/>
      <c r="F325" s="16"/>
      <c r="G325" s="17"/>
      <c r="H325" s="15"/>
      <c r="I325" s="18"/>
      <c r="J325" s="18"/>
      <c r="K325" s="18"/>
      <c r="L325" s="19"/>
      <c r="M325" s="20"/>
      <c r="N325" s="20"/>
      <c r="O325" s="20"/>
      <c r="P325" s="20"/>
      <c r="Q325" s="21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1">
        <f>IFERROR(__xludf.DUMMYFUNCTION("""COMPUTED_VALUE"""),0.0)</f>
        <v>0</v>
      </c>
      <c r="BD325" s="21">
        <f>IFERROR(__xludf.DUMMYFUNCTION("""COMPUTED_VALUE"""),0.0)</f>
        <v>0</v>
      </c>
      <c r="BE325" s="21">
        <f>IFERROR(__xludf.DUMMYFUNCTION("""COMPUTED_VALUE"""),0.0)</f>
        <v>0</v>
      </c>
      <c r="BF325" s="22">
        <f>IFERROR(__xludf.DUMMYFUNCTION("""COMPUTED_VALUE"""),0.0)</f>
        <v>0</v>
      </c>
      <c r="BG325" s="20"/>
      <c r="BH325" s="20"/>
      <c r="BI325" s="20"/>
      <c r="BJ325" s="14"/>
      <c r="BK325" s="14"/>
      <c r="BL325" s="14"/>
      <c r="BM325" s="14"/>
      <c r="BN325" s="14"/>
      <c r="BO325" s="14"/>
    </row>
    <row r="326">
      <c r="A326" s="6" t="str">
        <f>IFERROR(__xludf.DUMMYFUNCTION("""COMPUTED_VALUE"""),"")</f>
        <v/>
      </c>
      <c r="B326" s="7"/>
      <c r="C326" s="8"/>
      <c r="D326" s="7"/>
      <c r="E326" s="7"/>
      <c r="F326" s="7"/>
      <c r="G326" s="8"/>
      <c r="H326" s="6"/>
      <c r="I326" s="12"/>
      <c r="J326" s="9"/>
      <c r="K326" s="9"/>
      <c r="L326" s="10"/>
      <c r="M326" s="12"/>
      <c r="N326" s="12"/>
      <c r="O326" s="12"/>
      <c r="P326" s="12"/>
      <c r="Q326" s="11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1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1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1">
        <f>IFERROR(__xludf.DUMMYFUNCTION("""COMPUTED_VALUE"""),0.0)</f>
        <v>0</v>
      </c>
      <c r="BD326" s="11">
        <f>IFERROR(__xludf.DUMMYFUNCTION("""COMPUTED_VALUE"""),0.0)</f>
        <v>0</v>
      </c>
      <c r="BE326" s="11">
        <f>IFERROR(__xludf.DUMMYFUNCTION("""COMPUTED_VALUE"""),0.0)</f>
        <v>0</v>
      </c>
      <c r="BF326" s="13">
        <f>IFERROR(__xludf.DUMMYFUNCTION("""COMPUTED_VALUE"""),0.0)</f>
        <v>0</v>
      </c>
      <c r="BG326" s="12"/>
      <c r="BH326" s="12"/>
      <c r="BI326" s="12"/>
      <c r="BJ326" s="14"/>
      <c r="BK326" s="14"/>
      <c r="BL326" s="14"/>
      <c r="BM326" s="14"/>
      <c r="BN326" s="14"/>
      <c r="BO326" s="14"/>
    </row>
    <row r="327">
      <c r="A327" s="15" t="str">
        <f>IFERROR(__xludf.DUMMYFUNCTION("""COMPUTED_VALUE"""),"")</f>
        <v/>
      </c>
      <c r="B327" s="16"/>
      <c r="C327" s="17"/>
      <c r="D327" s="16"/>
      <c r="E327" s="16"/>
      <c r="F327" s="16"/>
      <c r="G327" s="17"/>
      <c r="H327" s="15"/>
      <c r="I327" s="18"/>
      <c r="J327" s="18"/>
      <c r="K327" s="18"/>
      <c r="L327" s="19"/>
      <c r="M327" s="20"/>
      <c r="N327" s="20"/>
      <c r="O327" s="20"/>
      <c r="P327" s="20"/>
      <c r="Q327" s="21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1">
        <f>IFERROR(__xludf.DUMMYFUNCTION("""COMPUTED_VALUE"""),0.0)</f>
        <v>0</v>
      </c>
      <c r="BD327" s="21">
        <f>IFERROR(__xludf.DUMMYFUNCTION("""COMPUTED_VALUE"""),0.0)</f>
        <v>0</v>
      </c>
      <c r="BE327" s="21">
        <f>IFERROR(__xludf.DUMMYFUNCTION("""COMPUTED_VALUE"""),0.0)</f>
        <v>0</v>
      </c>
      <c r="BF327" s="22">
        <f>IFERROR(__xludf.DUMMYFUNCTION("""COMPUTED_VALUE"""),0.0)</f>
        <v>0</v>
      </c>
      <c r="BG327" s="20"/>
      <c r="BH327" s="20"/>
      <c r="BI327" s="20"/>
      <c r="BJ327" s="14"/>
      <c r="BK327" s="14"/>
      <c r="BL327" s="14"/>
      <c r="BM327" s="14"/>
      <c r="BN327" s="14"/>
      <c r="BO327" s="14"/>
    </row>
    <row r="328">
      <c r="A328" s="6" t="str">
        <f>IFERROR(__xludf.DUMMYFUNCTION("""COMPUTED_VALUE"""),"")</f>
        <v/>
      </c>
      <c r="B328" s="7"/>
      <c r="C328" s="8"/>
      <c r="D328" s="7"/>
      <c r="E328" s="7"/>
      <c r="F328" s="7"/>
      <c r="G328" s="8"/>
      <c r="H328" s="6"/>
      <c r="I328" s="9"/>
      <c r="J328" s="9"/>
      <c r="K328" s="9"/>
      <c r="L328" s="10"/>
      <c r="M328" s="12"/>
      <c r="N328" s="12"/>
      <c r="O328" s="12"/>
      <c r="P328" s="12"/>
      <c r="Q328" s="11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1">
        <f>IFERROR(__xludf.DUMMYFUNCTION("""COMPUTED_VALUE"""),0.0)</f>
        <v>0</v>
      </c>
      <c r="BD328" s="11">
        <f>IFERROR(__xludf.DUMMYFUNCTION("""COMPUTED_VALUE"""),0.0)</f>
        <v>0</v>
      </c>
      <c r="BE328" s="11">
        <f>IFERROR(__xludf.DUMMYFUNCTION("""COMPUTED_VALUE"""),0.0)</f>
        <v>0</v>
      </c>
      <c r="BF328" s="13">
        <f>IFERROR(__xludf.DUMMYFUNCTION("""COMPUTED_VALUE"""),0.0)</f>
        <v>0</v>
      </c>
      <c r="BG328" s="12"/>
      <c r="BH328" s="12"/>
      <c r="BI328" s="12"/>
      <c r="BJ328" s="14"/>
      <c r="BK328" s="14"/>
      <c r="BL328" s="14"/>
      <c r="BM328" s="14"/>
      <c r="BN328" s="14"/>
      <c r="BO328" s="14"/>
    </row>
    <row r="329">
      <c r="A329" s="15" t="str">
        <f>IFERROR(__xludf.DUMMYFUNCTION("""COMPUTED_VALUE"""),"")</f>
        <v/>
      </c>
      <c r="B329" s="16"/>
      <c r="C329" s="17"/>
      <c r="D329" s="16"/>
      <c r="E329" s="16"/>
      <c r="F329" s="16"/>
      <c r="G329" s="17"/>
      <c r="H329" s="15"/>
      <c r="I329" s="18"/>
      <c r="J329" s="18"/>
      <c r="K329" s="18"/>
      <c r="L329" s="19"/>
      <c r="M329" s="20"/>
      <c r="N329" s="20"/>
      <c r="O329" s="20"/>
      <c r="P329" s="20"/>
      <c r="Q329" s="21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1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1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1">
        <f>IFERROR(__xludf.DUMMYFUNCTION("""COMPUTED_VALUE"""),0.0)</f>
        <v>0</v>
      </c>
      <c r="BD329" s="21">
        <f>IFERROR(__xludf.DUMMYFUNCTION("""COMPUTED_VALUE"""),0.0)</f>
        <v>0</v>
      </c>
      <c r="BE329" s="21">
        <f>IFERROR(__xludf.DUMMYFUNCTION("""COMPUTED_VALUE"""),0.0)</f>
        <v>0</v>
      </c>
      <c r="BF329" s="22">
        <f>IFERROR(__xludf.DUMMYFUNCTION("""COMPUTED_VALUE"""),0.0)</f>
        <v>0</v>
      </c>
      <c r="BG329" s="20"/>
      <c r="BH329" s="20"/>
      <c r="BI329" s="20"/>
      <c r="BJ329" s="14"/>
      <c r="BK329" s="14"/>
      <c r="BL329" s="14"/>
      <c r="BM329" s="14"/>
      <c r="BN329" s="14"/>
      <c r="BO329" s="14"/>
    </row>
    <row r="330">
      <c r="A330" s="6" t="str">
        <f>IFERROR(__xludf.DUMMYFUNCTION("""COMPUTED_VALUE"""),"")</f>
        <v/>
      </c>
      <c r="B330" s="7"/>
      <c r="C330" s="8"/>
      <c r="D330" s="7"/>
      <c r="E330" s="7"/>
      <c r="F330" s="7"/>
      <c r="G330" s="8"/>
      <c r="H330" s="6"/>
      <c r="I330" s="9"/>
      <c r="J330" s="9"/>
      <c r="K330" s="9"/>
      <c r="L330" s="10"/>
      <c r="M330" s="12"/>
      <c r="N330" s="12"/>
      <c r="O330" s="12"/>
      <c r="P330" s="12"/>
      <c r="Q330" s="11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1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1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1">
        <f>IFERROR(__xludf.DUMMYFUNCTION("""COMPUTED_VALUE"""),0.0)</f>
        <v>0</v>
      </c>
      <c r="BD330" s="11">
        <f>IFERROR(__xludf.DUMMYFUNCTION("""COMPUTED_VALUE"""),0.0)</f>
        <v>0</v>
      </c>
      <c r="BE330" s="11">
        <f>IFERROR(__xludf.DUMMYFUNCTION("""COMPUTED_VALUE"""),0.0)</f>
        <v>0</v>
      </c>
      <c r="BF330" s="13">
        <f>IFERROR(__xludf.DUMMYFUNCTION("""COMPUTED_VALUE"""),0.0)</f>
        <v>0</v>
      </c>
      <c r="BG330" s="12"/>
      <c r="BH330" s="12"/>
      <c r="BI330" s="12"/>
      <c r="BJ330" s="14"/>
      <c r="BK330" s="14"/>
      <c r="BL330" s="14"/>
      <c r="BM330" s="14"/>
      <c r="BN330" s="14"/>
      <c r="BO330" s="14"/>
    </row>
    <row r="331">
      <c r="A331" s="15" t="str">
        <f>IFERROR(__xludf.DUMMYFUNCTION("""COMPUTED_VALUE"""),"")</f>
        <v/>
      </c>
      <c r="B331" s="16"/>
      <c r="C331" s="17"/>
      <c r="D331" s="16"/>
      <c r="E331" s="16"/>
      <c r="F331" s="16"/>
      <c r="G331" s="17"/>
      <c r="H331" s="15"/>
      <c r="I331" s="20"/>
      <c r="J331" s="18"/>
      <c r="K331" s="18"/>
      <c r="L331" s="19"/>
      <c r="M331" s="20"/>
      <c r="N331" s="20"/>
      <c r="O331" s="20"/>
      <c r="P331" s="20"/>
      <c r="Q331" s="21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1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1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1">
        <f>IFERROR(__xludf.DUMMYFUNCTION("""COMPUTED_VALUE"""),0.0)</f>
        <v>0</v>
      </c>
      <c r="BD331" s="21">
        <f>IFERROR(__xludf.DUMMYFUNCTION("""COMPUTED_VALUE"""),0.0)</f>
        <v>0</v>
      </c>
      <c r="BE331" s="21">
        <f>IFERROR(__xludf.DUMMYFUNCTION("""COMPUTED_VALUE"""),0.0)</f>
        <v>0</v>
      </c>
      <c r="BF331" s="22">
        <f>IFERROR(__xludf.DUMMYFUNCTION("""COMPUTED_VALUE"""),0.0)</f>
        <v>0</v>
      </c>
      <c r="BG331" s="20"/>
      <c r="BH331" s="20"/>
      <c r="BI331" s="20"/>
      <c r="BJ331" s="14"/>
      <c r="BK331" s="14"/>
      <c r="BL331" s="14"/>
      <c r="BM331" s="14"/>
      <c r="BN331" s="14"/>
      <c r="BO331" s="14"/>
    </row>
    <row r="332">
      <c r="A332" s="6" t="str">
        <f>IFERROR(__xludf.DUMMYFUNCTION("""COMPUTED_VALUE"""),"")</f>
        <v/>
      </c>
      <c r="B332" s="7"/>
      <c r="C332" s="8"/>
      <c r="D332" s="7"/>
      <c r="E332" s="7"/>
      <c r="F332" s="7"/>
      <c r="G332" s="8"/>
      <c r="H332" s="6"/>
      <c r="I332" s="12"/>
      <c r="J332" s="9"/>
      <c r="K332" s="9"/>
      <c r="L332" s="10"/>
      <c r="M332" s="12"/>
      <c r="N332" s="12"/>
      <c r="O332" s="12"/>
      <c r="P332" s="11"/>
      <c r="Q332" s="11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1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1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1">
        <f>IFERROR(__xludf.DUMMYFUNCTION("""COMPUTED_VALUE"""),0.0)</f>
        <v>0</v>
      </c>
      <c r="BD332" s="11">
        <f>IFERROR(__xludf.DUMMYFUNCTION("""COMPUTED_VALUE"""),0.0)</f>
        <v>0</v>
      </c>
      <c r="BE332" s="11">
        <f>IFERROR(__xludf.DUMMYFUNCTION("""COMPUTED_VALUE"""),0.0)</f>
        <v>0</v>
      </c>
      <c r="BF332" s="13">
        <f>IFERROR(__xludf.DUMMYFUNCTION("""COMPUTED_VALUE"""),0.0)</f>
        <v>0</v>
      </c>
      <c r="BG332" s="12"/>
      <c r="BH332" s="12"/>
      <c r="BI332" s="12"/>
      <c r="BJ332" s="14"/>
      <c r="BK332" s="14"/>
      <c r="BL332" s="14"/>
      <c r="BM332" s="14"/>
      <c r="BN332" s="14"/>
      <c r="BO332" s="14"/>
    </row>
    <row r="333">
      <c r="A333" s="15" t="str">
        <f>IFERROR(__xludf.DUMMYFUNCTION("""COMPUTED_VALUE"""),"")</f>
        <v/>
      </c>
      <c r="B333" s="16"/>
      <c r="C333" s="17"/>
      <c r="D333" s="16"/>
      <c r="E333" s="16"/>
      <c r="F333" s="16"/>
      <c r="G333" s="17"/>
      <c r="H333" s="15"/>
      <c r="I333" s="20"/>
      <c r="J333" s="18"/>
      <c r="K333" s="18"/>
      <c r="L333" s="19"/>
      <c r="M333" s="20"/>
      <c r="N333" s="20"/>
      <c r="O333" s="20"/>
      <c r="P333" s="20"/>
      <c r="Q333" s="21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1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1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1">
        <f>IFERROR(__xludf.DUMMYFUNCTION("""COMPUTED_VALUE"""),0.0)</f>
        <v>0</v>
      </c>
      <c r="BD333" s="21">
        <f>IFERROR(__xludf.DUMMYFUNCTION("""COMPUTED_VALUE"""),0.0)</f>
        <v>0</v>
      </c>
      <c r="BE333" s="21">
        <f>IFERROR(__xludf.DUMMYFUNCTION("""COMPUTED_VALUE"""),0.0)</f>
        <v>0</v>
      </c>
      <c r="BF333" s="22">
        <f>IFERROR(__xludf.DUMMYFUNCTION("""COMPUTED_VALUE"""),0.0)</f>
        <v>0</v>
      </c>
      <c r="BG333" s="20"/>
      <c r="BH333" s="20"/>
      <c r="BI333" s="20"/>
      <c r="BJ333" s="14"/>
      <c r="BK333" s="14"/>
      <c r="BL333" s="14"/>
      <c r="BM333" s="14"/>
      <c r="BN333" s="14"/>
      <c r="BO333" s="14"/>
    </row>
    <row r="334">
      <c r="A334" s="6" t="str">
        <f>IFERROR(__xludf.DUMMYFUNCTION("""COMPUTED_VALUE"""),"")</f>
        <v/>
      </c>
      <c r="B334" s="7"/>
      <c r="C334" s="8"/>
      <c r="D334" s="7"/>
      <c r="E334" s="7"/>
      <c r="F334" s="7"/>
      <c r="G334" s="8"/>
      <c r="H334" s="6"/>
      <c r="I334" s="12"/>
      <c r="J334" s="9"/>
      <c r="K334" s="9"/>
      <c r="L334" s="10"/>
      <c r="M334" s="12"/>
      <c r="N334" s="12"/>
      <c r="O334" s="12"/>
      <c r="P334" s="12"/>
      <c r="Q334" s="11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1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1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1">
        <f>IFERROR(__xludf.DUMMYFUNCTION("""COMPUTED_VALUE"""),0.0)</f>
        <v>0</v>
      </c>
      <c r="BD334" s="11">
        <f>IFERROR(__xludf.DUMMYFUNCTION("""COMPUTED_VALUE"""),0.0)</f>
        <v>0</v>
      </c>
      <c r="BE334" s="11">
        <f>IFERROR(__xludf.DUMMYFUNCTION("""COMPUTED_VALUE"""),0.0)</f>
        <v>0</v>
      </c>
      <c r="BF334" s="13">
        <f>IFERROR(__xludf.DUMMYFUNCTION("""COMPUTED_VALUE"""),0.0)</f>
        <v>0</v>
      </c>
      <c r="BG334" s="12"/>
      <c r="BH334" s="12"/>
      <c r="BI334" s="12"/>
      <c r="BJ334" s="14"/>
      <c r="BK334" s="14"/>
      <c r="BL334" s="14"/>
      <c r="BM334" s="14"/>
      <c r="BN334" s="14"/>
      <c r="BO334" s="14"/>
    </row>
    <row r="335">
      <c r="A335" s="15" t="str">
        <f>IFERROR(__xludf.DUMMYFUNCTION("""COMPUTED_VALUE"""),"")</f>
        <v/>
      </c>
      <c r="B335" s="16"/>
      <c r="C335" s="17"/>
      <c r="D335" s="16"/>
      <c r="E335" s="16"/>
      <c r="F335" s="16"/>
      <c r="G335" s="17"/>
      <c r="H335" s="15"/>
      <c r="I335" s="20"/>
      <c r="J335" s="18"/>
      <c r="K335" s="18"/>
      <c r="L335" s="19"/>
      <c r="M335" s="20"/>
      <c r="N335" s="20"/>
      <c r="O335" s="20"/>
      <c r="P335" s="21"/>
      <c r="Q335" s="21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1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1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1">
        <f>IFERROR(__xludf.DUMMYFUNCTION("""COMPUTED_VALUE"""),0.0)</f>
        <v>0</v>
      </c>
      <c r="BD335" s="21">
        <f>IFERROR(__xludf.DUMMYFUNCTION("""COMPUTED_VALUE"""),0.0)</f>
        <v>0</v>
      </c>
      <c r="BE335" s="21">
        <f>IFERROR(__xludf.DUMMYFUNCTION("""COMPUTED_VALUE"""),0.0)</f>
        <v>0</v>
      </c>
      <c r="BF335" s="22">
        <f>IFERROR(__xludf.DUMMYFUNCTION("""COMPUTED_VALUE"""),0.0)</f>
        <v>0</v>
      </c>
      <c r="BG335" s="20"/>
      <c r="BH335" s="20"/>
      <c r="BI335" s="20"/>
      <c r="BJ335" s="14"/>
      <c r="BK335" s="14"/>
      <c r="BL335" s="14"/>
      <c r="BM335" s="14"/>
      <c r="BN335" s="14"/>
      <c r="BO335" s="14"/>
    </row>
    <row r="336">
      <c r="A336" s="6" t="str">
        <f>IFERROR(__xludf.DUMMYFUNCTION("""COMPUTED_VALUE"""),"")</f>
        <v/>
      </c>
      <c r="B336" s="7"/>
      <c r="C336" s="8"/>
      <c r="D336" s="7"/>
      <c r="E336" s="7"/>
      <c r="F336" s="7"/>
      <c r="G336" s="8"/>
      <c r="H336" s="6"/>
      <c r="I336" s="12"/>
      <c r="J336" s="9"/>
      <c r="K336" s="9"/>
      <c r="L336" s="10"/>
      <c r="M336" s="12"/>
      <c r="N336" s="12"/>
      <c r="O336" s="12"/>
      <c r="P336" s="12"/>
      <c r="Q336" s="11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1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1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1">
        <f>IFERROR(__xludf.DUMMYFUNCTION("""COMPUTED_VALUE"""),0.0)</f>
        <v>0</v>
      </c>
      <c r="BD336" s="11">
        <f>IFERROR(__xludf.DUMMYFUNCTION("""COMPUTED_VALUE"""),0.0)</f>
        <v>0</v>
      </c>
      <c r="BE336" s="11">
        <f>IFERROR(__xludf.DUMMYFUNCTION("""COMPUTED_VALUE"""),0.0)</f>
        <v>0</v>
      </c>
      <c r="BF336" s="13">
        <f>IFERROR(__xludf.DUMMYFUNCTION("""COMPUTED_VALUE"""),0.0)</f>
        <v>0</v>
      </c>
      <c r="BG336" s="12"/>
      <c r="BH336" s="12"/>
      <c r="BI336" s="12"/>
      <c r="BJ336" s="14"/>
      <c r="BK336" s="14"/>
      <c r="BL336" s="14"/>
      <c r="BM336" s="14"/>
      <c r="BN336" s="14"/>
      <c r="BO336" s="14"/>
    </row>
    <row r="337">
      <c r="A337" s="15" t="str">
        <f>IFERROR(__xludf.DUMMYFUNCTION("""COMPUTED_VALUE"""),"")</f>
        <v/>
      </c>
      <c r="B337" s="16"/>
      <c r="C337" s="17"/>
      <c r="D337" s="16"/>
      <c r="E337" s="16"/>
      <c r="F337" s="16"/>
      <c r="G337" s="17"/>
      <c r="H337" s="15"/>
      <c r="I337" s="20"/>
      <c r="J337" s="18"/>
      <c r="K337" s="18"/>
      <c r="L337" s="19"/>
      <c r="M337" s="20"/>
      <c r="N337" s="20"/>
      <c r="O337" s="20"/>
      <c r="P337" s="20"/>
      <c r="Q337" s="21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1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1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1">
        <f>IFERROR(__xludf.DUMMYFUNCTION("""COMPUTED_VALUE"""),0.0)</f>
        <v>0</v>
      </c>
      <c r="BD337" s="21">
        <f>IFERROR(__xludf.DUMMYFUNCTION("""COMPUTED_VALUE"""),0.0)</f>
        <v>0</v>
      </c>
      <c r="BE337" s="21">
        <f>IFERROR(__xludf.DUMMYFUNCTION("""COMPUTED_VALUE"""),0.0)</f>
        <v>0</v>
      </c>
      <c r="BF337" s="22">
        <f>IFERROR(__xludf.DUMMYFUNCTION("""COMPUTED_VALUE"""),0.0)</f>
        <v>0</v>
      </c>
      <c r="BG337" s="20"/>
      <c r="BH337" s="20"/>
      <c r="BI337" s="20"/>
      <c r="BJ337" s="14"/>
      <c r="BK337" s="14"/>
      <c r="BL337" s="14"/>
      <c r="BM337" s="14"/>
      <c r="BN337" s="14"/>
      <c r="BO337" s="14"/>
    </row>
    <row r="338">
      <c r="A338" s="6" t="str">
        <f>IFERROR(__xludf.DUMMYFUNCTION("""COMPUTED_VALUE"""),"")</f>
        <v/>
      </c>
      <c r="B338" s="7"/>
      <c r="C338" s="8"/>
      <c r="D338" s="7"/>
      <c r="E338" s="7"/>
      <c r="F338" s="7"/>
      <c r="G338" s="8"/>
      <c r="H338" s="6"/>
      <c r="I338" s="12"/>
      <c r="J338" s="9"/>
      <c r="K338" s="9"/>
      <c r="L338" s="10"/>
      <c r="M338" s="12"/>
      <c r="N338" s="12"/>
      <c r="O338" s="12"/>
      <c r="P338" s="11"/>
      <c r="Q338" s="11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1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1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1">
        <f>IFERROR(__xludf.DUMMYFUNCTION("""COMPUTED_VALUE"""),0.0)</f>
        <v>0</v>
      </c>
      <c r="BD338" s="11">
        <f>IFERROR(__xludf.DUMMYFUNCTION("""COMPUTED_VALUE"""),0.0)</f>
        <v>0</v>
      </c>
      <c r="BE338" s="11">
        <f>IFERROR(__xludf.DUMMYFUNCTION("""COMPUTED_VALUE"""),0.0)</f>
        <v>0</v>
      </c>
      <c r="BF338" s="13">
        <f>IFERROR(__xludf.DUMMYFUNCTION("""COMPUTED_VALUE"""),0.0)</f>
        <v>0</v>
      </c>
      <c r="BG338" s="12"/>
      <c r="BH338" s="12"/>
      <c r="BI338" s="12"/>
      <c r="BJ338" s="14"/>
      <c r="BK338" s="14"/>
      <c r="BL338" s="14"/>
      <c r="BM338" s="14"/>
      <c r="BN338" s="14"/>
      <c r="BO338" s="14"/>
    </row>
    <row r="339">
      <c r="A339" s="15" t="str">
        <f>IFERROR(__xludf.DUMMYFUNCTION("""COMPUTED_VALUE"""),"")</f>
        <v/>
      </c>
      <c r="B339" s="16"/>
      <c r="C339" s="17"/>
      <c r="D339" s="16"/>
      <c r="E339" s="16"/>
      <c r="F339" s="16"/>
      <c r="G339" s="17"/>
      <c r="H339" s="15"/>
      <c r="I339" s="20"/>
      <c r="J339" s="18"/>
      <c r="K339" s="18"/>
      <c r="L339" s="19"/>
      <c r="M339" s="20"/>
      <c r="N339" s="20"/>
      <c r="O339" s="20"/>
      <c r="P339" s="20"/>
      <c r="Q339" s="21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1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1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1">
        <f>IFERROR(__xludf.DUMMYFUNCTION("""COMPUTED_VALUE"""),0.0)</f>
        <v>0</v>
      </c>
      <c r="BD339" s="21">
        <f>IFERROR(__xludf.DUMMYFUNCTION("""COMPUTED_VALUE"""),0.0)</f>
        <v>0</v>
      </c>
      <c r="BE339" s="21">
        <f>IFERROR(__xludf.DUMMYFUNCTION("""COMPUTED_VALUE"""),0.0)</f>
        <v>0</v>
      </c>
      <c r="BF339" s="22">
        <f>IFERROR(__xludf.DUMMYFUNCTION("""COMPUTED_VALUE"""),0.0)</f>
        <v>0</v>
      </c>
      <c r="BG339" s="20"/>
      <c r="BH339" s="20"/>
      <c r="BI339" s="20"/>
      <c r="BJ339" s="14"/>
      <c r="BK339" s="14"/>
      <c r="BL339" s="14"/>
      <c r="BM339" s="14"/>
      <c r="BN339" s="14"/>
      <c r="BO339" s="14"/>
    </row>
    <row r="340">
      <c r="A340" s="6" t="str">
        <f>IFERROR(__xludf.DUMMYFUNCTION("""COMPUTED_VALUE"""),"")</f>
        <v/>
      </c>
      <c r="B340" s="7"/>
      <c r="C340" s="8"/>
      <c r="D340" s="7"/>
      <c r="E340" s="7"/>
      <c r="F340" s="7"/>
      <c r="G340" s="8"/>
      <c r="H340" s="6"/>
      <c r="I340" s="12"/>
      <c r="J340" s="9"/>
      <c r="K340" s="9"/>
      <c r="L340" s="10"/>
      <c r="M340" s="12"/>
      <c r="N340" s="12"/>
      <c r="O340" s="12"/>
      <c r="P340" s="12"/>
      <c r="Q340" s="11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1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1">
        <f>IFERROR(__xludf.DUMMYFUNCTION("""COMPUTED_VALUE"""),0.0)</f>
        <v>0</v>
      </c>
      <c r="BD340" s="11">
        <f>IFERROR(__xludf.DUMMYFUNCTION("""COMPUTED_VALUE"""),0.0)</f>
        <v>0</v>
      </c>
      <c r="BE340" s="11">
        <f>IFERROR(__xludf.DUMMYFUNCTION("""COMPUTED_VALUE"""),0.0)</f>
        <v>0</v>
      </c>
      <c r="BF340" s="13">
        <f>IFERROR(__xludf.DUMMYFUNCTION("""COMPUTED_VALUE"""),0.0)</f>
        <v>0</v>
      </c>
      <c r="BG340" s="12"/>
      <c r="BH340" s="12"/>
      <c r="BI340" s="12"/>
      <c r="BJ340" s="14"/>
      <c r="BK340" s="14"/>
      <c r="BL340" s="14"/>
      <c r="BM340" s="14"/>
      <c r="BN340" s="14"/>
      <c r="BO340" s="14"/>
    </row>
    <row r="341">
      <c r="A341" s="15" t="str">
        <f>IFERROR(__xludf.DUMMYFUNCTION("""COMPUTED_VALUE"""),"")</f>
        <v/>
      </c>
      <c r="B341" s="16"/>
      <c r="C341" s="17"/>
      <c r="D341" s="16"/>
      <c r="E341" s="16"/>
      <c r="F341" s="16"/>
      <c r="G341" s="17"/>
      <c r="H341" s="15"/>
      <c r="I341" s="20"/>
      <c r="J341" s="18"/>
      <c r="K341" s="18"/>
      <c r="L341" s="19"/>
      <c r="M341" s="20"/>
      <c r="N341" s="20"/>
      <c r="O341" s="20"/>
      <c r="P341" s="21"/>
      <c r="Q341" s="21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1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1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1">
        <f>IFERROR(__xludf.DUMMYFUNCTION("""COMPUTED_VALUE"""),0.0)</f>
        <v>0</v>
      </c>
      <c r="BD341" s="21">
        <f>IFERROR(__xludf.DUMMYFUNCTION("""COMPUTED_VALUE"""),0.0)</f>
        <v>0</v>
      </c>
      <c r="BE341" s="21">
        <f>IFERROR(__xludf.DUMMYFUNCTION("""COMPUTED_VALUE"""),0.0)</f>
        <v>0</v>
      </c>
      <c r="BF341" s="22">
        <f>IFERROR(__xludf.DUMMYFUNCTION("""COMPUTED_VALUE"""),0.0)</f>
        <v>0</v>
      </c>
      <c r="BG341" s="20"/>
      <c r="BH341" s="20"/>
      <c r="BI341" s="20"/>
      <c r="BJ341" s="14"/>
      <c r="BK341" s="14"/>
      <c r="BL341" s="14"/>
      <c r="BM341" s="14"/>
      <c r="BN341" s="14"/>
      <c r="BO341" s="14"/>
    </row>
    <row r="342">
      <c r="A342" s="6" t="str">
        <f>IFERROR(__xludf.DUMMYFUNCTION("""COMPUTED_VALUE"""),"")</f>
        <v/>
      </c>
      <c r="B342" s="7"/>
      <c r="C342" s="8"/>
      <c r="D342" s="7"/>
      <c r="E342" s="7"/>
      <c r="F342" s="7"/>
      <c r="G342" s="8"/>
      <c r="H342" s="6"/>
      <c r="I342" s="12"/>
      <c r="J342" s="9"/>
      <c r="K342" s="9"/>
      <c r="L342" s="10"/>
      <c r="M342" s="12"/>
      <c r="N342" s="11"/>
      <c r="O342" s="11"/>
      <c r="P342" s="11"/>
      <c r="Q342" s="11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1">
        <f>IFERROR(__xludf.DUMMYFUNCTION("""COMPUTED_VALUE"""),0.0)</f>
        <v>0</v>
      </c>
      <c r="BD342" s="11">
        <f>IFERROR(__xludf.DUMMYFUNCTION("""COMPUTED_VALUE"""),0.0)</f>
        <v>0</v>
      </c>
      <c r="BE342" s="11">
        <f>IFERROR(__xludf.DUMMYFUNCTION("""COMPUTED_VALUE"""),0.0)</f>
        <v>0</v>
      </c>
      <c r="BF342" s="13">
        <f>IFERROR(__xludf.DUMMYFUNCTION("""COMPUTED_VALUE"""),0.0)</f>
        <v>0</v>
      </c>
      <c r="BG342" s="12"/>
      <c r="BH342" s="12"/>
      <c r="BI342" s="12"/>
      <c r="BJ342" s="14"/>
      <c r="BK342" s="14"/>
      <c r="BL342" s="14"/>
      <c r="BM342" s="14"/>
      <c r="BN342" s="14"/>
      <c r="BO342" s="14"/>
    </row>
    <row r="343">
      <c r="A343" s="15" t="str">
        <f>IFERROR(__xludf.DUMMYFUNCTION("""COMPUTED_VALUE"""),"")</f>
        <v/>
      </c>
      <c r="B343" s="16"/>
      <c r="C343" s="17"/>
      <c r="D343" s="16"/>
      <c r="E343" s="16"/>
      <c r="F343" s="16"/>
      <c r="G343" s="17"/>
      <c r="H343" s="15"/>
      <c r="I343" s="20"/>
      <c r="J343" s="18"/>
      <c r="K343" s="18"/>
      <c r="L343" s="19"/>
      <c r="M343" s="20"/>
      <c r="N343" s="20"/>
      <c r="O343" s="20"/>
      <c r="P343" s="20"/>
      <c r="Q343" s="21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1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1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1">
        <f>IFERROR(__xludf.DUMMYFUNCTION("""COMPUTED_VALUE"""),0.0)</f>
        <v>0</v>
      </c>
      <c r="BD343" s="21">
        <f>IFERROR(__xludf.DUMMYFUNCTION("""COMPUTED_VALUE"""),0.0)</f>
        <v>0</v>
      </c>
      <c r="BE343" s="21">
        <f>IFERROR(__xludf.DUMMYFUNCTION("""COMPUTED_VALUE"""),0.0)</f>
        <v>0</v>
      </c>
      <c r="BF343" s="22">
        <f>IFERROR(__xludf.DUMMYFUNCTION("""COMPUTED_VALUE"""),0.0)</f>
        <v>0</v>
      </c>
      <c r="BG343" s="20"/>
      <c r="BH343" s="20"/>
      <c r="BI343" s="20"/>
      <c r="BJ343" s="14"/>
      <c r="BK343" s="14"/>
      <c r="BL343" s="14"/>
      <c r="BM343" s="14"/>
      <c r="BN343" s="14"/>
      <c r="BO343" s="14"/>
    </row>
    <row r="344">
      <c r="A344" s="6" t="str">
        <f>IFERROR(__xludf.DUMMYFUNCTION("""COMPUTED_VALUE"""),"")</f>
        <v/>
      </c>
      <c r="B344" s="7"/>
      <c r="C344" s="8"/>
      <c r="D344" s="7"/>
      <c r="E344" s="7"/>
      <c r="F344" s="7"/>
      <c r="G344" s="8"/>
      <c r="H344" s="6"/>
      <c r="I344" s="12"/>
      <c r="J344" s="9"/>
      <c r="K344" s="9"/>
      <c r="L344" s="10"/>
      <c r="M344" s="12"/>
      <c r="N344" s="12"/>
      <c r="O344" s="12"/>
      <c r="P344" s="12"/>
      <c r="Q344" s="11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1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1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1">
        <f>IFERROR(__xludf.DUMMYFUNCTION("""COMPUTED_VALUE"""),0.0)</f>
        <v>0</v>
      </c>
      <c r="BD344" s="11">
        <f>IFERROR(__xludf.DUMMYFUNCTION("""COMPUTED_VALUE"""),0.0)</f>
        <v>0</v>
      </c>
      <c r="BE344" s="11">
        <f>IFERROR(__xludf.DUMMYFUNCTION("""COMPUTED_VALUE"""),0.0)</f>
        <v>0</v>
      </c>
      <c r="BF344" s="13">
        <f>IFERROR(__xludf.DUMMYFUNCTION("""COMPUTED_VALUE"""),0.0)</f>
        <v>0</v>
      </c>
      <c r="BG344" s="12"/>
      <c r="BH344" s="12"/>
      <c r="BI344" s="12"/>
      <c r="BJ344" s="14"/>
      <c r="BK344" s="14"/>
      <c r="BL344" s="14"/>
      <c r="BM344" s="14"/>
      <c r="BN344" s="14"/>
      <c r="BO344" s="14"/>
    </row>
    <row r="345">
      <c r="A345" s="15" t="str">
        <f>IFERROR(__xludf.DUMMYFUNCTION("""COMPUTED_VALUE"""),"")</f>
        <v/>
      </c>
      <c r="B345" s="16"/>
      <c r="C345" s="17"/>
      <c r="D345" s="16"/>
      <c r="E345" s="16"/>
      <c r="F345" s="16"/>
      <c r="G345" s="17"/>
      <c r="H345" s="15"/>
      <c r="I345" s="20"/>
      <c r="J345" s="18"/>
      <c r="K345" s="18"/>
      <c r="L345" s="19"/>
      <c r="M345" s="20"/>
      <c r="N345" s="21"/>
      <c r="O345" s="21"/>
      <c r="P345" s="21"/>
      <c r="Q345" s="21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1">
        <f>IFERROR(__xludf.DUMMYFUNCTION("""COMPUTED_VALUE"""),0.0)</f>
        <v>0</v>
      </c>
      <c r="BD345" s="21">
        <f>IFERROR(__xludf.DUMMYFUNCTION("""COMPUTED_VALUE"""),0.0)</f>
        <v>0</v>
      </c>
      <c r="BE345" s="21">
        <f>IFERROR(__xludf.DUMMYFUNCTION("""COMPUTED_VALUE"""),0.0)</f>
        <v>0</v>
      </c>
      <c r="BF345" s="22">
        <f>IFERROR(__xludf.DUMMYFUNCTION("""COMPUTED_VALUE"""),0.0)</f>
        <v>0</v>
      </c>
      <c r="BG345" s="20"/>
      <c r="BH345" s="20"/>
      <c r="BI345" s="20"/>
      <c r="BJ345" s="14"/>
      <c r="BK345" s="14"/>
      <c r="BL345" s="14"/>
      <c r="BM345" s="14"/>
      <c r="BN345" s="14"/>
      <c r="BO345" s="14"/>
    </row>
    <row r="346">
      <c r="A346" s="6" t="str">
        <f>IFERROR(__xludf.DUMMYFUNCTION("""COMPUTED_VALUE"""),"")</f>
        <v/>
      </c>
      <c r="B346" s="7"/>
      <c r="C346" s="8"/>
      <c r="D346" s="7"/>
      <c r="E346" s="7"/>
      <c r="F346" s="7"/>
      <c r="G346" s="8"/>
      <c r="H346" s="6"/>
      <c r="I346" s="12"/>
      <c r="J346" s="9"/>
      <c r="K346" s="9"/>
      <c r="L346" s="10"/>
      <c r="M346" s="12"/>
      <c r="N346" s="12"/>
      <c r="O346" s="12"/>
      <c r="P346" s="12"/>
      <c r="Q346" s="11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1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1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1">
        <f>IFERROR(__xludf.DUMMYFUNCTION("""COMPUTED_VALUE"""),0.0)</f>
        <v>0</v>
      </c>
      <c r="BD346" s="11">
        <f>IFERROR(__xludf.DUMMYFUNCTION("""COMPUTED_VALUE"""),0.0)</f>
        <v>0</v>
      </c>
      <c r="BE346" s="11">
        <f>IFERROR(__xludf.DUMMYFUNCTION("""COMPUTED_VALUE"""),0.0)</f>
        <v>0</v>
      </c>
      <c r="BF346" s="13">
        <f>IFERROR(__xludf.DUMMYFUNCTION("""COMPUTED_VALUE"""),0.0)</f>
        <v>0</v>
      </c>
      <c r="BG346" s="12"/>
      <c r="BH346" s="12"/>
      <c r="BI346" s="12"/>
      <c r="BJ346" s="14"/>
      <c r="BK346" s="14"/>
      <c r="BL346" s="14"/>
      <c r="BM346" s="14"/>
      <c r="BN346" s="14"/>
      <c r="BO346" s="14"/>
    </row>
    <row r="347">
      <c r="A347" s="15" t="str">
        <f>IFERROR(__xludf.DUMMYFUNCTION("""COMPUTED_VALUE"""),"")</f>
        <v/>
      </c>
      <c r="B347" s="16"/>
      <c r="C347" s="17"/>
      <c r="D347" s="16"/>
      <c r="E347" s="16"/>
      <c r="F347" s="16"/>
      <c r="G347" s="17"/>
      <c r="H347" s="15"/>
      <c r="I347" s="20"/>
      <c r="J347" s="18"/>
      <c r="K347" s="18"/>
      <c r="L347" s="19"/>
      <c r="M347" s="20"/>
      <c r="N347" s="20"/>
      <c r="O347" s="20"/>
      <c r="P347" s="20"/>
      <c r="Q347" s="21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1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1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1">
        <f>IFERROR(__xludf.DUMMYFUNCTION("""COMPUTED_VALUE"""),0.0)</f>
        <v>0</v>
      </c>
      <c r="BD347" s="21">
        <f>IFERROR(__xludf.DUMMYFUNCTION("""COMPUTED_VALUE"""),0.0)</f>
        <v>0</v>
      </c>
      <c r="BE347" s="21">
        <f>IFERROR(__xludf.DUMMYFUNCTION("""COMPUTED_VALUE"""),0.0)</f>
        <v>0</v>
      </c>
      <c r="BF347" s="22">
        <f>IFERROR(__xludf.DUMMYFUNCTION("""COMPUTED_VALUE"""),0.0)</f>
        <v>0</v>
      </c>
      <c r="BG347" s="20"/>
      <c r="BH347" s="20"/>
      <c r="BI347" s="20"/>
      <c r="BJ347" s="14"/>
      <c r="BK347" s="14"/>
      <c r="BL347" s="14"/>
      <c r="BM347" s="14"/>
      <c r="BN347" s="14"/>
      <c r="BO347" s="14"/>
    </row>
    <row r="348">
      <c r="A348" s="6" t="str">
        <f>IFERROR(__xludf.DUMMYFUNCTION("""COMPUTED_VALUE"""),"")</f>
        <v/>
      </c>
      <c r="B348" s="7"/>
      <c r="C348" s="8"/>
      <c r="D348" s="7"/>
      <c r="E348" s="7"/>
      <c r="F348" s="7"/>
      <c r="G348" s="8"/>
      <c r="H348" s="6"/>
      <c r="I348" s="12"/>
      <c r="J348" s="9"/>
      <c r="K348" s="9"/>
      <c r="L348" s="10"/>
      <c r="M348" s="12"/>
      <c r="N348" s="12"/>
      <c r="O348" s="12"/>
      <c r="P348" s="12"/>
      <c r="Q348" s="11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1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1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1">
        <f>IFERROR(__xludf.DUMMYFUNCTION("""COMPUTED_VALUE"""),0.0)</f>
        <v>0</v>
      </c>
      <c r="BD348" s="11">
        <f>IFERROR(__xludf.DUMMYFUNCTION("""COMPUTED_VALUE"""),0.0)</f>
        <v>0</v>
      </c>
      <c r="BE348" s="11">
        <f>IFERROR(__xludf.DUMMYFUNCTION("""COMPUTED_VALUE"""),0.0)</f>
        <v>0</v>
      </c>
      <c r="BF348" s="13">
        <f>IFERROR(__xludf.DUMMYFUNCTION("""COMPUTED_VALUE"""),0.0)</f>
        <v>0</v>
      </c>
      <c r="BG348" s="12"/>
      <c r="BH348" s="12"/>
      <c r="BI348" s="12"/>
      <c r="BJ348" s="14"/>
      <c r="BK348" s="14"/>
      <c r="BL348" s="14"/>
      <c r="BM348" s="14"/>
      <c r="BN348" s="14"/>
      <c r="BO348" s="14"/>
    </row>
    <row r="349">
      <c r="A349" s="15" t="str">
        <f>IFERROR(__xludf.DUMMYFUNCTION("""COMPUTED_VALUE"""),"")</f>
        <v/>
      </c>
      <c r="B349" s="16"/>
      <c r="C349" s="17"/>
      <c r="D349" s="16"/>
      <c r="E349" s="16"/>
      <c r="F349" s="16"/>
      <c r="G349" s="17"/>
      <c r="H349" s="15"/>
      <c r="I349" s="20"/>
      <c r="J349" s="18"/>
      <c r="K349" s="18"/>
      <c r="L349" s="19"/>
      <c r="M349" s="20"/>
      <c r="N349" s="20"/>
      <c r="O349" s="20"/>
      <c r="P349" s="20"/>
      <c r="Q349" s="21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1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1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1">
        <f>IFERROR(__xludf.DUMMYFUNCTION("""COMPUTED_VALUE"""),0.0)</f>
        <v>0</v>
      </c>
      <c r="BD349" s="21">
        <f>IFERROR(__xludf.DUMMYFUNCTION("""COMPUTED_VALUE"""),0.0)</f>
        <v>0</v>
      </c>
      <c r="BE349" s="21">
        <f>IFERROR(__xludf.DUMMYFUNCTION("""COMPUTED_VALUE"""),0.0)</f>
        <v>0</v>
      </c>
      <c r="BF349" s="22">
        <f>IFERROR(__xludf.DUMMYFUNCTION("""COMPUTED_VALUE"""),0.0)</f>
        <v>0</v>
      </c>
      <c r="BG349" s="20"/>
      <c r="BH349" s="20"/>
      <c r="BI349" s="20"/>
      <c r="BJ349" s="14"/>
      <c r="BK349" s="14"/>
      <c r="BL349" s="14"/>
      <c r="BM349" s="14"/>
      <c r="BN349" s="14"/>
      <c r="BO349" s="14"/>
    </row>
    <row r="350">
      <c r="A350" s="6" t="str">
        <f>IFERROR(__xludf.DUMMYFUNCTION("""COMPUTED_VALUE"""),"")</f>
        <v/>
      </c>
      <c r="B350" s="7"/>
      <c r="C350" s="8"/>
      <c r="D350" s="7"/>
      <c r="E350" s="7"/>
      <c r="F350" s="7"/>
      <c r="G350" s="8"/>
      <c r="H350" s="6"/>
      <c r="I350" s="12"/>
      <c r="J350" s="9"/>
      <c r="K350" s="9"/>
      <c r="L350" s="10"/>
      <c r="M350" s="12"/>
      <c r="N350" s="12"/>
      <c r="O350" s="12"/>
      <c r="P350" s="12"/>
      <c r="Q350" s="11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1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1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1">
        <f>IFERROR(__xludf.DUMMYFUNCTION("""COMPUTED_VALUE"""),0.0)</f>
        <v>0</v>
      </c>
      <c r="BD350" s="11">
        <f>IFERROR(__xludf.DUMMYFUNCTION("""COMPUTED_VALUE"""),0.0)</f>
        <v>0</v>
      </c>
      <c r="BE350" s="11">
        <f>IFERROR(__xludf.DUMMYFUNCTION("""COMPUTED_VALUE"""),0.0)</f>
        <v>0</v>
      </c>
      <c r="BF350" s="13">
        <f>IFERROR(__xludf.DUMMYFUNCTION("""COMPUTED_VALUE"""),0.0)</f>
        <v>0</v>
      </c>
      <c r="BG350" s="12"/>
      <c r="BH350" s="12"/>
      <c r="BI350" s="12"/>
      <c r="BJ350" s="14"/>
      <c r="BK350" s="14"/>
      <c r="BL350" s="14"/>
      <c r="BM350" s="14"/>
      <c r="BN350" s="14"/>
      <c r="BO350" s="14"/>
    </row>
    <row r="351">
      <c r="A351" s="15" t="str">
        <f>IFERROR(__xludf.DUMMYFUNCTION("""COMPUTED_VALUE"""),"")</f>
        <v/>
      </c>
      <c r="B351" s="16"/>
      <c r="C351" s="17"/>
      <c r="D351" s="16"/>
      <c r="E351" s="16"/>
      <c r="F351" s="16"/>
      <c r="G351" s="17"/>
      <c r="H351" s="15"/>
      <c r="I351" s="20"/>
      <c r="J351" s="18"/>
      <c r="K351" s="18"/>
      <c r="L351" s="19"/>
      <c r="M351" s="20"/>
      <c r="N351" s="20"/>
      <c r="O351" s="20"/>
      <c r="P351" s="21"/>
      <c r="Q351" s="21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1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1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1">
        <f>IFERROR(__xludf.DUMMYFUNCTION("""COMPUTED_VALUE"""),0.0)</f>
        <v>0</v>
      </c>
      <c r="BD351" s="21">
        <f>IFERROR(__xludf.DUMMYFUNCTION("""COMPUTED_VALUE"""),0.0)</f>
        <v>0</v>
      </c>
      <c r="BE351" s="21">
        <f>IFERROR(__xludf.DUMMYFUNCTION("""COMPUTED_VALUE"""),0.0)</f>
        <v>0</v>
      </c>
      <c r="BF351" s="22">
        <f>IFERROR(__xludf.DUMMYFUNCTION("""COMPUTED_VALUE"""),0.0)</f>
        <v>0</v>
      </c>
      <c r="BG351" s="20"/>
      <c r="BH351" s="20"/>
      <c r="BI351" s="20"/>
      <c r="BJ351" s="14"/>
      <c r="BK351" s="14"/>
      <c r="BL351" s="14"/>
      <c r="BM351" s="14"/>
      <c r="BN351" s="14"/>
      <c r="BO351" s="14"/>
    </row>
    <row r="352">
      <c r="A352" s="6" t="str">
        <f>IFERROR(__xludf.DUMMYFUNCTION("""COMPUTED_VALUE"""),"")</f>
        <v/>
      </c>
      <c r="B352" s="7"/>
      <c r="C352" s="8"/>
      <c r="D352" s="7"/>
      <c r="E352" s="7"/>
      <c r="F352" s="7"/>
      <c r="G352" s="8"/>
      <c r="H352" s="6"/>
      <c r="I352" s="12"/>
      <c r="J352" s="9"/>
      <c r="K352" s="9"/>
      <c r="L352" s="10"/>
      <c r="M352" s="12"/>
      <c r="N352" s="12"/>
      <c r="O352" s="12"/>
      <c r="P352" s="12"/>
      <c r="Q352" s="11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1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1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1">
        <f>IFERROR(__xludf.DUMMYFUNCTION("""COMPUTED_VALUE"""),0.0)</f>
        <v>0</v>
      </c>
      <c r="BD352" s="11">
        <f>IFERROR(__xludf.DUMMYFUNCTION("""COMPUTED_VALUE"""),0.0)</f>
        <v>0</v>
      </c>
      <c r="BE352" s="11">
        <f>IFERROR(__xludf.DUMMYFUNCTION("""COMPUTED_VALUE"""),0.0)</f>
        <v>0</v>
      </c>
      <c r="BF352" s="13">
        <f>IFERROR(__xludf.DUMMYFUNCTION("""COMPUTED_VALUE"""),0.0)</f>
        <v>0</v>
      </c>
      <c r="BG352" s="12"/>
      <c r="BH352" s="12"/>
      <c r="BI352" s="12"/>
      <c r="BJ352" s="14"/>
      <c r="BK352" s="14"/>
      <c r="BL352" s="14"/>
      <c r="BM352" s="14"/>
      <c r="BN352" s="14"/>
      <c r="BO352" s="14"/>
    </row>
    <row r="353">
      <c r="A353" s="15" t="str">
        <f>IFERROR(__xludf.DUMMYFUNCTION("""COMPUTED_VALUE"""),"")</f>
        <v/>
      </c>
      <c r="B353" s="16"/>
      <c r="C353" s="17"/>
      <c r="D353" s="16"/>
      <c r="E353" s="16"/>
      <c r="F353" s="16"/>
      <c r="G353" s="17"/>
      <c r="H353" s="15"/>
      <c r="I353" s="20"/>
      <c r="J353" s="18"/>
      <c r="K353" s="18"/>
      <c r="L353" s="19"/>
      <c r="M353" s="20"/>
      <c r="N353" s="20"/>
      <c r="O353" s="20"/>
      <c r="P353" s="20"/>
      <c r="Q353" s="21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1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1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1">
        <f>IFERROR(__xludf.DUMMYFUNCTION("""COMPUTED_VALUE"""),0.0)</f>
        <v>0</v>
      </c>
      <c r="BD353" s="21">
        <f>IFERROR(__xludf.DUMMYFUNCTION("""COMPUTED_VALUE"""),0.0)</f>
        <v>0</v>
      </c>
      <c r="BE353" s="21">
        <f>IFERROR(__xludf.DUMMYFUNCTION("""COMPUTED_VALUE"""),0.0)</f>
        <v>0</v>
      </c>
      <c r="BF353" s="22">
        <f>IFERROR(__xludf.DUMMYFUNCTION("""COMPUTED_VALUE"""),0.0)</f>
        <v>0</v>
      </c>
      <c r="BG353" s="20"/>
      <c r="BH353" s="20"/>
      <c r="BI353" s="20"/>
      <c r="BJ353" s="14"/>
      <c r="BK353" s="14"/>
      <c r="BL353" s="14"/>
      <c r="BM353" s="14"/>
      <c r="BN353" s="14"/>
      <c r="BO353" s="14"/>
    </row>
    <row r="354">
      <c r="A354" s="6" t="str">
        <f>IFERROR(__xludf.DUMMYFUNCTION("""COMPUTED_VALUE"""),"")</f>
        <v/>
      </c>
      <c r="B354" s="7"/>
      <c r="C354" s="8"/>
      <c r="D354" s="7"/>
      <c r="E354" s="7"/>
      <c r="F354" s="7"/>
      <c r="G354" s="8"/>
      <c r="H354" s="6"/>
      <c r="I354" s="12"/>
      <c r="J354" s="9"/>
      <c r="K354" s="9"/>
      <c r="L354" s="10"/>
      <c r="M354" s="12"/>
      <c r="N354" s="12"/>
      <c r="O354" s="12"/>
      <c r="P354" s="12"/>
      <c r="Q354" s="11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1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1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1">
        <f>IFERROR(__xludf.DUMMYFUNCTION("""COMPUTED_VALUE"""),0.0)</f>
        <v>0</v>
      </c>
      <c r="BD354" s="11">
        <f>IFERROR(__xludf.DUMMYFUNCTION("""COMPUTED_VALUE"""),0.0)</f>
        <v>0</v>
      </c>
      <c r="BE354" s="11">
        <f>IFERROR(__xludf.DUMMYFUNCTION("""COMPUTED_VALUE"""),0.0)</f>
        <v>0</v>
      </c>
      <c r="BF354" s="13">
        <f>IFERROR(__xludf.DUMMYFUNCTION("""COMPUTED_VALUE"""),0.0)</f>
        <v>0</v>
      </c>
      <c r="BG354" s="12"/>
      <c r="BH354" s="12"/>
      <c r="BI354" s="12"/>
      <c r="BJ354" s="14"/>
      <c r="BK354" s="14"/>
      <c r="BL354" s="14"/>
      <c r="BM354" s="14"/>
      <c r="BN354" s="14"/>
      <c r="BO354" s="14"/>
    </row>
    <row r="355">
      <c r="A355" s="15" t="str">
        <f>IFERROR(__xludf.DUMMYFUNCTION("""COMPUTED_VALUE"""),"")</f>
        <v/>
      </c>
      <c r="B355" s="16"/>
      <c r="C355" s="17"/>
      <c r="D355" s="16"/>
      <c r="E355" s="16"/>
      <c r="F355" s="16"/>
      <c r="G355" s="17"/>
      <c r="H355" s="15"/>
      <c r="I355" s="20"/>
      <c r="J355" s="18"/>
      <c r="K355" s="18"/>
      <c r="L355" s="19"/>
      <c r="M355" s="20"/>
      <c r="N355" s="20"/>
      <c r="O355" s="20"/>
      <c r="P355" s="20"/>
      <c r="Q355" s="21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1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1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1">
        <f>IFERROR(__xludf.DUMMYFUNCTION("""COMPUTED_VALUE"""),0.0)</f>
        <v>0</v>
      </c>
      <c r="BD355" s="21">
        <f>IFERROR(__xludf.DUMMYFUNCTION("""COMPUTED_VALUE"""),0.0)</f>
        <v>0</v>
      </c>
      <c r="BE355" s="21">
        <f>IFERROR(__xludf.DUMMYFUNCTION("""COMPUTED_VALUE"""),0.0)</f>
        <v>0</v>
      </c>
      <c r="BF355" s="22">
        <f>IFERROR(__xludf.DUMMYFUNCTION("""COMPUTED_VALUE"""),0.0)</f>
        <v>0</v>
      </c>
      <c r="BG355" s="20"/>
      <c r="BH355" s="20"/>
      <c r="BI355" s="20"/>
      <c r="BJ355" s="14"/>
      <c r="BK355" s="14"/>
      <c r="BL355" s="14"/>
      <c r="BM355" s="14"/>
      <c r="BN355" s="14"/>
      <c r="BO355" s="14"/>
    </row>
    <row r="356">
      <c r="A356" s="6" t="str">
        <f>IFERROR(__xludf.DUMMYFUNCTION("""COMPUTED_VALUE"""),"")</f>
        <v/>
      </c>
      <c r="B356" s="7"/>
      <c r="C356" s="8"/>
      <c r="D356" s="7"/>
      <c r="E356" s="7"/>
      <c r="F356" s="7"/>
      <c r="G356" s="8"/>
      <c r="H356" s="6"/>
      <c r="I356" s="12"/>
      <c r="J356" s="9"/>
      <c r="K356" s="9"/>
      <c r="L356" s="10"/>
      <c r="M356" s="12"/>
      <c r="N356" s="12"/>
      <c r="O356" s="11"/>
      <c r="P356" s="11"/>
      <c r="Q356" s="11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1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1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1">
        <f>IFERROR(__xludf.DUMMYFUNCTION("""COMPUTED_VALUE"""),0.0)</f>
        <v>0</v>
      </c>
      <c r="BD356" s="11">
        <f>IFERROR(__xludf.DUMMYFUNCTION("""COMPUTED_VALUE"""),0.0)</f>
        <v>0</v>
      </c>
      <c r="BE356" s="11">
        <f>IFERROR(__xludf.DUMMYFUNCTION("""COMPUTED_VALUE"""),0.0)</f>
        <v>0</v>
      </c>
      <c r="BF356" s="13">
        <f>IFERROR(__xludf.DUMMYFUNCTION("""COMPUTED_VALUE"""),0.0)</f>
        <v>0</v>
      </c>
      <c r="BG356" s="12"/>
      <c r="BH356" s="12"/>
      <c r="BI356" s="12"/>
      <c r="BJ356" s="14"/>
      <c r="BK356" s="14"/>
      <c r="BL356" s="14"/>
      <c r="BM356" s="14"/>
      <c r="BN356" s="14"/>
      <c r="BO356" s="14"/>
    </row>
    <row r="357">
      <c r="A357" s="15" t="str">
        <f>IFERROR(__xludf.DUMMYFUNCTION("""COMPUTED_VALUE"""),"")</f>
        <v/>
      </c>
      <c r="B357" s="16"/>
      <c r="C357" s="17"/>
      <c r="D357" s="16"/>
      <c r="E357" s="16"/>
      <c r="F357" s="16"/>
      <c r="G357" s="17"/>
      <c r="H357" s="15"/>
      <c r="I357" s="20"/>
      <c r="J357" s="18"/>
      <c r="K357" s="18"/>
      <c r="L357" s="19"/>
      <c r="M357" s="21"/>
      <c r="N357" s="20"/>
      <c r="O357" s="20"/>
      <c r="P357" s="21"/>
      <c r="Q357" s="21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1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1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1">
        <f>IFERROR(__xludf.DUMMYFUNCTION("""COMPUTED_VALUE"""),0.0)</f>
        <v>0</v>
      </c>
      <c r="BD357" s="21">
        <f>IFERROR(__xludf.DUMMYFUNCTION("""COMPUTED_VALUE"""),0.0)</f>
        <v>0</v>
      </c>
      <c r="BE357" s="21">
        <f>IFERROR(__xludf.DUMMYFUNCTION("""COMPUTED_VALUE"""),0.0)</f>
        <v>0</v>
      </c>
      <c r="BF357" s="22">
        <f>IFERROR(__xludf.DUMMYFUNCTION("""COMPUTED_VALUE"""),0.0)</f>
        <v>0</v>
      </c>
      <c r="BG357" s="20"/>
      <c r="BH357" s="20"/>
      <c r="BI357" s="20"/>
      <c r="BJ357" s="14"/>
      <c r="BK357" s="14"/>
      <c r="BL357" s="14"/>
      <c r="BM357" s="14"/>
      <c r="BN357" s="14"/>
      <c r="BO357" s="14"/>
    </row>
    <row r="358">
      <c r="A358" s="6" t="str">
        <f>IFERROR(__xludf.DUMMYFUNCTION("""COMPUTED_VALUE"""),"")</f>
        <v/>
      </c>
      <c r="B358" s="7"/>
      <c r="C358" s="8"/>
      <c r="D358" s="7"/>
      <c r="E358" s="7"/>
      <c r="F358" s="7"/>
      <c r="G358" s="8"/>
      <c r="H358" s="6"/>
      <c r="I358" s="12"/>
      <c r="J358" s="9"/>
      <c r="K358" s="9"/>
      <c r="L358" s="10"/>
      <c r="M358" s="12"/>
      <c r="N358" s="12"/>
      <c r="O358" s="12"/>
      <c r="P358" s="12"/>
      <c r="Q358" s="11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1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1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1">
        <f>IFERROR(__xludf.DUMMYFUNCTION("""COMPUTED_VALUE"""),0.0)</f>
        <v>0</v>
      </c>
      <c r="BD358" s="11">
        <f>IFERROR(__xludf.DUMMYFUNCTION("""COMPUTED_VALUE"""),0.0)</f>
        <v>0</v>
      </c>
      <c r="BE358" s="11">
        <f>IFERROR(__xludf.DUMMYFUNCTION("""COMPUTED_VALUE"""),0.0)</f>
        <v>0</v>
      </c>
      <c r="BF358" s="13">
        <f>IFERROR(__xludf.DUMMYFUNCTION("""COMPUTED_VALUE"""),0.0)</f>
        <v>0</v>
      </c>
      <c r="BG358" s="12"/>
      <c r="BH358" s="12"/>
      <c r="BI358" s="12"/>
      <c r="BJ358" s="14"/>
      <c r="BK358" s="14"/>
      <c r="BL358" s="14"/>
      <c r="BM358" s="14"/>
      <c r="BN358" s="14"/>
      <c r="BO358" s="14"/>
    </row>
    <row r="359">
      <c r="A359" s="15" t="str">
        <f>IFERROR(__xludf.DUMMYFUNCTION("""COMPUTED_VALUE"""),"")</f>
        <v/>
      </c>
      <c r="B359" s="16"/>
      <c r="C359" s="17"/>
      <c r="D359" s="16"/>
      <c r="E359" s="16"/>
      <c r="F359" s="16"/>
      <c r="G359" s="17"/>
      <c r="H359" s="15"/>
      <c r="I359" s="20"/>
      <c r="J359" s="18"/>
      <c r="K359" s="18"/>
      <c r="L359" s="24"/>
      <c r="M359" s="21"/>
      <c r="N359" s="21"/>
      <c r="O359" s="21"/>
      <c r="P359" s="21"/>
      <c r="Q359" s="21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1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1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1">
        <f>IFERROR(__xludf.DUMMYFUNCTION("""COMPUTED_VALUE"""),0.0)</f>
        <v>0</v>
      </c>
      <c r="BD359" s="21">
        <f>IFERROR(__xludf.DUMMYFUNCTION("""COMPUTED_VALUE"""),0.0)</f>
        <v>0</v>
      </c>
      <c r="BE359" s="21">
        <f>IFERROR(__xludf.DUMMYFUNCTION("""COMPUTED_VALUE"""),0.0)</f>
        <v>0</v>
      </c>
      <c r="BF359" s="22">
        <f>IFERROR(__xludf.DUMMYFUNCTION("""COMPUTED_VALUE"""),0.0)</f>
        <v>0</v>
      </c>
      <c r="BG359" s="20"/>
      <c r="BH359" s="20"/>
      <c r="BI359" s="20"/>
      <c r="BJ359" s="14"/>
      <c r="BK359" s="14"/>
      <c r="BL359" s="14"/>
      <c r="BM359" s="14"/>
      <c r="BN359" s="14"/>
      <c r="BO359" s="14"/>
    </row>
    <row r="360">
      <c r="A360" s="6" t="str">
        <f>IFERROR(__xludf.DUMMYFUNCTION("""COMPUTED_VALUE"""),"")</f>
        <v/>
      </c>
      <c r="B360" s="7"/>
      <c r="C360" s="8"/>
      <c r="D360" s="7"/>
      <c r="E360" s="7"/>
      <c r="F360" s="7"/>
      <c r="G360" s="8"/>
      <c r="H360" s="6"/>
      <c r="I360" s="12"/>
      <c r="J360" s="9"/>
      <c r="K360" s="9"/>
      <c r="L360" s="10"/>
      <c r="M360" s="11"/>
      <c r="N360" s="12"/>
      <c r="O360" s="12"/>
      <c r="P360" s="12"/>
      <c r="Q360" s="11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1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1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1">
        <f>IFERROR(__xludf.DUMMYFUNCTION("""COMPUTED_VALUE"""),0.0)</f>
        <v>0</v>
      </c>
      <c r="BD360" s="11">
        <f>IFERROR(__xludf.DUMMYFUNCTION("""COMPUTED_VALUE"""),0.0)</f>
        <v>0</v>
      </c>
      <c r="BE360" s="11">
        <f>IFERROR(__xludf.DUMMYFUNCTION("""COMPUTED_VALUE"""),0.0)</f>
        <v>0</v>
      </c>
      <c r="BF360" s="13">
        <f>IFERROR(__xludf.DUMMYFUNCTION("""COMPUTED_VALUE"""),0.0)</f>
        <v>0</v>
      </c>
      <c r="BG360" s="12"/>
      <c r="BH360" s="12"/>
      <c r="BI360" s="12"/>
      <c r="BJ360" s="14"/>
      <c r="BK360" s="14"/>
      <c r="BL360" s="14"/>
      <c r="BM360" s="14"/>
      <c r="BN360" s="14"/>
      <c r="BO360" s="14"/>
    </row>
    <row r="361">
      <c r="A361" s="15" t="str">
        <f>IFERROR(__xludf.DUMMYFUNCTION("""COMPUTED_VALUE"""),"")</f>
        <v/>
      </c>
      <c r="B361" s="16"/>
      <c r="C361" s="17"/>
      <c r="D361" s="16"/>
      <c r="E361" s="16"/>
      <c r="F361" s="16"/>
      <c r="G361" s="17"/>
      <c r="H361" s="15"/>
      <c r="I361" s="20"/>
      <c r="J361" s="18"/>
      <c r="K361" s="18"/>
      <c r="L361" s="19"/>
      <c r="M361" s="20"/>
      <c r="N361" s="20"/>
      <c r="O361" s="20"/>
      <c r="P361" s="20"/>
      <c r="Q361" s="21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1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1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1">
        <f>IFERROR(__xludf.DUMMYFUNCTION("""COMPUTED_VALUE"""),0.0)</f>
        <v>0</v>
      </c>
      <c r="BD361" s="21">
        <f>IFERROR(__xludf.DUMMYFUNCTION("""COMPUTED_VALUE"""),0.0)</f>
        <v>0</v>
      </c>
      <c r="BE361" s="21">
        <f>IFERROR(__xludf.DUMMYFUNCTION("""COMPUTED_VALUE"""),0.0)</f>
        <v>0</v>
      </c>
      <c r="BF361" s="22">
        <f>IFERROR(__xludf.DUMMYFUNCTION("""COMPUTED_VALUE"""),0.0)</f>
        <v>0</v>
      </c>
      <c r="BG361" s="20"/>
      <c r="BH361" s="20"/>
      <c r="BI361" s="20"/>
      <c r="BJ361" s="14"/>
      <c r="BK361" s="14"/>
      <c r="BL361" s="14"/>
      <c r="BM361" s="14"/>
      <c r="BN361" s="14"/>
      <c r="BO361" s="14"/>
    </row>
    <row r="362">
      <c r="A362" s="6" t="str">
        <f>IFERROR(__xludf.DUMMYFUNCTION("""COMPUTED_VALUE"""),"")</f>
        <v/>
      </c>
      <c r="B362" s="7"/>
      <c r="C362" s="8"/>
      <c r="D362" s="7"/>
      <c r="E362" s="7"/>
      <c r="F362" s="7"/>
      <c r="G362" s="8"/>
      <c r="H362" s="6"/>
      <c r="I362" s="12"/>
      <c r="J362" s="9"/>
      <c r="K362" s="9"/>
      <c r="L362" s="10"/>
      <c r="M362" s="12"/>
      <c r="N362" s="12"/>
      <c r="O362" s="12"/>
      <c r="P362" s="11"/>
      <c r="Q362" s="11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1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1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1">
        <f>IFERROR(__xludf.DUMMYFUNCTION("""COMPUTED_VALUE"""),0.0)</f>
        <v>0</v>
      </c>
      <c r="BD362" s="11">
        <f>IFERROR(__xludf.DUMMYFUNCTION("""COMPUTED_VALUE"""),0.0)</f>
        <v>0</v>
      </c>
      <c r="BE362" s="11">
        <f>IFERROR(__xludf.DUMMYFUNCTION("""COMPUTED_VALUE"""),0.0)</f>
        <v>0</v>
      </c>
      <c r="BF362" s="13">
        <f>IFERROR(__xludf.DUMMYFUNCTION("""COMPUTED_VALUE"""),0.0)</f>
        <v>0</v>
      </c>
      <c r="BG362" s="12"/>
      <c r="BH362" s="12"/>
      <c r="BI362" s="12"/>
      <c r="BJ362" s="14"/>
      <c r="BK362" s="14"/>
      <c r="BL362" s="14"/>
      <c r="BM362" s="14"/>
      <c r="BN362" s="14"/>
      <c r="BO362" s="14"/>
    </row>
    <row r="363">
      <c r="A363" s="15" t="str">
        <f>IFERROR(__xludf.DUMMYFUNCTION("""COMPUTED_VALUE"""),"")</f>
        <v/>
      </c>
      <c r="B363" s="16"/>
      <c r="C363" s="17"/>
      <c r="D363" s="16"/>
      <c r="E363" s="16"/>
      <c r="F363" s="16"/>
      <c r="G363" s="17"/>
      <c r="H363" s="15"/>
      <c r="I363" s="20"/>
      <c r="J363" s="18"/>
      <c r="K363" s="18"/>
      <c r="L363" s="19"/>
      <c r="M363" s="21"/>
      <c r="N363" s="20"/>
      <c r="O363" s="20"/>
      <c r="P363" s="21"/>
      <c r="Q363" s="21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1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1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1">
        <f>IFERROR(__xludf.DUMMYFUNCTION("""COMPUTED_VALUE"""),0.0)</f>
        <v>0</v>
      </c>
      <c r="BD363" s="21">
        <f>IFERROR(__xludf.DUMMYFUNCTION("""COMPUTED_VALUE"""),0.0)</f>
        <v>0</v>
      </c>
      <c r="BE363" s="21">
        <f>IFERROR(__xludf.DUMMYFUNCTION("""COMPUTED_VALUE"""),0.0)</f>
        <v>0</v>
      </c>
      <c r="BF363" s="22">
        <f>IFERROR(__xludf.DUMMYFUNCTION("""COMPUTED_VALUE"""),0.0)</f>
        <v>0</v>
      </c>
      <c r="BG363" s="20"/>
      <c r="BH363" s="20"/>
      <c r="BI363" s="20"/>
      <c r="BJ363" s="14"/>
      <c r="BK363" s="14"/>
      <c r="BL363" s="14"/>
      <c r="BM363" s="14"/>
      <c r="BN363" s="14"/>
      <c r="BO363" s="14"/>
    </row>
    <row r="364">
      <c r="A364" s="6" t="str">
        <f>IFERROR(__xludf.DUMMYFUNCTION("""COMPUTED_VALUE"""),"")</f>
        <v/>
      </c>
      <c r="B364" s="7"/>
      <c r="C364" s="8"/>
      <c r="D364" s="7"/>
      <c r="E364" s="7"/>
      <c r="F364" s="7"/>
      <c r="G364" s="8"/>
      <c r="H364" s="6"/>
      <c r="I364" s="12"/>
      <c r="J364" s="9"/>
      <c r="K364" s="9"/>
      <c r="L364" s="10"/>
      <c r="M364" s="12"/>
      <c r="N364" s="12"/>
      <c r="O364" s="12"/>
      <c r="P364" s="12"/>
      <c r="Q364" s="11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1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1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1">
        <f>IFERROR(__xludf.DUMMYFUNCTION("""COMPUTED_VALUE"""),0.0)</f>
        <v>0</v>
      </c>
      <c r="BD364" s="11">
        <f>IFERROR(__xludf.DUMMYFUNCTION("""COMPUTED_VALUE"""),0.0)</f>
        <v>0</v>
      </c>
      <c r="BE364" s="11">
        <f>IFERROR(__xludf.DUMMYFUNCTION("""COMPUTED_VALUE"""),0.0)</f>
        <v>0</v>
      </c>
      <c r="BF364" s="13">
        <f>IFERROR(__xludf.DUMMYFUNCTION("""COMPUTED_VALUE"""),0.0)</f>
        <v>0</v>
      </c>
      <c r="BG364" s="12"/>
      <c r="BH364" s="12"/>
      <c r="BI364" s="12"/>
      <c r="BJ364" s="14"/>
      <c r="BK364" s="14"/>
      <c r="BL364" s="14"/>
      <c r="BM364" s="14"/>
      <c r="BN364" s="14"/>
      <c r="BO364" s="14"/>
    </row>
    <row r="365">
      <c r="A365" s="15" t="str">
        <f>IFERROR(__xludf.DUMMYFUNCTION("""COMPUTED_VALUE"""),"")</f>
        <v/>
      </c>
      <c r="B365" s="16"/>
      <c r="C365" s="17"/>
      <c r="D365" s="16"/>
      <c r="E365" s="16"/>
      <c r="F365" s="16"/>
      <c r="G365" s="17"/>
      <c r="H365" s="15"/>
      <c r="I365" s="20"/>
      <c r="J365" s="18"/>
      <c r="K365" s="18"/>
      <c r="L365" s="19"/>
      <c r="M365" s="21"/>
      <c r="N365" s="21"/>
      <c r="O365" s="21"/>
      <c r="P365" s="21"/>
      <c r="Q365" s="21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1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1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1">
        <f>IFERROR(__xludf.DUMMYFUNCTION("""COMPUTED_VALUE"""),0.0)</f>
        <v>0</v>
      </c>
      <c r="BD365" s="21">
        <f>IFERROR(__xludf.DUMMYFUNCTION("""COMPUTED_VALUE"""),0.0)</f>
        <v>0</v>
      </c>
      <c r="BE365" s="21">
        <f>IFERROR(__xludf.DUMMYFUNCTION("""COMPUTED_VALUE"""),0.0)</f>
        <v>0</v>
      </c>
      <c r="BF365" s="22">
        <f>IFERROR(__xludf.DUMMYFUNCTION("""COMPUTED_VALUE"""),0.0)</f>
        <v>0</v>
      </c>
      <c r="BG365" s="20"/>
      <c r="BH365" s="20"/>
      <c r="BI365" s="20"/>
      <c r="BJ365" s="14"/>
      <c r="BK365" s="14"/>
      <c r="BL365" s="14"/>
      <c r="BM365" s="14"/>
      <c r="BN365" s="14"/>
      <c r="BO365" s="14"/>
    </row>
    <row r="366">
      <c r="A366" s="6" t="str">
        <f>IFERROR(__xludf.DUMMYFUNCTION("""COMPUTED_VALUE"""),"")</f>
        <v/>
      </c>
      <c r="B366" s="7"/>
      <c r="C366" s="8"/>
      <c r="D366" s="7"/>
      <c r="E366" s="7"/>
      <c r="F366" s="7"/>
      <c r="G366" s="8"/>
      <c r="H366" s="6"/>
      <c r="I366" s="12"/>
      <c r="J366" s="9"/>
      <c r="K366" s="9"/>
      <c r="L366" s="10"/>
      <c r="M366" s="11"/>
      <c r="N366" s="11"/>
      <c r="O366" s="11"/>
      <c r="P366" s="11"/>
      <c r="Q366" s="11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1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1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1">
        <f>IFERROR(__xludf.DUMMYFUNCTION("""COMPUTED_VALUE"""),0.0)</f>
        <v>0</v>
      </c>
      <c r="BD366" s="11">
        <f>IFERROR(__xludf.DUMMYFUNCTION("""COMPUTED_VALUE"""),0.0)</f>
        <v>0</v>
      </c>
      <c r="BE366" s="11">
        <f>IFERROR(__xludf.DUMMYFUNCTION("""COMPUTED_VALUE"""),0.0)</f>
        <v>0</v>
      </c>
      <c r="BF366" s="13">
        <f>IFERROR(__xludf.DUMMYFUNCTION("""COMPUTED_VALUE"""),0.0)</f>
        <v>0</v>
      </c>
      <c r="BG366" s="12"/>
      <c r="BH366" s="12"/>
      <c r="BI366" s="12"/>
      <c r="BJ366" s="14"/>
      <c r="BK366" s="14"/>
      <c r="BL366" s="14"/>
      <c r="BM366" s="14"/>
      <c r="BN366" s="14"/>
      <c r="BO366" s="14"/>
    </row>
    <row r="367">
      <c r="A367" s="15" t="str">
        <f>IFERROR(__xludf.DUMMYFUNCTION("""COMPUTED_VALUE"""),"")</f>
        <v/>
      </c>
      <c r="B367" s="16"/>
      <c r="C367" s="17"/>
      <c r="D367" s="16"/>
      <c r="E367" s="16"/>
      <c r="F367" s="16"/>
      <c r="G367" s="17"/>
      <c r="H367" s="15"/>
      <c r="I367" s="20"/>
      <c r="J367" s="18"/>
      <c r="K367" s="18"/>
      <c r="L367" s="19"/>
      <c r="M367" s="20"/>
      <c r="N367" s="20"/>
      <c r="O367" s="20"/>
      <c r="P367" s="20"/>
      <c r="Q367" s="21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1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1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1">
        <f>IFERROR(__xludf.DUMMYFUNCTION("""COMPUTED_VALUE"""),0.0)</f>
        <v>0</v>
      </c>
      <c r="BD367" s="21">
        <f>IFERROR(__xludf.DUMMYFUNCTION("""COMPUTED_VALUE"""),0.0)</f>
        <v>0</v>
      </c>
      <c r="BE367" s="21">
        <f>IFERROR(__xludf.DUMMYFUNCTION("""COMPUTED_VALUE"""),0.0)</f>
        <v>0</v>
      </c>
      <c r="BF367" s="22">
        <f>IFERROR(__xludf.DUMMYFUNCTION("""COMPUTED_VALUE"""),0.0)</f>
        <v>0</v>
      </c>
      <c r="BG367" s="20"/>
      <c r="BH367" s="20"/>
      <c r="BI367" s="20"/>
      <c r="BJ367" s="14"/>
      <c r="BK367" s="14"/>
      <c r="BL367" s="14"/>
      <c r="BM367" s="14"/>
      <c r="BN367" s="14"/>
      <c r="BO367" s="14"/>
    </row>
    <row r="368">
      <c r="A368" s="6" t="str">
        <f>IFERROR(__xludf.DUMMYFUNCTION("""COMPUTED_VALUE"""),"")</f>
        <v/>
      </c>
      <c r="B368" s="7"/>
      <c r="C368" s="8"/>
      <c r="D368" s="7"/>
      <c r="E368" s="7"/>
      <c r="F368" s="7"/>
      <c r="G368" s="8"/>
      <c r="H368" s="6"/>
      <c r="I368" s="12"/>
      <c r="J368" s="9"/>
      <c r="K368" s="9"/>
      <c r="L368" s="10"/>
      <c r="M368" s="11"/>
      <c r="N368" s="11"/>
      <c r="O368" s="11"/>
      <c r="P368" s="11"/>
      <c r="Q368" s="11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1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1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1">
        <f>IFERROR(__xludf.DUMMYFUNCTION("""COMPUTED_VALUE"""),0.0)</f>
        <v>0</v>
      </c>
      <c r="BD368" s="11">
        <f>IFERROR(__xludf.DUMMYFUNCTION("""COMPUTED_VALUE"""),0.0)</f>
        <v>0</v>
      </c>
      <c r="BE368" s="11">
        <f>IFERROR(__xludf.DUMMYFUNCTION("""COMPUTED_VALUE"""),0.0)</f>
        <v>0</v>
      </c>
      <c r="BF368" s="13">
        <f>IFERROR(__xludf.DUMMYFUNCTION("""COMPUTED_VALUE"""),0.0)</f>
        <v>0</v>
      </c>
      <c r="BG368" s="12"/>
      <c r="BH368" s="12"/>
      <c r="BI368" s="12"/>
      <c r="BJ368" s="14"/>
      <c r="BK368" s="14"/>
      <c r="BL368" s="14"/>
      <c r="BM368" s="14"/>
      <c r="BN368" s="14"/>
      <c r="BO368" s="14"/>
    </row>
    <row r="369">
      <c r="A369" s="15" t="str">
        <f>IFERROR(__xludf.DUMMYFUNCTION("""COMPUTED_VALUE"""),"")</f>
        <v/>
      </c>
      <c r="B369" s="16"/>
      <c r="C369" s="17"/>
      <c r="D369" s="16"/>
      <c r="E369" s="16"/>
      <c r="F369" s="16"/>
      <c r="G369" s="17"/>
      <c r="H369" s="15"/>
      <c r="I369" s="20"/>
      <c r="J369" s="18"/>
      <c r="K369" s="18"/>
      <c r="L369" s="19"/>
      <c r="M369" s="20"/>
      <c r="N369" s="20"/>
      <c r="O369" s="20"/>
      <c r="P369" s="20"/>
      <c r="Q369" s="21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1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1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1">
        <f>IFERROR(__xludf.DUMMYFUNCTION("""COMPUTED_VALUE"""),0.0)</f>
        <v>0</v>
      </c>
      <c r="BD369" s="21">
        <f>IFERROR(__xludf.DUMMYFUNCTION("""COMPUTED_VALUE"""),0.0)</f>
        <v>0</v>
      </c>
      <c r="BE369" s="21">
        <f>IFERROR(__xludf.DUMMYFUNCTION("""COMPUTED_VALUE"""),0.0)</f>
        <v>0</v>
      </c>
      <c r="BF369" s="22">
        <f>IFERROR(__xludf.DUMMYFUNCTION("""COMPUTED_VALUE"""),0.0)</f>
        <v>0</v>
      </c>
      <c r="BG369" s="20"/>
      <c r="BH369" s="20"/>
      <c r="BI369" s="20"/>
      <c r="BJ369" s="14"/>
      <c r="BK369" s="14"/>
      <c r="BL369" s="14"/>
      <c r="BM369" s="14"/>
      <c r="BN369" s="14"/>
      <c r="BO369" s="14"/>
    </row>
    <row r="370">
      <c r="A370" s="6" t="str">
        <f>IFERROR(__xludf.DUMMYFUNCTION("""COMPUTED_VALUE"""),"")</f>
        <v/>
      </c>
      <c r="B370" s="7"/>
      <c r="C370" s="8"/>
      <c r="D370" s="7"/>
      <c r="E370" s="7"/>
      <c r="F370" s="7"/>
      <c r="G370" s="8"/>
      <c r="H370" s="6"/>
      <c r="I370" s="12"/>
      <c r="J370" s="9"/>
      <c r="K370" s="9"/>
      <c r="L370" s="10"/>
      <c r="M370" s="11"/>
      <c r="N370" s="11"/>
      <c r="O370" s="11"/>
      <c r="P370" s="11"/>
      <c r="Q370" s="11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1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1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1">
        <f>IFERROR(__xludf.DUMMYFUNCTION("""COMPUTED_VALUE"""),0.0)</f>
        <v>0</v>
      </c>
      <c r="BD370" s="11">
        <f>IFERROR(__xludf.DUMMYFUNCTION("""COMPUTED_VALUE"""),0.0)</f>
        <v>0</v>
      </c>
      <c r="BE370" s="11">
        <f>IFERROR(__xludf.DUMMYFUNCTION("""COMPUTED_VALUE"""),0.0)</f>
        <v>0</v>
      </c>
      <c r="BF370" s="13">
        <f>IFERROR(__xludf.DUMMYFUNCTION("""COMPUTED_VALUE"""),0.0)</f>
        <v>0</v>
      </c>
      <c r="BG370" s="12"/>
      <c r="BH370" s="12"/>
      <c r="BI370" s="12"/>
      <c r="BJ370" s="14"/>
      <c r="BK370" s="14"/>
      <c r="BL370" s="14"/>
      <c r="BM370" s="14"/>
      <c r="BN370" s="14"/>
      <c r="BO370" s="14"/>
    </row>
    <row r="371">
      <c r="A371" s="15" t="str">
        <f>IFERROR(__xludf.DUMMYFUNCTION("""COMPUTED_VALUE"""),"")</f>
        <v/>
      </c>
      <c r="B371" s="16"/>
      <c r="C371" s="17"/>
      <c r="D371" s="16"/>
      <c r="E371" s="16"/>
      <c r="F371" s="16"/>
      <c r="G371" s="17"/>
      <c r="H371" s="15"/>
      <c r="I371" s="20"/>
      <c r="J371" s="18"/>
      <c r="K371" s="18"/>
      <c r="L371" s="19"/>
      <c r="M371" s="20"/>
      <c r="N371" s="20"/>
      <c r="O371" s="20"/>
      <c r="P371" s="20"/>
      <c r="Q371" s="21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1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1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1"/>
      <c r="BD371" s="21"/>
      <c r="BE371" s="21"/>
      <c r="BF371" s="22"/>
      <c r="BG371" s="20"/>
      <c r="BH371" s="20"/>
      <c r="BI371" s="20"/>
      <c r="BJ371" s="14"/>
      <c r="BK371" s="14"/>
      <c r="BL371" s="14"/>
      <c r="BM371" s="14"/>
      <c r="BN371" s="14"/>
      <c r="BO371" s="14"/>
    </row>
    <row r="372">
      <c r="A372" s="6" t="str">
        <f>IFERROR(__xludf.DUMMYFUNCTION("""COMPUTED_VALUE"""),"")</f>
        <v/>
      </c>
      <c r="B372" s="7"/>
      <c r="C372" s="8"/>
      <c r="D372" s="7"/>
      <c r="E372" s="7"/>
      <c r="F372" s="7"/>
      <c r="G372" s="8"/>
      <c r="H372" s="6"/>
      <c r="I372" s="12"/>
      <c r="J372" s="9"/>
      <c r="K372" s="9"/>
      <c r="L372" s="10"/>
      <c r="M372" s="12"/>
      <c r="N372" s="12"/>
      <c r="O372" s="12"/>
      <c r="P372" s="12"/>
      <c r="Q372" s="11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1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1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1"/>
      <c r="BD372" s="11"/>
      <c r="BE372" s="11"/>
      <c r="BF372" s="13"/>
      <c r="BG372" s="12"/>
      <c r="BH372" s="12"/>
      <c r="BI372" s="12"/>
      <c r="BJ372" s="14"/>
      <c r="BK372" s="14"/>
      <c r="BL372" s="14"/>
      <c r="BM372" s="14"/>
      <c r="BN372" s="14"/>
      <c r="BO372" s="14"/>
    </row>
    <row r="373">
      <c r="A373" s="15" t="str">
        <f>IFERROR(__xludf.DUMMYFUNCTION("""COMPUTED_VALUE"""),"")</f>
        <v/>
      </c>
      <c r="B373" s="16"/>
      <c r="C373" s="17"/>
      <c r="D373" s="16"/>
      <c r="E373" s="16"/>
      <c r="F373" s="16"/>
      <c r="G373" s="17"/>
      <c r="H373" s="15"/>
      <c r="I373" s="20"/>
      <c r="J373" s="18"/>
      <c r="K373" s="18"/>
      <c r="L373" s="19"/>
      <c r="M373" s="20"/>
      <c r="N373" s="20"/>
      <c r="O373" s="20"/>
      <c r="P373" s="21"/>
      <c r="Q373" s="21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1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1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1"/>
      <c r="BD373" s="21"/>
      <c r="BE373" s="21"/>
      <c r="BF373" s="22"/>
      <c r="BG373" s="20"/>
      <c r="BH373" s="20"/>
      <c r="BI373" s="20"/>
      <c r="BJ373" s="14"/>
      <c r="BK373" s="14"/>
      <c r="BL373" s="14"/>
      <c r="BM373" s="14"/>
      <c r="BN373" s="14"/>
      <c r="BO373" s="14"/>
    </row>
    <row r="374">
      <c r="A374" s="6" t="str">
        <f>IFERROR(__xludf.DUMMYFUNCTION("""COMPUTED_VALUE"""),"")</f>
        <v/>
      </c>
      <c r="B374" s="7"/>
      <c r="C374" s="8"/>
      <c r="D374" s="7"/>
      <c r="E374" s="7"/>
      <c r="F374" s="7"/>
      <c r="G374" s="8"/>
      <c r="H374" s="6"/>
      <c r="I374" s="12"/>
      <c r="J374" s="9"/>
      <c r="K374" s="9"/>
      <c r="L374" s="10"/>
      <c r="M374" s="11"/>
      <c r="N374" s="11"/>
      <c r="O374" s="11"/>
      <c r="P374" s="11"/>
      <c r="Q374" s="11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1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1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1"/>
      <c r="BD374" s="11"/>
      <c r="BE374" s="11"/>
      <c r="BF374" s="13"/>
      <c r="BG374" s="12"/>
      <c r="BH374" s="12"/>
      <c r="BI374" s="12"/>
      <c r="BJ374" s="14"/>
      <c r="BK374" s="14"/>
      <c r="BL374" s="14"/>
      <c r="BM374" s="14"/>
      <c r="BN374" s="14"/>
      <c r="BO374" s="14"/>
    </row>
    <row r="375">
      <c r="A375" s="15" t="str">
        <f>IFERROR(__xludf.DUMMYFUNCTION("""COMPUTED_VALUE"""),"")</f>
        <v/>
      </c>
      <c r="B375" s="16"/>
      <c r="C375" s="17"/>
      <c r="D375" s="16"/>
      <c r="E375" s="16"/>
      <c r="F375" s="16"/>
      <c r="G375" s="17"/>
      <c r="H375" s="15"/>
      <c r="I375" s="20"/>
      <c r="J375" s="18"/>
      <c r="K375" s="18"/>
      <c r="L375" s="19"/>
      <c r="M375" s="21"/>
      <c r="N375" s="21"/>
      <c r="O375" s="21"/>
      <c r="P375" s="21"/>
      <c r="Q375" s="21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1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1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1"/>
      <c r="BD375" s="21"/>
      <c r="BE375" s="21"/>
      <c r="BF375" s="22"/>
      <c r="BG375" s="20"/>
      <c r="BH375" s="20"/>
      <c r="BI375" s="20"/>
      <c r="BJ375" s="14"/>
      <c r="BK375" s="14"/>
      <c r="BL375" s="14"/>
      <c r="BM375" s="14"/>
      <c r="BN375" s="14"/>
      <c r="BO375" s="14"/>
    </row>
    <row r="376">
      <c r="A376" s="6" t="str">
        <f>IFERROR(__xludf.DUMMYFUNCTION("""COMPUTED_VALUE"""),"")</f>
        <v/>
      </c>
      <c r="B376" s="7"/>
      <c r="C376" s="8"/>
      <c r="D376" s="7"/>
      <c r="E376" s="7"/>
      <c r="F376" s="7"/>
      <c r="G376" s="8"/>
      <c r="H376" s="6"/>
      <c r="I376" s="12"/>
      <c r="J376" s="9"/>
      <c r="K376" s="9"/>
      <c r="L376" s="10"/>
      <c r="M376" s="12"/>
      <c r="N376" s="12"/>
      <c r="O376" s="12"/>
      <c r="P376" s="12"/>
      <c r="Q376" s="11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1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1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1"/>
      <c r="BD376" s="11"/>
      <c r="BE376" s="11"/>
      <c r="BF376" s="13"/>
      <c r="BG376" s="12"/>
      <c r="BH376" s="12"/>
      <c r="BI376" s="12"/>
      <c r="BJ376" s="14"/>
      <c r="BK376" s="14"/>
      <c r="BL376" s="14"/>
      <c r="BM376" s="14"/>
      <c r="BN376" s="14"/>
      <c r="BO376" s="14"/>
    </row>
    <row r="377">
      <c r="A377" s="15" t="str">
        <f>IFERROR(__xludf.DUMMYFUNCTION("""COMPUTED_VALUE"""),"")</f>
        <v/>
      </c>
      <c r="B377" s="16"/>
      <c r="C377" s="17"/>
      <c r="D377" s="16"/>
      <c r="E377" s="16"/>
      <c r="F377" s="16"/>
      <c r="G377" s="17"/>
      <c r="H377" s="15"/>
      <c r="I377" s="20"/>
      <c r="J377" s="18"/>
      <c r="K377" s="18"/>
      <c r="L377" s="19"/>
      <c r="M377" s="20"/>
      <c r="N377" s="20"/>
      <c r="O377" s="20"/>
      <c r="P377" s="20"/>
      <c r="Q377" s="21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1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1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1"/>
      <c r="BD377" s="21"/>
      <c r="BE377" s="21"/>
      <c r="BF377" s="22"/>
      <c r="BG377" s="20"/>
      <c r="BH377" s="20"/>
      <c r="BI377" s="20"/>
      <c r="BJ377" s="14"/>
      <c r="BK377" s="14"/>
      <c r="BL377" s="14"/>
      <c r="BM377" s="14"/>
      <c r="BN377" s="14"/>
      <c r="BO377" s="14"/>
    </row>
    <row r="378">
      <c r="A378" s="6" t="str">
        <f>IFERROR(__xludf.DUMMYFUNCTION("""COMPUTED_VALUE"""),"")</f>
        <v/>
      </c>
      <c r="B378" s="7"/>
      <c r="C378" s="8"/>
      <c r="D378" s="7"/>
      <c r="E378" s="7"/>
      <c r="F378" s="7"/>
      <c r="G378" s="8"/>
      <c r="H378" s="6"/>
      <c r="I378" s="12"/>
      <c r="J378" s="9"/>
      <c r="K378" s="9"/>
      <c r="L378" s="10"/>
      <c r="M378" s="12"/>
      <c r="N378" s="12"/>
      <c r="O378" s="12"/>
      <c r="P378" s="12"/>
      <c r="Q378" s="11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1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1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1"/>
      <c r="BD378" s="11"/>
      <c r="BE378" s="11"/>
      <c r="BF378" s="13"/>
      <c r="BG378" s="12"/>
      <c r="BH378" s="12"/>
      <c r="BI378" s="12"/>
      <c r="BJ378" s="14"/>
      <c r="BK378" s="14"/>
      <c r="BL378" s="14"/>
      <c r="BM378" s="14"/>
      <c r="BN378" s="14"/>
      <c r="BO378" s="14"/>
    </row>
    <row r="379">
      <c r="A379" s="15" t="str">
        <f>IFERROR(__xludf.DUMMYFUNCTION("""COMPUTED_VALUE"""),"")</f>
        <v/>
      </c>
      <c r="B379" s="16"/>
      <c r="C379" s="17"/>
      <c r="D379" s="16"/>
      <c r="E379" s="16"/>
      <c r="F379" s="16"/>
      <c r="G379" s="17"/>
      <c r="H379" s="15"/>
      <c r="I379" s="20"/>
      <c r="J379" s="18"/>
      <c r="K379" s="18"/>
      <c r="L379" s="19"/>
      <c r="M379" s="21"/>
      <c r="N379" s="21"/>
      <c r="O379" s="21"/>
      <c r="P379" s="21"/>
      <c r="Q379" s="21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1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1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1"/>
      <c r="BD379" s="21"/>
      <c r="BE379" s="21"/>
      <c r="BF379" s="22"/>
      <c r="BG379" s="20"/>
      <c r="BH379" s="20"/>
      <c r="BI379" s="20"/>
      <c r="BJ379" s="14"/>
      <c r="BK379" s="14"/>
      <c r="BL379" s="14"/>
      <c r="BM379" s="14"/>
      <c r="BN379" s="14"/>
      <c r="BO379" s="14"/>
    </row>
    <row r="380">
      <c r="A380" s="6" t="str">
        <f>IFERROR(__xludf.DUMMYFUNCTION("""COMPUTED_VALUE"""),"")</f>
        <v/>
      </c>
      <c r="B380" s="7"/>
      <c r="C380" s="8"/>
      <c r="D380" s="7"/>
      <c r="E380" s="7"/>
      <c r="F380" s="7"/>
      <c r="G380" s="8"/>
      <c r="H380" s="6"/>
      <c r="I380" s="12"/>
      <c r="J380" s="9"/>
      <c r="K380" s="9"/>
      <c r="L380" s="10"/>
      <c r="M380" s="11"/>
      <c r="N380" s="11"/>
      <c r="O380" s="11"/>
      <c r="P380" s="11"/>
      <c r="Q380" s="11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1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1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1"/>
      <c r="BD380" s="11"/>
      <c r="BE380" s="11"/>
      <c r="BF380" s="13"/>
      <c r="BG380" s="12"/>
      <c r="BH380" s="12"/>
      <c r="BI380" s="12"/>
      <c r="BJ380" s="14"/>
      <c r="BK380" s="14"/>
      <c r="BL380" s="14"/>
      <c r="BM380" s="14"/>
      <c r="BN380" s="14"/>
      <c r="BO380" s="14"/>
    </row>
    <row r="381">
      <c r="A381" s="15" t="str">
        <f>IFERROR(__xludf.DUMMYFUNCTION("""COMPUTED_VALUE"""),"")</f>
        <v/>
      </c>
      <c r="B381" s="16"/>
      <c r="C381" s="17"/>
      <c r="D381" s="16"/>
      <c r="E381" s="16"/>
      <c r="F381" s="16"/>
      <c r="G381" s="17"/>
      <c r="H381" s="15"/>
      <c r="I381" s="20"/>
      <c r="J381" s="18"/>
      <c r="K381" s="18"/>
      <c r="L381" s="19"/>
      <c r="M381" s="20"/>
      <c r="N381" s="20"/>
      <c r="O381" s="20"/>
      <c r="P381" s="20"/>
      <c r="Q381" s="21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1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1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1"/>
      <c r="BD381" s="21"/>
      <c r="BE381" s="21"/>
      <c r="BF381" s="22"/>
      <c r="BG381" s="20"/>
      <c r="BH381" s="20"/>
      <c r="BI381" s="20"/>
      <c r="BJ381" s="14"/>
      <c r="BK381" s="14"/>
      <c r="BL381" s="14"/>
      <c r="BM381" s="14"/>
      <c r="BN381" s="14"/>
      <c r="BO381" s="14"/>
    </row>
    <row r="382">
      <c r="A382" s="6" t="str">
        <f>IFERROR(__xludf.DUMMYFUNCTION("""COMPUTED_VALUE"""),"")</f>
        <v/>
      </c>
      <c r="B382" s="7"/>
      <c r="C382" s="8"/>
      <c r="D382" s="7"/>
      <c r="E382" s="7"/>
      <c r="F382" s="7"/>
      <c r="G382" s="8"/>
      <c r="H382" s="6"/>
      <c r="I382" s="12"/>
      <c r="J382" s="9"/>
      <c r="K382" s="9"/>
      <c r="L382" s="10"/>
      <c r="M382" s="11"/>
      <c r="N382" s="11"/>
      <c r="O382" s="11"/>
      <c r="P382" s="11"/>
      <c r="Q382" s="11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1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1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1"/>
      <c r="BD382" s="11"/>
      <c r="BE382" s="11"/>
      <c r="BF382" s="13"/>
      <c r="BG382" s="12"/>
      <c r="BH382" s="12"/>
      <c r="BI382" s="12"/>
      <c r="BJ382" s="14"/>
      <c r="BK382" s="14"/>
      <c r="BL382" s="14"/>
      <c r="BM382" s="14"/>
      <c r="BN382" s="14"/>
      <c r="BO382" s="14"/>
    </row>
    <row r="383">
      <c r="A383" s="15" t="str">
        <f>IFERROR(__xludf.DUMMYFUNCTION("""COMPUTED_VALUE"""),"")</f>
        <v/>
      </c>
      <c r="B383" s="16"/>
      <c r="C383" s="17"/>
      <c r="D383" s="16"/>
      <c r="E383" s="16"/>
      <c r="F383" s="16"/>
      <c r="G383" s="17"/>
      <c r="H383" s="15"/>
      <c r="I383" s="20"/>
      <c r="J383" s="18"/>
      <c r="K383" s="18"/>
      <c r="L383" s="19"/>
      <c r="M383" s="21"/>
      <c r="N383" s="21"/>
      <c r="O383" s="21"/>
      <c r="P383" s="21"/>
      <c r="Q383" s="21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1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1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1"/>
      <c r="BD383" s="21"/>
      <c r="BE383" s="21"/>
      <c r="BF383" s="22"/>
      <c r="BG383" s="20"/>
      <c r="BH383" s="20"/>
      <c r="BI383" s="20"/>
      <c r="BJ383" s="14"/>
      <c r="BK383" s="14"/>
      <c r="BL383" s="14"/>
      <c r="BM383" s="14"/>
      <c r="BN383" s="14"/>
      <c r="BO383" s="14"/>
    </row>
    <row r="384">
      <c r="A384" s="6" t="str">
        <f>IFERROR(__xludf.DUMMYFUNCTION("""COMPUTED_VALUE"""),"")</f>
        <v/>
      </c>
      <c r="B384" s="7"/>
      <c r="C384" s="8"/>
      <c r="D384" s="7"/>
      <c r="E384" s="7"/>
      <c r="F384" s="7"/>
      <c r="G384" s="8"/>
      <c r="H384" s="6"/>
      <c r="I384" s="12"/>
      <c r="J384" s="9"/>
      <c r="K384" s="9"/>
      <c r="L384" s="10"/>
      <c r="M384" s="11"/>
      <c r="N384" s="11"/>
      <c r="O384" s="11"/>
      <c r="P384" s="11"/>
      <c r="Q384" s="11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1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1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1"/>
      <c r="BD384" s="11"/>
      <c r="BE384" s="11"/>
      <c r="BF384" s="13"/>
      <c r="BG384" s="12"/>
      <c r="BH384" s="12"/>
      <c r="BI384" s="12"/>
      <c r="BJ384" s="14"/>
      <c r="BK384" s="14"/>
      <c r="BL384" s="14"/>
      <c r="BM384" s="14"/>
      <c r="BN384" s="14"/>
      <c r="BO384" s="14"/>
    </row>
    <row r="385">
      <c r="A385" s="15" t="str">
        <f>IFERROR(__xludf.DUMMYFUNCTION("""COMPUTED_VALUE"""),"")</f>
        <v/>
      </c>
      <c r="B385" s="16"/>
      <c r="C385" s="17"/>
      <c r="D385" s="16"/>
      <c r="E385" s="16"/>
      <c r="F385" s="16"/>
      <c r="G385" s="17"/>
      <c r="H385" s="15"/>
      <c r="I385" s="20"/>
      <c r="J385" s="18"/>
      <c r="K385" s="18"/>
      <c r="L385" s="19"/>
      <c r="M385" s="21"/>
      <c r="N385" s="21"/>
      <c r="O385" s="21"/>
      <c r="P385" s="21"/>
      <c r="Q385" s="21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1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1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1"/>
      <c r="BD385" s="21"/>
      <c r="BE385" s="21"/>
      <c r="BF385" s="22"/>
      <c r="BG385" s="20"/>
      <c r="BH385" s="20"/>
      <c r="BI385" s="20"/>
      <c r="BJ385" s="14"/>
      <c r="BK385" s="14"/>
      <c r="BL385" s="14"/>
      <c r="BM385" s="14"/>
      <c r="BN385" s="14"/>
      <c r="BO385" s="14"/>
    </row>
    <row r="386">
      <c r="A386" s="6" t="str">
        <f>IFERROR(__xludf.DUMMYFUNCTION("""COMPUTED_VALUE"""),"")</f>
        <v/>
      </c>
      <c r="B386" s="7"/>
      <c r="C386" s="25"/>
      <c r="D386" s="7"/>
      <c r="E386" s="7"/>
      <c r="F386" s="7"/>
      <c r="G386" s="8"/>
      <c r="H386" s="6"/>
      <c r="I386" s="12"/>
      <c r="J386" s="9"/>
      <c r="K386" s="9"/>
      <c r="L386" s="10"/>
      <c r="M386" s="11"/>
      <c r="N386" s="12"/>
      <c r="O386" s="12"/>
      <c r="P386" s="12"/>
      <c r="Q386" s="11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4"/>
      <c r="BK386" s="14"/>
      <c r="BL386" s="14"/>
      <c r="BM386" s="14"/>
      <c r="BN386" s="14"/>
      <c r="BO386" s="14"/>
    </row>
    <row r="387">
      <c r="A387" s="15" t="str">
        <f>IFERROR(__xludf.DUMMYFUNCTION("""COMPUTED_VALUE"""),"")</f>
        <v/>
      </c>
      <c r="B387" s="16"/>
      <c r="C387" s="17"/>
      <c r="D387" s="16"/>
      <c r="E387" s="16"/>
      <c r="F387" s="16"/>
      <c r="G387" s="17"/>
      <c r="H387" s="15"/>
      <c r="I387" s="20"/>
      <c r="J387" s="18"/>
      <c r="K387" s="18"/>
      <c r="L387" s="19"/>
      <c r="M387" s="20"/>
      <c r="N387" s="20"/>
      <c r="O387" s="20"/>
      <c r="P387" s="20"/>
      <c r="Q387" s="21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1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1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1"/>
      <c r="BD387" s="21"/>
      <c r="BE387" s="21"/>
      <c r="BF387" s="22"/>
      <c r="BG387" s="20"/>
      <c r="BH387" s="20"/>
      <c r="BI387" s="20"/>
      <c r="BJ387" s="14"/>
      <c r="BK387" s="14"/>
      <c r="BL387" s="14"/>
      <c r="BM387" s="14"/>
      <c r="BN387" s="14"/>
      <c r="BO387" s="14"/>
    </row>
    <row r="388">
      <c r="A388" s="6" t="str">
        <f>IFERROR(__xludf.DUMMYFUNCTION("""COMPUTED_VALUE"""),"")</f>
        <v/>
      </c>
      <c r="B388" s="7"/>
      <c r="C388" s="8"/>
      <c r="D388" s="7"/>
      <c r="E388" s="7"/>
      <c r="F388" s="7"/>
      <c r="G388" s="8"/>
      <c r="H388" s="6"/>
      <c r="I388" s="12"/>
      <c r="J388" s="9"/>
      <c r="K388" s="9"/>
      <c r="L388" s="10"/>
      <c r="M388" s="12"/>
      <c r="N388" s="12"/>
      <c r="O388" s="12"/>
      <c r="P388" s="12"/>
      <c r="Q388" s="11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1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1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1"/>
      <c r="BD388" s="11"/>
      <c r="BE388" s="11"/>
      <c r="BF388" s="13"/>
      <c r="BG388" s="12"/>
      <c r="BH388" s="12"/>
      <c r="BI388" s="12"/>
      <c r="BJ388" s="14"/>
      <c r="BK388" s="14"/>
      <c r="BL388" s="14"/>
      <c r="BM388" s="14"/>
      <c r="BN388" s="14"/>
      <c r="BO388" s="14"/>
    </row>
    <row r="389">
      <c r="A389" s="15" t="str">
        <f>IFERROR(__xludf.DUMMYFUNCTION("""COMPUTED_VALUE"""),"")</f>
        <v/>
      </c>
      <c r="B389" s="16"/>
      <c r="C389" s="17"/>
      <c r="D389" s="16"/>
      <c r="E389" s="16"/>
      <c r="F389" s="16"/>
      <c r="G389" s="17"/>
      <c r="H389" s="15"/>
      <c r="I389" s="20"/>
      <c r="J389" s="18"/>
      <c r="K389" s="18"/>
      <c r="L389" s="19"/>
      <c r="M389" s="20"/>
      <c r="N389" s="20"/>
      <c r="O389" s="20"/>
      <c r="P389" s="20"/>
      <c r="Q389" s="21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1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1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1"/>
      <c r="BD389" s="21"/>
      <c r="BE389" s="21"/>
      <c r="BF389" s="22"/>
      <c r="BG389" s="20"/>
      <c r="BH389" s="20"/>
      <c r="BI389" s="20"/>
      <c r="BJ389" s="14"/>
      <c r="BK389" s="14"/>
      <c r="BL389" s="14"/>
      <c r="BM389" s="14"/>
      <c r="BN389" s="14"/>
      <c r="BO389" s="14"/>
    </row>
    <row r="390">
      <c r="A390" s="6" t="str">
        <f>IFERROR(__xludf.DUMMYFUNCTION("""COMPUTED_VALUE"""),"")</f>
        <v/>
      </c>
      <c r="B390" s="7"/>
      <c r="C390" s="8"/>
      <c r="D390" s="7"/>
      <c r="E390" s="7"/>
      <c r="F390" s="7"/>
      <c r="G390" s="8"/>
      <c r="H390" s="6"/>
      <c r="I390" s="12"/>
      <c r="J390" s="9"/>
      <c r="K390" s="9"/>
      <c r="L390" s="10"/>
      <c r="M390" s="11"/>
      <c r="N390" s="11"/>
      <c r="O390" s="11"/>
      <c r="P390" s="11"/>
      <c r="Q390" s="11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1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1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1"/>
      <c r="BD390" s="11"/>
      <c r="BE390" s="11"/>
      <c r="BF390" s="13"/>
      <c r="BG390" s="12"/>
      <c r="BH390" s="12"/>
      <c r="BI390" s="12"/>
      <c r="BJ390" s="14"/>
      <c r="BK390" s="14"/>
      <c r="BL390" s="14"/>
      <c r="BM390" s="14"/>
      <c r="BN390" s="14"/>
      <c r="BO390" s="14"/>
    </row>
    <row r="391">
      <c r="A391" s="15" t="str">
        <f>IFERROR(__xludf.DUMMYFUNCTION("""COMPUTED_VALUE"""),"")</f>
        <v/>
      </c>
      <c r="B391" s="16"/>
      <c r="C391" s="17"/>
      <c r="D391" s="16"/>
      <c r="E391" s="16"/>
      <c r="F391" s="16"/>
      <c r="G391" s="17"/>
      <c r="H391" s="15"/>
      <c r="I391" s="20"/>
      <c r="J391" s="18"/>
      <c r="K391" s="18"/>
      <c r="L391" s="19"/>
      <c r="M391" s="20"/>
      <c r="N391" s="20"/>
      <c r="O391" s="20"/>
      <c r="P391" s="20"/>
      <c r="Q391" s="21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1"/>
      <c r="BD391" s="21"/>
      <c r="BE391" s="21"/>
      <c r="BF391" s="22"/>
      <c r="BG391" s="20"/>
      <c r="BH391" s="20"/>
      <c r="BI391" s="20"/>
      <c r="BJ391" s="14"/>
      <c r="BK391" s="14"/>
      <c r="BL391" s="14"/>
      <c r="BM391" s="14"/>
      <c r="BN391" s="14"/>
      <c r="BO391" s="14"/>
    </row>
    <row r="392">
      <c r="A392" s="6" t="str">
        <f>IFERROR(__xludf.DUMMYFUNCTION("""COMPUTED_VALUE"""),"")</f>
        <v/>
      </c>
      <c r="B392" s="7"/>
      <c r="C392" s="8"/>
      <c r="D392" s="7"/>
      <c r="E392" s="7"/>
      <c r="F392" s="7"/>
      <c r="G392" s="8"/>
      <c r="H392" s="6"/>
      <c r="I392" s="12"/>
      <c r="J392" s="9"/>
      <c r="K392" s="9"/>
      <c r="L392" s="10"/>
      <c r="M392" s="12"/>
      <c r="N392" s="12"/>
      <c r="O392" s="12"/>
      <c r="P392" s="12"/>
      <c r="Q392" s="11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1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1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1"/>
      <c r="BD392" s="11"/>
      <c r="BE392" s="11"/>
      <c r="BF392" s="13"/>
      <c r="BG392" s="12"/>
      <c r="BH392" s="12"/>
      <c r="BI392" s="12"/>
      <c r="BJ392" s="14"/>
      <c r="BK392" s="14"/>
      <c r="BL392" s="14"/>
      <c r="BM392" s="14"/>
      <c r="BN392" s="14"/>
      <c r="BO392" s="14"/>
    </row>
    <row r="393">
      <c r="A393" s="15" t="str">
        <f>IFERROR(__xludf.DUMMYFUNCTION("""COMPUTED_VALUE"""),"")</f>
        <v/>
      </c>
      <c r="B393" s="16"/>
      <c r="C393" s="17"/>
      <c r="D393" s="16"/>
      <c r="E393" s="16"/>
      <c r="F393" s="16"/>
      <c r="G393" s="17"/>
      <c r="H393" s="15"/>
      <c r="I393" s="20"/>
      <c r="J393" s="18"/>
      <c r="K393" s="18"/>
      <c r="L393" s="19"/>
      <c r="M393" s="20"/>
      <c r="N393" s="20"/>
      <c r="O393" s="20"/>
      <c r="P393" s="20"/>
      <c r="Q393" s="21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1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1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1"/>
      <c r="BD393" s="21"/>
      <c r="BE393" s="21"/>
      <c r="BF393" s="22"/>
      <c r="BG393" s="20"/>
      <c r="BH393" s="20"/>
      <c r="BI393" s="20"/>
      <c r="BJ393" s="14"/>
      <c r="BK393" s="14"/>
      <c r="BL393" s="14"/>
      <c r="BM393" s="14"/>
      <c r="BN393" s="14"/>
      <c r="BO393" s="14"/>
    </row>
    <row r="394">
      <c r="A394" s="6" t="str">
        <f>IFERROR(__xludf.DUMMYFUNCTION("""COMPUTED_VALUE"""),"")</f>
        <v/>
      </c>
      <c r="B394" s="7"/>
      <c r="C394" s="8"/>
      <c r="D394" s="7"/>
      <c r="E394" s="7"/>
      <c r="F394" s="7"/>
      <c r="G394" s="8"/>
      <c r="H394" s="6"/>
      <c r="I394" s="12"/>
      <c r="J394" s="9"/>
      <c r="K394" s="9"/>
      <c r="L394" s="10"/>
      <c r="M394" s="12"/>
      <c r="N394" s="12"/>
      <c r="O394" s="12"/>
      <c r="P394" s="12"/>
      <c r="Q394" s="11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1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1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1"/>
      <c r="BD394" s="11"/>
      <c r="BE394" s="11"/>
      <c r="BF394" s="13"/>
      <c r="BG394" s="12"/>
      <c r="BH394" s="12"/>
      <c r="BI394" s="12"/>
      <c r="BJ394" s="14"/>
      <c r="BK394" s="14"/>
      <c r="BL394" s="14"/>
      <c r="BM394" s="14"/>
      <c r="BN394" s="14"/>
      <c r="BO394" s="14"/>
    </row>
    <row r="395">
      <c r="A395" s="15" t="str">
        <f>IFERROR(__xludf.DUMMYFUNCTION("""COMPUTED_VALUE"""),"")</f>
        <v/>
      </c>
      <c r="B395" s="16"/>
      <c r="C395" s="17"/>
      <c r="D395" s="16"/>
      <c r="E395" s="16"/>
      <c r="F395" s="16"/>
      <c r="G395" s="17"/>
      <c r="H395" s="15"/>
      <c r="I395" s="20"/>
      <c r="J395" s="18"/>
      <c r="K395" s="18"/>
      <c r="L395" s="19"/>
      <c r="M395" s="20"/>
      <c r="N395" s="20"/>
      <c r="O395" s="20"/>
      <c r="P395" s="21"/>
      <c r="Q395" s="21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1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1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1"/>
      <c r="BD395" s="21"/>
      <c r="BE395" s="21"/>
      <c r="BF395" s="22"/>
      <c r="BG395" s="20"/>
      <c r="BH395" s="20"/>
      <c r="BI395" s="20"/>
      <c r="BJ395" s="14"/>
      <c r="BK395" s="14"/>
      <c r="BL395" s="14"/>
      <c r="BM395" s="14"/>
      <c r="BN395" s="14"/>
      <c r="BO395" s="14"/>
    </row>
    <row r="396">
      <c r="A396" s="6" t="str">
        <f>IFERROR(__xludf.DUMMYFUNCTION("""COMPUTED_VALUE"""),"")</f>
        <v/>
      </c>
      <c r="B396" s="7"/>
      <c r="C396" s="8"/>
      <c r="D396" s="7"/>
      <c r="E396" s="7"/>
      <c r="F396" s="7"/>
      <c r="G396" s="8"/>
      <c r="H396" s="6"/>
      <c r="I396" s="12"/>
      <c r="J396" s="9"/>
      <c r="K396" s="9"/>
      <c r="L396" s="10"/>
      <c r="M396" s="12"/>
      <c r="N396" s="12"/>
      <c r="O396" s="12"/>
      <c r="P396" s="12"/>
      <c r="Q396" s="11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1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1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1"/>
      <c r="BD396" s="11"/>
      <c r="BE396" s="11"/>
      <c r="BF396" s="13"/>
      <c r="BG396" s="12"/>
      <c r="BH396" s="12"/>
      <c r="BI396" s="12"/>
      <c r="BJ396" s="14"/>
      <c r="BK396" s="14"/>
      <c r="BL396" s="14"/>
      <c r="BM396" s="14"/>
      <c r="BN396" s="14"/>
      <c r="BO396" s="14"/>
    </row>
    <row r="397">
      <c r="A397" s="15" t="str">
        <f>IFERROR(__xludf.DUMMYFUNCTION("""COMPUTED_VALUE"""),"")</f>
        <v/>
      </c>
      <c r="B397" s="16"/>
      <c r="C397" s="17"/>
      <c r="D397" s="16"/>
      <c r="E397" s="16"/>
      <c r="F397" s="16"/>
      <c r="G397" s="17"/>
      <c r="H397" s="15"/>
      <c r="I397" s="20"/>
      <c r="J397" s="18"/>
      <c r="K397" s="18"/>
      <c r="L397" s="19"/>
      <c r="M397" s="20"/>
      <c r="N397" s="20"/>
      <c r="O397" s="20"/>
      <c r="P397" s="21"/>
      <c r="Q397" s="21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1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1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1"/>
      <c r="BD397" s="21"/>
      <c r="BE397" s="21"/>
      <c r="BF397" s="22"/>
      <c r="BG397" s="20"/>
      <c r="BH397" s="20"/>
      <c r="BI397" s="20"/>
      <c r="BJ397" s="14"/>
      <c r="BK397" s="14"/>
      <c r="BL397" s="14"/>
      <c r="BM397" s="14"/>
      <c r="BN397" s="14"/>
      <c r="BO397" s="14"/>
    </row>
    <row r="398">
      <c r="A398" s="6" t="str">
        <f>IFERROR(__xludf.DUMMYFUNCTION("""COMPUTED_VALUE"""),"")</f>
        <v/>
      </c>
      <c r="B398" s="7"/>
      <c r="C398" s="8"/>
      <c r="D398" s="7"/>
      <c r="E398" s="7"/>
      <c r="F398" s="7"/>
      <c r="G398" s="8"/>
      <c r="H398" s="6"/>
      <c r="I398" s="12"/>
      <c r="J398" s="9"/>
      <c r="K398" s="9"/>
      <c r="L398" s="10"/>
      <c r="M398" s="12"/>
      <c r="N398" s="12"/>
      <c r="O398" s="12"/>
      <c r="P398" s="11"/>
      <c r="Q398" s="11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1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1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1"/>
      <c r="BD398" s="11"/>
      <c r="BE398" s="11"/>
      <c r="BF398" s="13"/>
      <c r="BG398" s="12"/>
      <c r="BH398" s="12"/>
      <c r="BI398" s="12"/>
      <c r="BJ398" s="14"/>
      <c r="BK398" s="14"/>
      <c r="BL398" s="14"/>
      <c r="BM398" s="14"/>
      <c r="BN398" s="14"/>
      <c r="BO398" s="14"/>
    </row>
    <row r="399">
      <c r="A399" s="15" t="str">
        <f>IFERROR(__xludf.DUMMYFUNCTION("""COMPUTED_VALUE"""),"")</f>
        <v/>
      </c>
      <c r="B399" s="16"/>
      <c r="C399" s="17"/>
      <c r="D399" s="16"/>
      <c r="E399" s="16"/>
      <c r="F399" s="16"/>
      <c r="G399" s="17"/>
      <c r="H399" s="15"/>
      <c r="I399" s="20"/>
      <c r="J399" s="18"/>
      <c r="K399" s="18"/>
      <c r="L399" s="19"/>
      <c r="M399" s="21"/>
      <c r="N399" s="21"/>
      <c r="O399" s="21"/>
      <c r="P399" s="21"/>
      <c r="Q399" s="21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1"/>
      <c r="BD399" s="21"/>
      <c r="BE399" s="21"/>
      <c r="BF399" s="22"/>
      <c r="BG399" s="20"/>
      <c r="BH399" s="20"/>
      <c r="BI399" s="20"/>
      <c r="BJ399" s="14"/>
      <c r="BK399" s="14"/>
      <c r="BL399" s="14"/>
      <c r="BM399" s="14"/>
      <c r="BN399" s="14"/>
      <c r="BO399" s="14"/>
    </row>
    <row r="400">
      <c r="A400" s="6" t="str">
        <f>IFERROR(__xludf.DUMMYFUNCTION("""COMPUTED_VALUE"""),"")</f>
        <v/>
      </c>
      <c r="B400" s="7"/>
      <c r="C400" s="8"/>
      <c r="D400" s="7"/>
      <c r="E400" s="7"/>
      <c r="F400" s="7"/>
      <c r="G400" s="8"/>
      <c r="H400" s="6"/>
      <c r="I400" s="12"/>
      <c r="J400" s="9"/>
      <c r="K400" s="9"/>
      <c r="L400" s="10"/>
      <c r="M400" s="12"/>
      <c r="N400" s="12"/>
      <c r="O400" s="12"/>
      <c r="P400" s="12"/>
      <c r="Q400" s="11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1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1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1"/>
      <c r="BD400" s="11"/>
      <c r="BE400" s="11"/>
      <c r="BF400" s="13"/>
      <c r="BG400" s="12"/>
      <c r="BH400" s="12"/>
      <c r="BI400" s="12"/>
      <c r="BJ400" s="14"/>
      <c r="BK400" s="14"/>
      <c r="BL400" s="14"/>
      <c r="BM400" s="14"/>
      <c r="BN400" s="14"/>
      <c r="BO400" s="14"/>
    </row>
    <row r="401">
      <c r="A401" s="15" t="str">
        <f>IFERROR(__xludf.DUMMYFUNCTION("""COMPUTED_VALUE"""),"")</f>
        <v/>
      </c>
      <c r="B401" s="16"/>
      <c r="C401" s="17"/>
      <c r="D401" s="16"/>
      <c r="E401" s="16"/>
      <c r="F401" s="16"/>
      <c r="G401" s="17"/>
      <c r="H401" s="15"/>
      <c r="I401" s="20"/>
      <c r="J401" s="18"/>
      <c r="K401" s="18"/>
      <c r="L401" s="19"/>
      <c r="M401" s="20"/>
      <c r="N401" s="20"/>
      <c r="O401" s="20"/>
      <c r="P401" s="20"/>
      <c r="Q401" s="21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1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1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1"/>
      <c r="BD401" s="21"/>
      <c r="BE401" s="21"/>
      <c r="BF401" s="22"/>
      <c r="BG401" s="20"/>
      <c r="BH401" s="20"/>
      <c r="BI401" s="20"/>
      <c r="BJ401" s="14"/>
      <c r="BK401" s="14"/>
      <c r="BL401" s="14"/>
      <c r="BM401" s="14"/>
      <c r="BN401" s="14"/>
      <c r="BO401" s="14"/>
    </row>
    <row r="402">
      <c r="A402" s="6" t="str">
        <f>IFERROR(__xludf.DUMMYFUNCTION("""COMPUTED_VALUE"""),"")</f>
        <v/>
      </c>
      <c r="B402" s="7"/>
      <c r="C402" s="8"/>
      <c r="D402" s="7"/>
      <c r="E402" s="7"/>
      <c r="F402" s="7"/>
      <c r="G402" s="8"/>
      <c r="H402" s="6"/>
      <c r="I402" s="12"/>
      <c r="J402" s="9"/>
      <c r="K402" s="9"/>
      <c r="L402" s="10"/>
      <c r="M402" s="11"/>
      <c r="N402" s="12"/>
      <c r="O402" s="12"/>
      <c r="P402" s="12"/>
      <c r="Q402" s="11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1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1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1"/>
      <c r="BD402" s="11"/>
      <c r="BE402" s="11"/>
      <c r="BF402" s="13"/>
      <c r="BG402" s="12"/>
      <c r="BH402" s="12"/>
      <c r="BI402" s="12"/>
      <c r="BJ402" s="14"/>
      <c r="BK402" s="14"/>
      <c r="BL402" s="14"/>
      <c r="BM402" s="14"/>
      <c r="BN402" s="14"/>
      <c r="BO402" s="14"/>
    </row>
    <row r="403">
      <c r="A403" s="15" t="str">
        <f>IFERROR(__xludf.DUMMYFUNCTION("""COMPUTED_VALUE"""),"")</f>
        <v/>
      </c>
      <c r="B403" s="16"/>
      <c r="C403" s="17"/>
      <c r="D403" s="16"/>
      <c r="E403" s="16"/>
      <c r="F403" s="16"/>
      <c r="G403" s="17"/>
      <c r="H403" s="15"/>
      <c r="I403" s="20"/>
      <c r="J403" s="18"/>
      <c r="K403" s="18"/>
      <c r="L403" s="19"/>
      <c r="M403" s="20"/>
      <c r="N403" s="20"/>
      <c r="O403" s="20"/>
      <c r="P403" s="20"/>
      <c r="Q403" s="21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1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1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1"/>
      <c r="BD403" s="21"/>
      <c r="BE403" s="21"/>
      <c r="BF403" s="22"/>
      <c r="BG403" s="20"/>
      <c r="BH403" s="20"/>
      <c r="BI403" s="20"/>
      <c r="BJ403" s="14"/>
      <c r="BK403" s="14"/>
      <c r="BL403" s="14"/>
      <c r="BM403" s="14"/>
      <c r="BN403" s="14"/>
      <c r="BO403" s="14"/>
    </row>
    <row r="404">
      <c r="A404" s="6" t="str">
        <f>IFERROR(__xludf.DUMMYFUNCTION("""COMPUTED_VALUE"""),"")</f>
        <v/>
      </c>
      <c r="B404" s="7"/>
      <c r="C404" s="8"/>
      <c r="D404" s="7"/>
      <c r="E404" s="7"/>
      <c r="F404" s="7"/>
      <c r="G404" s="8"/>
      <c r="H404" s="6"/>
      <c r="I404" s="12"/>
      <c r="J404" s="9"/>
      <c r="K404" s="9"/>
      <c r="L404" s="10"/>
      <c r="M404" s="12"/>
      <c r="N404" s="12"/>
      <c r="O404" s="12"/>
      <c r="P404" s="23"/>
      <c r="Q404" s="11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1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1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1"/>
      <c r="BD404" s="11"/>
      <c r="BE404" s="11"/>
      <c r="BF404" s="13"/>
      <c r="BG404" s="12"/>
      <c r="BH404" s="12"/>
      <c r="BI404" s="12"/>
      <c r="BJ404" s="14"/>
      <c r="BK404" s="14"/>
      <c r="BL404" s="14"/>
      <c r="BM404" s="14"/>
      <c r="BN404" s="14"/>
      <c r="BO404" s="14"/>
    </row>
    <row r="405">
      <c r="A405" s="15" t="str">
        <f>IFERROR(__xludf.DUMMYFUNCTION("""COMPUTED_VALUE"""),"")</f>
        <v/>
      </c>
      <c r="B405" s="16"/>
      <c r="C405" s="17"/>
      <c r="D405" s="16"/>
      <c r="E405" s="16"/>
      <c r="F405" s="16"/>
      <c r="G405" s="17"/>
      <c r="H405" s="15"/>
      <c r="I405" s="20"/>
      <c r="J405" s="18"/>
      <c r="K405" s="18"/>
      <c r="L405" s="19"/>
      <c r="M405" s="20"/>
      <c r="N405" s="20"/>
      <c r="O405" s="20"/>
      <c r="P405" s="20"/>
      <c r="Q405" s="21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1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1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1"/>
      <c r="BD405" s="21"/>
      <c r="BE405" s="21"/>
      <c r="BF405" s="22"/>
      <c r="BG405" s="20"/>
      <c r="BH405" s="20"/>
      <c r="BI405" s="20"/>
      <c r="BJ405" s="14"/>
      <c r="BK405" s="14"/>
      <c r="BL405" s="14"/>
      <c r="BM405" s="14"/>
      <c r="BN405" s="14"/>
      <c r="BO405" s="14"/>
    </row>
    <row r="406">
      <c r="A406" s="6" t="str">
        <f>IFERROR(__xludf.DUMMYFUNCTION("""COMPUTED_VALUE"""),"")</f>
        <v/>
      </c>
      <c r="B406" s="7"/>
      <c r="C406" s="8"/>
      <c r="D406" s="7"/>
      <c r="E406" s="7"/>
      <c r="F406" s="7"/>
      <c r="G406" s="8"/>
      <c r="H406" s="6"/>
      <c r="I406" s="12"/>
      <c r="J406" s="9"/>
      <c r="K406" s="9"/>
      <c r="L406" s="10"/>
      <c r="M406" s="11"/>
      <c r="N406" s="12"/>
      <c r="O406" s="12"/>
      <c r="P406" s="11"/>
      <c r="Q406" s="11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1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1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1"/>
      <c r="BD406" s="11"/>
      <c r="BE406" s="11"/>
      <c r="BF406" s="13"/>
      <c r="BG406" s="12"/>
      <c r="BH406" s="12"/>
      <c r="BI406" s="12"/>
      <c r="BJ406" s="14"/>
      <c r="BK406" s="14"/>
      <c r="BL406" s="14"/>
      <c r="BM406" s="14"/>
      <c r="BN406" s="14"/>
      <c r="BO406" s="14"/>
    </row>
    <row r="407">
      <c r="A407" s="15" t="str">
        <f>IFERROR(__xludf.DUMMYFUNCTION("""COMPUTED_VALUE"""),"")</f>
        <v/>
      </c>
      <c r="B407" s="16"/>
      <c r="C407" s="17"/>
      <c r="D407" s="16"/>
      <c r="E407" s="16"/>
      <c r="F407" s="16"/>
      <c r="G407" s="17"/>
      <c r="H407" s="15"/>
      <c r="I407" s="20"/>
      <c r="J407" s="18"/>
      <c r="K407" s="18"/>
      <c r="L407" s="19"/>
      <c r="M407" s="21"/>
      <c r="N407" s="20"/>
      <c r="O407" s="20"/>
      <c r="P407" s="21"/>
      <c r="Q407" s="21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1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1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1"/>
      <c r="BD407" s="21"/>
      <c r="BE407" s="21"/>
      <c r="BF407" s="22"/>
      <c r="BG407" s="20"/>
      <c r="BH407" s="20"/>
      <c r="BI407" s="20"/>
      <c r="BJ407" s="14"/>
      <c r="BK407" s="14"/>
      <c r="BL407" s="14"/>
      <c r="BM407" s="14"/>
      <c r="BN407" s="14"/>
      <c r="BO407" s="14"/>
    </row>
    <row r="408">
      <c r="A408" s="6" t="str">
        <f>IFERROR(__xludf.DUMMYFUNCTION("""COMPUTED_VALUE"""),"")</f>
        <v/>
      </c>
      <c r="B408" s="7"/>
      <c r="C408" s="8"/>
      <c r="D408" s="7"/>
      <c r="E408" s="7"/>
      <c r="F408" s="7"/>
      <c r="G408" s="8"/>
      <c r="H408" s="6"/>
      <c r="I408" s="12"/>
      <c r="J408" s="9"/>
      <c r="K408" s="9"/>
      <c r="L408" s="10"/>
      <c r="M408" s="12"/>
      <c r="N408" s="12"/>
      <c r="O408" s="12"/>
      <c r="P408" s="11"/>
      <c r="Q408" s="11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1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1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1"/>
      <c r="BD408" s="11"/>
      <c r="BE408" s="11"/>
      <c r="BF408" s="13"/>
      <c r="BG408" s="12"/>
      <c r="BH408" s="12"/>
      <c r="BI408" s="12"/>
      <c r="BJ408" s="14"/>
      <c r="BK408" s="14"/>
      <c r="BL408" s="14"/>
      <c r="BM408" s="14"/>
      <c r="BN408" s="14"/>
      <c r="BO408" s="14"/>
    </row>
    <row r="409">
      <c r="A409" s="15" t="str">
        <f>IFERROR(__xludf.DUMMYFUNCTION("""COMPUTED_VALUE"""),"")</f>
        <v/>
      </c>
      <c r="B409" s="16"/>
      <c r="C409" s="17"/>
      <c r="D409" s="16"/>
      <c r="E409" s="16"/>
      <c r="F409" s="16"/>
      <c r="G409" s="17"/>
      <c r="H409" s="15"/>
      <c r="I409" s="20"/>
      <c r="J409" s="18"/>
      <c r="K409" s="18"/>
      <c r="L409" s="19"/>
      <c r="M409" s="20"/>
      <c r="N409" s="20"/>
      <c r="O409" s="20"/>
      <c r="P409" s="20"/>
      <c r="Q409" s="21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1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1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1"/>
      <c r="BD409" s="21"/>
      <c r="BE409" s="21"/>
      <c r="BF409" s="22"/>
      <c r="BG409" s="20"/>
      <c r="BH409" s="20"/>
      <c r="BI409" s="20"/>
      <c r="BJ409" s="14"/>
      <c r="BK409" s="14"/>
      <c r="BL409" s="14"/>
      <c r="BM409" s="14"/>
      <c r="BN409" s="14"/>
      <c r="BO409" s="14"/>
    </row>
    <row r="410">
      <c r="A410" s="6" t="str">
        <f>IFERROR(__xludf.DUMMYFUNCTION("""COMPUTED_VALUE"""),"")</f>
        <v/>
      </c>
      <c r="B410" s="7"/>
      <c r="C410" s="8"/>
      <c r="D410" s="7"/>
      <c r="E410" s="7"/>
      <c r="F410" s="7"/>
      <c r="G410" s="8"/>
      <c r="H410" s="6"/>
      <c r="I410" s="12"/>
      <c r="J410" s="9"/>
      <c r="K410" s="9"/>
      <c r="L410" s="26"/>
      <c r="M410" s="12"/>
      <c r="N410" s="12"/>
      <c r="O410" s="12"/>
      <c r="P410" s="11"/>
      <c r="Q410" s="11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1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1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1"/>
      <c r="BD410" s="11"/>
      <c r="BE410" s="11"/>
      <c r="BF410" s="13"/>
      <c r="BG410" s="12"/>
      <c r="BH410" s="12"/>
      <c r="BI410" s="12"/>
      <c r="BJ410" s="14"/>
      <c r="BK410" s="14"/>
      <c r="BL410" s="14"/>
      <c r="BM410" s="14"/>
      <c r="BN410" s="14"/>
      <c r="BO410" s="14"/>
    </row>
    <row r="411">
      <c r="A411" s="15" t="str">
        <f>IFERROR(__xludf.DUMMYFUNCTION("""COMPUTED_VALUE"""),"")</f>
        <v/>
      </c>
      <c r="B411" s="16"/>
      <c r="C411" s="17"/>
      <c r="D411" s="16"/>
      <c r="E411" s="16"/>
      <c r="F411" s="16"/>
      <c r="G411" s="17"/>
      <c r="H411" s="15"/>
      <c r="I411" s="20"/>
      <c r="J411" s="18"/>
      <c r="K411" s="18"/>
      <c r="L411" s="19"/>
      <c r="M411" s="20"/>
      <c r="N411" s="20"/>
      <c r="O411" s="20"/>
      <c r="P411" s="20"/>
      <c r="Q411" s="21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1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1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1"/>
      <c r="BD411" s="21"/>
      <c r="BE411" s="21"/>
      <c r="BF411" s="22"/>
      <c r="BG411" s="20"/>
      <c r="BH411" s="20"/>
      <c r="BI411" s="20"/>
      <c r="BJ411" s="14"/>
      <c r="BK411" s="14"/>
      <c r="BL411" s="14"/>
      <c r="BM411" s="14"/>
      <c r="BN411" s="14"/>
      <c r="BO411" s="14"/>
    </row>
    <row r="412">
      <c r="A412" s="6" t="str">
        <f>IFERROR(__xludf.DUMMYFUNCTION("""COMPUTED_VALUE"""),"")</f>
        <v/>
      </c>
      <c r="B412" s="7"/>
      <c r="C412" s="8"/>
      <c r="D412" s="7"/>
      <c r="E412" s="7"/>
      <c r="F412" s="7"/>
      <c r="G412" s="8"/>
      <c r="H412" s="6"/>
      <c r="I412" s="12"/>
      <c r="J412" s="9"/>
      <c r="K412" s="9"/>
      <c r="L412" s="10"/>
      <c r="M412" s="11"/>
      <c r="N412" s="11"/>
      <c r="O412" s="11"/>
      <c r="P412" s="11"/>
      <c r="Q412" s="11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1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1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1"/>
      <c r="BD412" s="11"/>
      <c r="BE412" s="11"/>
      <c r="BF412" s="13"/>
      <c r="BG412" s="12"/>
      <c r="BH412" s="12"/>
      <c r="BI412" s="12"/>
      <c r="BJ412" s="14"/>
      <c r="BK412" s="14"/>
      <c r="BL412" s="14"/>
      <c r="BM412" s="14"/>
      <c r="BN412" s="14"/>
      <c r="BO412" s="14"/>
    </row>
    <row r="413">
      <c r="A413" s="15" t="str">
        <f>IFERROR(__xludf.DUMMYFUNCTION("""COMPUTED_VALUE"""),"")</f>
        <v/>
      </c>
      <c r="B413" s="16"/>
      <c r="C413" s="17"/>
      <c r="D413" s="16"/>
      <c r="E413" s="16"/>
      <c r="F413" s="16"/>
      <c r="G413" s="17"/>
      <c r="H413" s="15"/>
      <c r="I413" s="20"/>
      <c r="J413" s="18"/>
      <c r="K413" s="18"/>
      <c r="L413" s="19"/>
      <c r="M413" s="20"/>
      <c r="N413" s="20"/>
      <c r="O413" s="20"/>
      <c r="P413" s="21"/>
      <c r="Q413" s="21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1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1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1"/>
      <c r="BD413" s="21"/>
      <c r="BE413" s="21"/>
      <c r="BF413" s="22"/>
      <c r="BG413" s="20"/>
      <c r="BH413" s="20"/>
      <c r="BI413" s="20"/>
      <c r="BJ413" s="14"/>
      <c r="BK413" s="14"/>
      <c r="BL413" s="14"/>
      <c r="BM413" s="14"/>
      <c r="BN413" s="14"/>
      <c r="BO413" s="14"/>
    </row>
    <row r="414">
      <c r="A414" s="6" t="str">
        <f>IFERROR(__xludf.DUMMYFUNCTION("""COMPUTED_VALUE"""),"")</f>
        <v/>
      </c>
      <c r="B414" s="7"/>
      <c r="C414" s="8"/>
      <c r="D414" s="7"/>
      <c r="E414" s="7"/>
      <c r="F414" s="7"/>
      <c r="G414" s="8"/>
      <c r="H414" s="6"/>
      <c r="I414" s="12"/>
      <c r="J414" s="9"/>
      <c r="K414" s="9"/>
      <c r="L414" s="10"/>
      <c r="M414" s="12"/>
      <c r="N414" s="12"/>
      <c r="O414" s="12"/>
      <c r="P414" s="12"/>
      <c r="Q414" s="11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1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1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1"/>
      <c r="BD414" s="11"/>
      <c r="BE414" s="11"/>
      <c r="BF414" s="13"/>
      <c r="BG414" s="12"/>
      <c r="BH414" s="12"/>
      <c r="BI414" s="12"/>
      <c r="BJ414" s="14"/>
      <c r="BK414" s="14"/>
      <c r="BL414" s="14"/>
      <c r="BM414" s="14"/>
      <c r="BN414" s="14"/>
      <c r="BO414" s="14"/>
    </row>
    <row r="415">
      <c r="A415" s="15" t="str">
        <f>IFERROR(__xludf.DUMMYFUNCTION("""COMPUTED_VALUE"""),"")</f>
        <v/>
      </c>
      <c r="B415" s="16"/>
      <c r="C415" s="17"/>
      <c r="D415" s="16"/>
      <c r="E415" s="16"/>
      <c r="F415" s="16"/>
      <c r="G415" s="17"/>
      <c r="H415" s="15"/>
      <c r="I415" s="20"/>
      <c r="J415" s="18"/>
      <c r="K415" s="18"/>
      <c r="L415" s="19"/>
      <c r="M415" s="20"/>
      <c r="N415" s="20"/>
      <c r="O415" s="20"/>
      <c r="P415" s="20"/>
      <c r="Q415" s="21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1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1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1"/>
      <c r="BD415" s="21"/>
      <c r="BE415" s="21"/>
      <c r="BF415" s="22"/>
      <c r="BG415" s="20"/>
      <c r="BH415" s="20"/>
      <c r="BI415" s="20"/>
      <c r="BJ415" s="14"/>
      <c r="BK415" s="14"/>
      <c r="BL415" s="14"/>
      <c r="BM415" s="14"/>
      <c r="BN415" s="14"/>
      <c r="BO415" s="14"/>
    </row>
    <row r="416">
      <c r="A416" s="6" t="str">
        <f>IFERROR(__xludf.DUMMYFUNCTION("""COMPUTED_VALUE"""),"")</f>
        <v/>
      </c>
      <c r="B416" s="7"/>
      <c r="C416" s="8"/>
      <c r="D416" s="7"/>
      <c r="E416" s="7"/>
      <c r="F416" s="7"/>
      <c r="G416" s="8"/>
      <c r="H416" s="6"/>
      <c r="I416" s="12"/>
      <c r="J416" s="9"/>
      <c r="K416" s="9"/>
      <c r="L416" s="10"/>
      <c r="M416" s="12"/>
      <c r="N416" s="12"/>
      <c r="O416" s="12"/>
      <c r="P416" s="12"/>
      <c r="Q416" s="11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1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1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1"/>
      <c r="BD416" s="11"/>
      <c r="BE416" s="11"/>
      <c r="BF416" s="13"/>
      <c r="BG416" s="12"/>
      <c r="BH416" s="12"/>
      <c r="BI416" s="12"/>
      <c r="BJ416" s="14"/>
      <c r="BK416" s="14"/>
      <c r="BL416" s="14"/>
      <c r="BM416" s="14"/>
      <c r="BN416" s="14"/>
      <c r="BO416" s="14"/>
    </row>
    <row r="417">
      <c r="A417" s="15" t="str">
        <f>IFERROR(__xludf.DUMMYFUNCTION("""COMPUTED_VALUE"""),"")</f>
        <v/>
      </c>
      <c r="B417" s="16"/>
      <c r="C417" s="17"/>
      <c r="D417" s="16"/>
      <c r="E417" s="16"/>
      <c r="F417" s="16"/>
      <c r="G417" s="17"/>
      <c r="H417" s="15"/>
      <c r="I417" s="20"/>
      <c r="J417" s="18"/>
      <c r="K417" s="18"/>
      <c r="L417" s="19"/>
      <c r="M417" s="21"/>
      <c r="N417" s="20"/>
      <c r="O417" s="20"/>
      <c r="P417" s="20"/>
      <c r="Q417" s="21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1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1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1"/>
      <c r="BD417" s="21"/>
      <c r="BE417" s="21"/>
      <c r="BF417" s="22"/>
      <c r="BG417" s="20"/>
      <c r="BH417" s="20"/>
      <c r="BI417" s="20"/>
      <c r="BJ417" s="14"/>
      <c r="BK417" s="14"/>
      <c r="BL417" s="14"/>
      <c r="BM417" s="14"/>
      <c r="BN417" s="14"/>
      <c r="BO417" s="14"/>
    </row>
    <row r="418">
      <c r="A418" s="6" t="str">
        <f>IFERROR(__xludf.DUMMYFUNCTION("""COMPUTED_VALUE"""),"")</f>
        <v/>
      </c>
      <c r="B418" s="7"/>
      <c r="C418" s="8"/>
      <c r="D418" s="7"/>
      <c r="E418" s="7"/>
      <c r="F418" s="7"/>
      <c r="G418" s="8"/>
      <c r="H418" s="6"/>
      <c r="I418" s="12"/>
      <c r="J418" s="9"/>
      <c r="K418" s="9"/>
      <c r="L418" s="10"/>
      <c r="M418" s="11"/>
      <c r="N418" s="12"/>
      <c r="O418" s="12"/>
      <c r="P418" s="11"/>
      <c r="Q418" s="11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1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1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1"/>
      <c r="BD418" s="11"/>
      <c r="BE418" s="11"/>
      <c r="BF418" s="13"/>
      <c r="BG418" s="12"/>
      <c r="BH418" s="12"/>
      <c r="BI418" s="12"/>
      <c r="BJ418" s="14"/>
      <c r="BK418" s="14"/>
      <c r="BL418" s="14"/>
      <c r="BM418" s="14"/>
      <c r="BN418" s="14"/>
      <c r="BO418" s="14"/>
    </row>
    <row r="419">
      <c r="A419" s="15" t="str">
        <f>IFERROR(__xludf.DUMMYFUNCTION("""COMPUTED_VALUE"""),"")</f>
        <v/>
      </c>
      <c r="B419" s="16"/>
      <c r="C419" s="17"/>
      <c r="D419" s="16"/>
      <c r="E419" s="16"/>
      <c r="F419" s="16"/>
      <c r="G419" s="17"/>
      <c r="H419" s="15"/>
      <c r="I419" s="20"/>
      <c r="J419" s="18"/>
      <c r="K419" s="18"/>
      <c r="L419" s="19"/>
      <c r="M419" s="21"/>
      <c r="N419" s="20"/>
      <c r="O419" s="20"/>
      <c r="P419" s="20"/>
      <c r="Q419" s="21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1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1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1"/>
      <c r="BD419" s="21"/>
      <c r="BE419" s="21"/>
      <c r="BF419" s="22"/>
      <c r="BG419" s="20"/>
      <c r="BH419" s="20"/>
      <c r="BI419" s="20"/>
      <c r="BJ419" s="14"/>
      <c r="BK419" s="14"/>
      <c r="BL419" s="14"/>
      <c r="BM419" s="14"/>
      <c r="BN419" s="14"/>
      <c r="BO419" s="14"/>
    </row>
    <row r="420">
      <c r="A420" s="6" t="str">
        <f>IFERROR(__xludf.DUMMYFUNCTION("""COMPUTED_VALUE"""),"")</f>
        <v/>
      </c>
      <c r="B420" s="7"/>
      <c r="C420" s="8"/>
      <c r="D420" s="7"/>
      <c r="E420" s="7"/>
      <c r="F420" s="7"/>
      <c r="G420" s="8"/>
      <c r="H420" s="6"/>
      <c r="I420" s="12"/>
      <c r="J420" s="9"/>
      <c r="K420" s="9"/>
      <c r="L420" s="10"/>
      <c r="M420" s="11"/>
      <c r="N420" s="12"/>
      <c r="O420" s="12"/>
      <c r="P420" s="12"/>
      <c r="Q420" s="11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1"/>
      <c r="BD420" s="11"/>
      <c r="BE420" s="11"/>
      <c r="BF420" s="13"/>
      <c r="BG420" s="12"/>
      <c r="BH420" s="12"/>
      <c r="BI420" s="12"/>
      <c r="BJ420" s="14"/>
      <c r="BK420" s="14"/>
      <c r="BL420" s="14"/>
      <c r="BM420" s="14"/>
      <c r="BN420" s="14"/>
      <c r="BO420" s="14"/>
    </row>
    <row r="421">
      <c r="A421" s="15" t="str">
        <f>IFERROR(__xludf.DUMMYFUNCTION("""COMPUTED_VALUE"""),"")</f>
        <v/>
      </c>
      <c r="B421" s="16"/>
      <c r="C421" s="17"/>
      <c r="D421" s="27"/>
      <c r="E421" s="27"/>
      <c r="F421" s="16"/>
      <c r="G421" s="17"/>
      <c r="H421" s="15"/>
      <c r="I421" s="20"/>
      <c r="J421" s="18"/>
      <c r="K421" s="18"/>
      <c r="L421" s="19"/>
      <c r="M421" s="20"/>
      <c r="N421" s="20"/>
      <c r="O421" s="20"/>
      <c r="P421" s="21"/>
      <c r="Q421" s="21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1"/>
      <c r="BD421" s="21"/>
      <c r="BE421" s="21"/>
      <c r="BF421" s="22"/>
      <c r="BG421" s="20"/>
      <c r="BH421" s="20"/>
      <c r="BI421" s="20"/>
      <c r="BJ421" s="14"/>
      <c r="BK421" s="14"/>
      <c r="BL421" s="14"/>
      <c r="BM421" s="14"/>
      <c r="BN421" s="14"/>
      <c r="BO421" s="14"/>
    </row>
    <row r="422">
      <c r="A422" s="6" t="str">
        <f>IFERROR(__xludf.DUMMYFUNCTION("""COMPUTED_VALUE"""),"")</f>
        <v/>
      </c>
      <c r="B422" s="7"/>
      <c r="C422" s="8"/>
      <c r="D422" s="7"/>
      <c r="E422" s="7"/>
      <c r="F422" s="7"/>
      <c r="G422" s="8"/>
      <c r="H422" s="6"/>
      <c r="I422" s="12"/>
      <c r="J422" s="9"/>
      <c r="K422" s="9"/>
      <c r="L422" s="10"/>
      <c r="M422" s="11"/>
      <c r="N422" s="12"/>
      <c r="O422" s="12"/>
      <c r="P422" s="12"/>
      <c r="Q422" s="11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1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1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1"/>
      <c r="BD422" s="11"/>
      <c r="BE422" s="11"/>
      <c r="BF422" s="13"/>
      <c r="BG422" s="12"/>
      <c r="BH422" s="12"/>
      <c r="BI422" s="12"/>
      <c r="BJ422" s="14"/>
      <c r="BK422" s="14"/>
      <c r="BL422" s="14"/>
      <c r="BM422" s="14"/>
      <c r="BN422" s="14"/>
      <c r="BO422" s="14"/>
    </row>
    <row r="423">
      <c r="A423" s="15" t="str">
        <f>IFERROR(__xludf.DUMMYFUNCTION("""COMPUTED_VALUE"""),"")</f>
        <v/>
      </c>
      <c r="B423" s="16"/>
      <c r="C423" s="17"/>
      <c r="D423" s="16"/>
      <c r="E423" s="16"/>
      <c r="F423" s="16"/>
      <c r="G423" s="17"/>
      <c r="H423" s="15"/>
      <c r="I423" s="20"/>
      <c r="J423" s="18"/>
      <c r="K423" s="18"/>
      <c r="L423" s="19"/>
      <c r="M423" s="21"/>
      <c r="N423" s="20"/>
      <c r="O423" s="20"/>
      <c r="P423" s="20"/>
      <c r="Q423" s="21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1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1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1"/>
      <c r="BD423" s="21"/>
      <c r="BE423" s="21"/>
      <c r="BF423" s="22"/>
      <c r="BG423" s="20"/>
      <c r="BH423" s="20"/>
      <c r="BI423" s="20"/>
      <c r="BJ423" s="14"/>
      <c r="BK423" s="14"/>
      <c r="BL423" s="14"/>
      <c r="BM423" s="14"/>
      <c r="BN423" s="14"/>
      <c r="BO423" s="14"/>
    </row>
    <row r="424">
      <c r="A424" s="6" t="str">
        <f>IFERROR(__xludf.DUMMYFUNCTION("""COMPUTED_VALUE"""),"")</f>
        <v/>
      </c>
      <c r="B424" s="7"/>
      <c r="C424" s="8"/>
      <c r="D424" s="7"/>
      <c r="E424" s="7"/>
      <c r="F424" s="7"/>
      <c r="G424" s="8"/>
      <c r="H424" s="6"/>
      <c r="I424" s="12"/>
      <c r="J424" s="9"/>
      <c r="K424" s="9"/>
      <c r="L424" s="10"/>
      <c r="M424" s="11"/>
      <c r="N424" s="12"/>
      <c r="O424" s="12"/>
      <c r="P424" s="12"/>
      <c r="Q424" s="11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1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1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1"/>
      <c r="BD424" s="11"/>
      <c r="BE424" s="11"/>
      <c r="BF424" s="13"/>
      <c r="BG424" s="12"/>
      <c r="BH424" s="12"/>
      <c r="BI424" s="12"/>
      <c r="BJ424" s="14"/>
      <c r="BK424" s="14"/>
      <c r="BL424" s="14"/>
      <c r="BM424" s="14"/>
      <c r="BN424" s="14"/>
      <c r="BO424" s="14"/>
    </row>
    <row r="425">
      <c r="A425" s="15" t="str">
        <f>IFERROR(__xludf.DUMMYFUNCTION("""COMPUTED_VALUE"""),"")</f>
        <v/>
      </c>
      <c r="B425" s="16"/>
      <c r="C425" s="17"/>
      <c r="D425" s="16"/>
      <c r="E425" s="16"/>
      <c r="F425" s="16"/>
      <c r="G425" s="17"/>
      <c r="H425" s="15"/>
      <c r="I425" s="18"/>
      <c r="J425" s="18"/>
      <c r="K425" s="18"/>
      <c r="L425" s="19"/>
      <c r="M425" s="20"/>
      <c r="N425" s="20"/>
      <c r="O425" s="20"/>
      <c r="P425" s="20"/>
      <c r="Q425" s="21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1"/>
      <c r="BD425" s="21"/>
      <c r="BE425" s="21"/>
      <c r="BF425" s="22"/>
      <c r="BG425" s="20"/>
      <c r="BH425" s="20"/>
      <c r="BI425" s="20"/>
      <c r="BJ425" s="14"/>
      <c r="BK425" s="14"/>
      <c r="BL425" s="14"/>
      <c r="BM425" s="14"/>
      <c r="BN425" s="14"/>
      <c r="BO425" s="14"/>
    </row>
    <row r="426">
      <c r="A426" s="6" t="str">
        <f>IFERROR(__xludf.DUMMYFUNCTION("""COMPUTED_VALUE"""),"")</f>
        <v/>
      </c>
      <c r="B426" s="7"/>
      <c r="C426" s="8"/>
      <c r="D426" s="7"/>
      <c r="E426" s="7"/>
      <c r="F426" s="7"/>
      <c r="G426" s="8"/>
      <c r="H426" s="6"/>
      <c r="I426" s="9"/>
      <c r="J426" s="9"/>
      <c r="K426" s="9"/>
      <c r="L426" s="10"/>
      <c r="M426" s="12"/>
      <c r="N426" s="12"/>
      <c r="O426" s="12"/>
      <c r="P426" s="12"/>
      <c r="Q426" s="11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1"/>
      <c r="BD426" s="11"/>
      <c r="BE426" s="11"/>
      <c r="BF426" s="13"/>
      <c r="BG426" s="12"/>
      <c r="BH426" s="12"/>
      <c r="BI426" s="12"/>
      <c r="BJ426" s="14"/>
      <c r="BK426" s="14"/>
      <c r="BL426" s="14"/>
      <c r="BM426" s="14"/>
      <c r="BN426" s="14"/>
      <c r="BO426" s="14"/>
    </row>
    <row r="427">
      <c r="A427" s="15" t="str">
        <f>IFERROR(__xludf.DUMMYFUNCTION("""COMPUTED_VALUE"""),"")</f>
        <v/>
      </c>
      <c r="B427" s="16"/>
      <c r="C427" s="17"/>
      <c r="D427" s="16"/>
      <c r="E427" s="16"/>
      <c r="F427" s="16"/>
      <c r="G427" s="17"/>
      <c r="H427" s="15"/>
      <c r="I427" s="18"/>
      <c r="J427" s="18"/>
      <c r="K427" s="18"/>
      <c r="L427" s="19"/>
      <c r="M427" s="20"/>
      <c r="N427" s="20"/>
      <c r="O427" s="20"/>
      <c r="P427" s="20"/>
      <c r="Q427" s="21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1"/>
      <c r="BD427" s="21"/>
      <c r="BE427" s="21"/>
      <c r="BF427" s="22"/>
      <c r="BG427" s="20"/>
      <c r="BH427" s="20"/>
      <c r="BI427" s="20"/>
      <c r="BJ427" s="14"/>
      <c r="BK427" s="14"/>
      <c r="BL427" s="14"/>
      <c r="BM427" s="14"/>
      <c r="BN427" s="14"/>
      <c r="BO427" s="14"/>
    </row>
    <row r="428">
      <c r="A428" s="6" t="str">
        <f>IFERROR(__xludf.DUMMYFUNCTION("""COMPUTED_VALUE"""),"")</f>
        <v/>
      </c>
      <c r="B428" s="7"/>
      <c r="C428" s="8"/>
      <c r="D428" s="7"/>
      <c r="E428" s="7"/>
      <c r="F428" s="7"/>
      <c r="G428" s="8"/>
      <c r="H428" s="6"/>
      <c r="I428" s="9"/>
      <c r="J428" s="9"/>
      <c r="K428" s="9"/>
      <c r="L428" s="10"/>
      <c r="M428" s="12"/>
      <c r="N428" s="12"/>
      <c r="O428" s="12"/>
      <c r="P428" s="12"/>
      <c r="Q428" s="11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1"/>
      <c r="BD428" s="11"/>
      <c r="BE428" s="11"/>
      <c r="BF428" s="13"/>
      <c r="BG428" s="12"/>
      <c r="BH428" s="12"/>
      <c r="BI428" s="12"/>
      <c r="BJ428" s="14"/>
      <c r="BK428" s="14"/>
      <c r="BL428" s="14"/>
      <c r="BM428" s="14"/>
      <c r="BN428" s="14"/>
      <c r="BO428" s="14"/>
    </row>
    <row r="429">
      <c r="A429" s="15" t="str">
        <f>IFERROR(__xludf.DUMMYFUNCTION("""COMPUTED_VALUE"""),"")</f>
        <v/>
      </c>
      <c r="B429" s="16"/>
      <c r="C429" s="17"/>
      <c r="D429" s="16"/>
      <c r="E429" s="16"/>
      <c r="F429" s="16"/>
      <c r="G429" s="17"/>
      <c r="H429" s="15"/>
      <c r="I429" s="18"/>
      <c r="J429" s="18"/>
      <c r="K429" s="18"/>
      <c r="L429" s="19"/>
      <c r="M429" s="20"/>
      <c r="N429" s="20"/>
      <c r="O429" s="20"/>
      <c r="P429" s="20"/>
      <c r="Q429" s="21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1"/>
      <c r="BD429" s="21"/>
      <c r="BE429" s="21"/>
      <c r="BF429" s="22"/>
      <c r="BG429" s="20"/>
      <c r="BH429" s="20"/>
      <c r="BI429" s="20"/>
      <c r="BJ429" s="14"/>
      <c r="BK429" s="14"/>
      <c r="BL429" s="14"/>
      <c r="BM429" s="14"/>
      <c r="BN429" s="14"/>
      <c r="BO429" s="14"/>
    </row>
    <row r="430">
      <c r="A430" s="6" t="str">
        <f>IFERROR(__xludf.DUMMYFUNCTION("""COMPUTED_VALUE"""),"")</f>
        <v/>
      </c>
      <c r="B430" s="7"/>
      <c r="C430" s="8"/>
      <c r="D430" s="7"/>
      <c r="E430" s="7"/>
      <c r="F430" s="7"/>
      <c r="G430" s="8"/>
      <c r="H430" s="6"/>
      <c r="I430" s="9"/>
      <c r="J430" s="9"/>
      <c r="K430" s="9"/>
      <c r="L430" s="10"/>
      <c r="M430" s="12"/>
      <c r="N430" s="12"/>
      <c r="O430" s="12"/>
      <c r="P430" s="12"/>
      <c r="Q430" s="11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1"/>
      <c r="BD430" s="11"/>
      <c r="BE430" s="11"/>
      <c r="BF430" s="13"/>
      <c r="BG430" s="12"/>
      <c r="BH430" s="12"/>
      <c r="BI430" s="12"/>
      <c r="BJ430" s="14"/>
      <c r="BK430" s="14"/>
      <c r="BL430" s="14"/>
      <c r="BM430" s="14"/>
      <c r="BN430" s="14"/>
      <c r="BO430" s="14"/>
    </row>
    <row r="431">
      <c r="A431" s="15" t="str">
        <f>IFERROR(__xludf.DUMMYFUNCTION("""COMPUTED_VALUE"""),"")</f>
        <v/>
      </c>
      <c r="B431" s="16"/>
      <c r="C431" s="17"/>
      <c r="D431" s="16"/>
      <c r="E431" s="16"/>
      <c r="F431" s="16"/>
      <c r="G431" s="17"/>
      <c r="H431" s="15"/>
      <c r="I431" s="18"/>
      <c r="J431" s="18"/>
      <c r="K431" s="18"/>
      <c r="L431" s="19"/>
      <c r="M431" s="20"/>
      <c r="N431" s="20"/>
      <c r="O431" s="20"/>
      <c r="P431" s="20"/>
      <c r="Q431" s="21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1"/>
      <c r="BD431" s="21"/>
      <c r="BE431" s="21"/>
      <c r="BF431" s="22"/>
      <c r="BG431" s="20"/>
      <c r="BH431" s="20"/>
      <c r="BI431" s="20"/>
      <c r="BJ431" s="14"/>
      <c r="BK431" s="14"/>
      <c r="BL431" s="14"/>
      <c r="BM431" s="14"/>
      <c r="BN431" s="14"/>
      <c r="BO431" s="14"/>
    </row>
    <row r="432">
      <c r="A432" s="6" t="str">
        <f>IFERROR(__xludf.DUMMYFUNCTION("""COMPUTED_VALUE"""),"")</f>
        <v/>
      </c>
      <c r="B432" s="7"/>
      <c r="C432" s="8"/>
      <c r="D432" s="7"/>
      <c r="E432" s="7"/>
      <c r="F432" s="7"/>
      <c r="G432" s="8"/>
      <c r="H432" s="6"/>
      <c r="I432" s="9"/>
      <c r="J432" s="9"/>
      <c r="K432" s="9"/>
      <c r="L432" s="10"/>
      <c r="M432" s="12"/>
      <c r="N432" s="12"/>
      <c r="O432" s="12"/>
      <c r="P432" s="12"/>
      <c r="Q432" s="11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1"/>
      <c r="BD432" s="11"/>
      <c r="BE432" s="11"/>
      <c r="BF432" s="13"/>
      <c r="BG432" s="12"/>
      <c r="BH432" s="12"/>
      <c r="BI432" s="12"/>
      <c r="BJ432" s="14"/>
      <c r="BK432" s="14"/>
      <c r="BL432" s="14"/>
      <c r="BM432" s="14"/>
      <c r="BN432" s="14"/>
      <c r="BO432" s="14"/>
    </row>
    <row r="433">
      <c r="A433" s="15" t="str">
        <f>IFERROR(__xludf.DUMMYFUNCTION("""COMPUTED_VALUE"""),"")</f>
        <v/>
      </c>
      <c r="B433" s="16"/>
      <c r="C433" s="17"/>
      <c r="D433" s="16"/>
      <c r="E433" s="16"/>
      <c r="F433" s="16"/>
      <c r="G433" s="17"/>
      <c r="H433" s="15"/>
      <c r="I433" s="18"/>
      <c r="J433" s="18"/>
      <c r="K433" s="18"/>
      <c r="L433" s="19"/>
      <c r="M433" s="20"/>
      <c r="N433" s="20"/>
      <c r="O433" s="20"/>
      <c r="P433" s="20"/>
      <c r="Q433" s="21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1"/>
      <c r="BD433" s="21"/>
      <c r="BE433" s="21"/>
      <c r="BF433" s="22"/>
      <c r="BG433" s="20"/>
      <c r="BH433" s="20"/>
      <c r="BI433" s="20"/>
      <c r="BJ433" s="14"/>
      <c r="BK433" s="14"/>
      <c r="BL433" s="14"/>
      <c r="BM433" s="14"/>
      <c r="BN433" s="14"/>
      <c r="BO433" s="14"/>
    </row>
    <row r="434">
      <c r="A434" s="6" t="str">
        <f>IFERROR(__xludf.DUMMYFUNCTION("""COMPUTED_VALUE"""),"")</f>
        <v/>
      </c>
      <c r="B434" s="7"/>
      <c r="C434" s="8"/>
      <c r="D434" s="7"/>
      <c r="E434" s="7"/>
      <c r="F434" s="7"/>
      <c r="G434" s="8"/>
      <c r="H434" s="6"/>
      <c r="I434" s="9"/>
      <c r="J434" s="9"/>
      <c r="K434" s="9"/>
      <c r="L434" s="10"/>
      <c r="M434" s="12"/>
      <c r="N434" s="12"/>
      <c r="O434" s="12"/>
      <c r="P434" s="12"/>
      <c r="Q434" s="11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1"/>
      <c r="BD434" s="11"/>
      <c r="BE434" s="11"/>
      <c r="BF434" s="13"/>
      <c r="BG434" s="12"/>
      <c r="BH434" s="12"/>
      <c r="BI434" s="12"/>
      <c r="BJ434" s="14"/>
      <c r="BK434" s="14"/>
      <c r="BL434" s="14"/>
      <c r="BM434" s="14"/>
      <c r="BN434" s="14"/>
      <c r="BO434" s="14"/>
    </row>
    <row r="435">
      <c r="A435" s="15" t="str">
        <f>IFERROR(__xludf.DUMMYFUNCTION("""COMPUTED_VALUE"""),"")</f>
        <v/>
      </c>
      <c r="B435" s="16"/>
      <c r="C435" s="17"/>
      <c r="D435" s="16"/>
      <c r="E435" s="16"/>
      <c r="F435" s="16"/>
      <c r="G435" s="17"/>
      <c r="H435" s="15"/>
      <c r="I435" s="18"/>
      <c r="J435" s="18"/>
      <c r="K435" s="18"/>
      <c r="L435" s="19"/>
      <c r="M435" s="20"/>
      <c r="N435" s="20"/>
      <c r="O435" s="20"/>
      <c r="P435" s="20"/>
      <c r="Q435" s="21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1"/>
      <c r="BD435" s="21"/>
      <c r="BE435" s="21"/>
      <c r="BF435" s="22"/>
      <c r="BG435" s="20"/>
      <c r="BH435" s="20"/>
      <c r="BI435" s="20"/>
      <c r="BJ435" s="14"/>
      <c r="BK435" s="14"/>
      <c r="BL435" s="14"/>
      <c r="BM435" s="14"/>
      <c r="BN435" s="14"/>
      <c r="BO435" s="14"/>
    </row>
    <row r="436">
      <c r="A436" s="6" t="str">
        <f>IFERROR(__xludf.DUMMYFUNCTION("""COMPUTED_VALUE"""),"")</f>
        <v/>
      </c>
      <c r="B436" s="7"/>
      <c r="C436" s="8"/>
      <c r="D436" s="7"/>
      <c r="E436" s="7"/>
      <c r="F436" s="7"/>
      <c r="G436" s="8"/>
      <c r="H436" s="6"/>
      <c r="I436" s="9"/>
      <c r="J436" s="9"/>
      <c r="K436" s="9"/>
      <c r="L436" s="10"/>
      <c r="M436" s="12"/>
      <c r="N436" s="12"/>
      <c r="O436" s="12"/>
      <c r="P436" s="12"/>
      <c r="Q436" s="11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1"/>
      <c r="BD436" s="11"/>
      <c r="BE436" s="11"/>
      <c r="BF436" s="13"/>
      <c r="BG436" s="12"/>
      <c r="BH436" s="12"/>
      <c r="BI436" s="12"/>
      <c r="BJ436" s="14"/>
      <c r="BK436" s="14"/>
      <c r="BL436" s="14"/>
      <c r="BM436" s="14"/>
      <c r="BN436" s="14"/>
      <c r="BO436" s="14"/>
    </row>
    <row r="437">
      <c r="A437" s="15" t="str">
        <f>IFERROR(__xludf.DUMMYFUNCTION("""COMPUTED_VALUE"""),"")</f>
        <v/>
      </c>
      <c r="B437" s="27"/>
      <c r="C437" s="27"/>
      <c r="D437" s="27"/>
      <c r="E437" s="27"/>
      <c r="F437" s="27"/>
      <c r="G437" s="27"/>
      <c r="H437" s="27"/>
      <c r="I437" s="20"/>
      <c r="J437" s="20"/>
      <c r="K437" s="20"/>
      <c r="L437" s="24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14"/>
      <c r="BK437" s="14"/>
      <c r="BL437" s="14"/>
      <c r="BM437" s="14"/>
      <c r="BN437" s="14"/>
      <c r="BO437" s="14"/>
    </row>
    <row r="438">
      <c r="A438" s="6" t="str">
        <f>IFERROR(__xludf.DUMMYFUNCTION("""COMPUTED_VALUE"""),"")</f>
        <v/>
      </c>
      <c r="B438" s="7"/>
      <c r="C438" s="8"/>
      <c r="D438" s="6"/>
      <c r="E438" s="6"/>
      <c r="F438" s="6"/>
      <c r="G438" s="6"/>
      <c r="H438" s="8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11"/>
      <c r="V438" s="11"/>
      <c r="W438" s="11"/>
      <c r="X438" s="11"/>
      <c r="Y438" s="11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11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7"/>
      <c r="BD438" s="7"/>
      <c r="BE438" s="7"/>
      <c r="BF438" s="7"/>
      <c r="BG438" s="7"/>
      <c r="BH438" s="7"/>
      <c r="BI438" s="7"/>
      <c r="BJ438" s="14"/>
      <c r="BK438" s="14"/>
      <c r="BL438" s="14"/>
      <c r="BM438" s="14"/>
      <c r="BN438" s="14"/>
      <c r="BO438" s="14"/>
    </row>
    <row r="439">
      <c r="A439" s="15" t="str">
        <f>IFERROR(__xludf.DUMMYFUNCTION("""COMPUTED_VALUE"""),"")</f>
        <v/>
      </c>
      <c r="B439" s="16"/>
      <c r="C439" s="17"/>
      <c r="D439" s="15"/>
      <c r="E439" s="15"/>
      <c r="F439" s="15"/>
      <c r="G439" s="15"/>
      <c r="H439" s="17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1"/>
      <c r="W439" s="21"/>
      <c r="X439" s="21"/>
      <c r="Y439" s="21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1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16"/>
      <c r="BD439" s="16"/>
      <c r="BE439" s="16"/>
      <c r="BF439" s="16"/>
      <c r="BG439" s="16"/>
      <c r="BH439" s="16"/>
      <c r="BI439" s="16"/>
      <c r="BJ439" s="14"/>
      <c r="BK439" s="14"/>
      <c r="BL439" s="14"/>
      <c r="BM439" s="14"/>
      <c r="BN439" s="14"/>
      <c r="BO439" s="14"/>
    </row>
    <row r="440">
      <c r="A440" s="6" t="str">
        <f>IFERROR(__xludf.DUMMYFUNCTION("""COMPUTED_VALUE"""),"")</f>
        <v/>
      </c>
      <c r="B440" s="7"/>
      <c r="C440" s="8"/>
      <c r="D440" s="6"/>
      <c r="E440" s="6"/>
      <c r="F440" s="6"/>
      <c r="G440" s="6"/>
      <c r="H440" s="8"/>
      <c r="I440" s="23"/>
      <c r="J440" s="23"/>
      <c r="K440" s="23"/>
      <c r="L440" s="23"/>
      <c r="M440" s="23"/>
      <c r="N440" s="23"/>
      <c r="O440" s="23"/>
      <c r="P440" s="23"/>
      <c r="Q440" s="23"/>
      <c r="R440" s="11"/>
      <c r="S440" s="11"/>
      <c r="T440" s="11"/>
      <c r="U440" s="11"/>
      <c r="V440" s="11"/>
      <c r="W440" s="11"/>
      <c r="X440" s="11"/>
      <c r="Y440" s="11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11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7"/>
      <c r="BD440" s="7"/>
      <c r="BE440" s="7"/>
      <c r="BF440" s="7"/>
      <c r="BG440" s="7"/>
      <c r="BH440" s="7"/>
      <c r="BI440" s="7"/>
      <c r="BJ440" s="14"/>
      <c r="BK440" s="14"/>
      <c r="BL440" s="14"/>
      <c r="BM440" s="14"/>
      <c r="BN440" s="14"/>
      <c r="BO440" s="14"/>
    </row>
    <row r="441">
      <c r="A441" s="15" t="str">
        <f>IFERROR(__xludf.DUMMYFUNCTION("""COMPUTED_VALUE"""),"")</f>
        <v/>
      </c>
      <c r="B441" s="16"/>
      <c r="C441" s="17"/>
      <c r="D441" s="15"/>
      <c r="E441" s="15"/>
      <c r="F441" s="15"/>
      <c r="G441" s="15"/>
      <c r="H441" s="17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1"/>
      <c r="X441" s="21"/>
      <c r="Y441" s="21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1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16"/>
      <c r="BD441" s="16"/>
      <c r="BE441" s="16"/>
      <c r="BF441" s="16"/>
      <c r="BG441" s="16"/>
      <c r="BH441" s="16"/>
      <c r="BI441" s="16"/>
      <c r="BJ441" s="14"/>
      <c r="BK441" s="14"/>
      <c r="BL441" s="14"/>
      <c r="BM441" s="14"/>
      <c r="BN441" s="14"/>
      <c r="BO441" s="14"/>
    </row>
    <row r="442">
      <c r="A442" s="6" t="str">
        <f>IFERROR(__xludf.DUMMYFUNCTION("""COMPUTED_VALUE"""),"")</f>
        <v/>
      </c>
      <c r="B442" s="7"/>
      <c r="C442" s="8"/>
      <c r="D442" s="6"/>
      <c r="E442" s="6"/>
      <c r="F442" s="6"/>
      <c r="G442" s="6"/>
      <c r="H442" s="8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11"/>
      <c r="W442" s="11"/>
      <c r="X442" s="11"/>
      <c r="Y442" s="11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11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7"/>
      <c r="BD442" s="7"/>
      <c r="BE442" s="7"/>
      <c r="BF442" s="7"/>
      <c r="BG442" s="7"/>
      <c r="BH442" s="7"/>
      <c r="BI442" s="7"/>
      <c r="BJ442" s="14"/>
      <c r="BK442" s="14"/>
      <c r="BL442" s="14"/>
      <c r="BM442" s="14"/>
      <c r="BN442" s="14"/>
      <c r="BO442" s="14"/>
    </row>
    <row r="443">
      <c r="A443" s="15" t="str">
        <f>IFERROR(__xludf.DUMMYFUNCTION("""COMPUTED_VALUE"""),"")</f>
        <v/>
      </c>
      <c r="B443" s="16"/>
      <c r="C443" s="17"/>
      <c r="D443" s="15"/>
      <c r="E443" s="15"/>
      <c r="F443" s="15"/>
      <c r="G443" s="15"/>
      <c r="H443" s="17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1"/>
      <c r="X443" s="21"/>
      <c r="Y443" s="21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1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16"/>
      <c r="BD443" s="16"/>
      <c r="BE443" s="16"/>
      <c r="BF443" s="16"/>
      <c r="BG443" s="16"/>
      <c r="BH443" s="16"/>
      <c r="BI443" s="16"/>
      <c r="BJ443" s="14"/>
      <c r="BK443" s="14"/>
      <c r="BL443" s="14"/>
      <c r="BM443" s="14"/>
      <c r="BN443" s="14"/>
      <c r="BO443" s="14"/>
    </row>
    <row r="444">
      <c r="A444" s="6" t="str">
        <f>IFERROR(__xludf.DUMMYFUNCTION("""COMPUTED_VALUE"""),"")</f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14"/>
      <c r="BK444" s="14"/>
      <c r="BL444" s="14"/>
      <c r="BM444" s="14"/>
      <c r="BN444" s="14"/>
      <c r="BO444" s="14"/>
    </row>
    <row r="445">
      <c r="A445" s="29" t="str">
        <f>IFERROR(__xludf.DUMMYFUNCTION("""COMPUTED_VALUE"""),"")</f>
        <v/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>
      <c r="A446" s="29" t="str">
        <f>IFERROR(__xludf.DUMMYFUNCTION("""COMPUTED_VALUE"""),"")</f>
        <v/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>
      <c r="A447" s="29" t="str">
        <f>IFERROR(__xludf.DUMMYFUNCTION("""COMPUTED_VALUE"""),"")</f>
        <v/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>
      <c r="A448" s="29" t="str">
        <f>IFERROR(__xludf.DUMMYFUNCTION("""COMPUTED_VALUE"""),"")</f>
        <v/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>
      <c r="A449" s="29" t="str">
        <f>IFERROR(__xludf.DUMMYFUNCTION("""COMPUTED_VALUE"""),"")</f>
        <v/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>
      <c r="A450" s="29" t="str">
        <f>IFERROR(__xludf.DUMMYFUNCTION("""COMPUTED_VALUE"""),"")</f>
        <v/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>
      <c r="A451" s="29" t="str">
        <f>IFERROR(__xludf.DUMMYFUNCTION("""COMPUTED_VALUE"""),"")</f>
        <v/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>
      <c r="A452" s="29" t="str">
        <f>IFERROR(__xludf.DUMMYFUNCTION("""COMPUTED_VALUE"""),"")</f>
        <v/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>
      <c r="A453" s="29" t="str">
        <f>IFERROR(__xludf.DUMMYFUNCTION("""COMPUTED_VALUE"""),"")</f>
        <v/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>
      <c r="A454" s="29" t="str">
        <f>IFERROR(__xludf.DUMMYFUNCTION("""COMPUTED_VALUE"""),"")</f>
        <v/>
      </c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>
      <c r="A455" s="29" t="str">
        <f>IFERROR(__xludf.DUMMYFUNCTION("""COMPUTED_VALUE"""),"")</f>
        <v/>
      </c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>
      <c r="A456" s="29" t="str">
        <f>IFERROR(__xludf.DUMMYFUNCTION("""COMPUTED_VALUE"""),"")</f>
        <v/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>
      <c r="A457" s="29" t="str">
        <f>IFERROR(__xludf.DUMMYFUNCTION("""COMPUTED_VALUE"""),"")</f>
        <v/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>
      <c r="A458" s="29" t="str">
        <f>IFERROR(__xludf.DUMMYFUNCTION("""COMPUTED_VALUE"""),"")</f>
        <v/>
      </c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>
      <c r="A459" s="29" t="str">
        <f>IFERROR(__xludf.DUMMYFUNCTION("""COMPUTED_VALUE"""),"")</f>
        <v/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>
      <c r="A460" s="29" t="str">
        <f>IFERROR(__xludf.DUMMYFUNCTION("""COMPUTED_VALUE"""),"")</f>
        <v/>
      </c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>
      <c r="A461" s="29" t="str">
        <f>IFERROR(__xludf.DUMMYFUNCTION("""COMPUTED_VALUE"""),"")</f>
        <v/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>
      <c r="A462" s="29" t="str">
        <f>IFERROR(__xludf.DUMMYFUNCTION("""COMPUTED_VALUE"""),"")</f>
        <v/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>
      <c r="A463" s="29" t="str">
        <f>IFERROR(__xludf.DUMMYFUNCTION("""COMPUTED_VALUE"""),"")</f>
        <v/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>
      <c r="A464" s="29" t="str">
        <f>IFERROR(__xludf.DUMMYFUNCTION("""COMPUTED_VALUE"""),"")</f>
        <v/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>
      <c r="A465" s="29" t="str">
        <f>IFERROR(__xludf.DUMMYFUNCTION("""COMPUTED_VALUE"""),"")</f>
        <v/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>
      <c r="A466" s="29" t="str">
        <f>IFERROR(__xludf.DUMMYFUNCTION("""COMPUTED_VALUE"""),"")</f>
        <v/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>
      <c r="A467" s="29" t="str">
        <f>IFERROR(__xludf.DUMMYFUNCTION("""COMPUTED_VALUE"""),"")</f>
        <v/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>
      <c r="A468" s="29" t="str">
        <f>IFERROR(__xludf.DUMMYFUNCTION("""COMPUTED_VALUE"""),"")</f>
        <v/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>
      <c r="A469" s="29" t="str">
        <f>IFERROR(__xludf.DUMMYFUNCTION("""COMPUTED_VALUE"""),"")</f>
        <v/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>
      <c r="A470" s="29" t="str">
        <f>IFERROR(__xludf.DUMMYFUNCTION("""COMPUTED_VALUE"""),"")</f>
        <v/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>
      <c r="A471" s="29" t="str">
        <f>IFERROR(__xludf.DUMMYFUNCTION("""COMPUTED_VALUE"""),"")</f>
        <v/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>
      <c r="A472" s="29" t="str">
        <f>IFERROR(__xludf.DUMMYFUNCTION("""COMPUTED_VALUE"""),"")</f>
        <v/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>
      <c r="A473" s="29" t="str">
        <f>IFERROR(__xludf.DUMMYFUNCTION("""COMPUTED_VALUE"""),"")</f>
        <v/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>
      <c r="A474" s="29" t="str">
        <f>IFERROR(__xludf.DUMMYFUNCTION("""COMPUTED_VALUE"""),"")</f>
        <v/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>
      <c r="A475" s="29" t="str">
        <f>IFERROR(__xludf.DUMMYFUNCTION("""COMPUTED_VALUE"""),"")</f>
        <v/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>
      <c r="A476" s="29" t="str">
        <f>IFERROR(__xludf.DUMMYFUNCTION("""COMPUTED_VALUE"""),"")</f>
        <v/>
      </c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>
      <c r="A477" s="29" t="str">
        <f>IFERROR(__xludf.DUMMYFUNCTION("""COMPUTED_VALUE"""),"")</f>
        <v/>
      </c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>
      <c r="A478" s="29" t="str">
        <f>IFERROR(__xludf.DUMMYFUNCTION("""COMPUTED_VALUE"""),"")</f>
        <v/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>
      <c r="A479" s="29" t="str">
        <f>IFERROR(__xludf.DUMMYFUNCTION("""COMPUTED_VALUE"""),"")</f>
        <v/>
      </c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>
      <c r="A480" s="29" t="str">
        <f>IFERROR(__xludf.DUMMYFUNCTION("""COMPUTED_VALUE"""),"")</f>
        <v/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>
      <c r="A481" s="29" t="str">
        <f>IFERROR(__xludf.DUMMYFUNCTION("""COMPUTED_VALUE"""),"")</f>
        <v/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>
      <c r="A482" s="29" t="str">
        <f>IFERROR(__xludf.DUMMYFUNCTION("""COMPUTED_VALUE"""),"")</f>
        <v/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>
      <c r="A483" s="29" t="str">
        <f>IFERROR(__xludf.DUMMYFUNCTION("""COMPUTED_VALUE"""),"")</f>
        <v/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>
      <c r="A484" s="29" t="str">
        <f>IFERROR(__xludf.DUMMYFUNCTION("""COMPUTED_VALUE"""),"")</f>
        <v/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>
      <c r="A485" s="29" t="str">
        <f>IFERROR(__xludf.DUMMYFUNCTION("""COMPUTED_VALUE"""),"")</f>
        <v/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>
      <c r="A486" s="29" t="str">
        <f>IFERROR(__xludf.DUMMYFUNCTION("""COMPUTED_VALUE"""),"")</f>
        <v/>
      </c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>
      <c r="A487" s="29" t="str">
        <f>IFERROR(__xludf.DUMMYFUNCTION("""COMPUTED_VALUE"""),"")</f>
        <v/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>
      <c r="A488" s="29" t="str">
        <f>IFERROR(__xludf.DUMMYFUNCTION("""COMPUTED_VALUE"""),"")</f>
        <v/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>
      <c r="A489" s="29" t="str">
        <f>IFERROR(__xludf.DUMMYFUNCTION("""COMPUTED_VALUE"""),"")</f>
        <v/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>
      <c r="A490" s="29" t="str">
        <f>IFERROR(__xludf.DUMMYFUNCTION("""COMPUTED_VALUE"""),"")</f>
        <v/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>
      <c r="A491" s="29" t="str">
        <f>IFERROR(__xludf.DUMMYFUNCTION("""COMPUTED_VALUE"""),"")</f>
        <v/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>
      <c r="A492" s="29" t="str">
        <f>IFERROR(__xludf.DUMMYFUNCTION("""COMPUTED_VALUE"""),"")</f>
        <v/>
      </c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>
      <c r="A493" s="29" t="str">
        <f>IFERROR(__xludf.DUMMYFUNCTION("""COMPUTED_VALUE"""),"")</f>
        <v/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>
      <c r="A494" s="29" t="str">
        <f>IFERROR(__xludf.DUMMYFUNCTION("""COMPUTED_VALUE"""),"")</f>
        <v/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>
      <c r="A495" s="29" t="str">
        <f>IFERROR(__xludf.DUMMYFUNCTION("""COMPUTED_VALUE"""),"")</f>
        <v/>
      </c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>
      <c r="A496" s="29" t="str">
        <f>IFERROR(__xludf.DUMMYFUNCTION("""COMPUTED_VALUE"""),"")</f>
        <v/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>
      <c r="A497" s="29" t="str">
        <f>IFERROR(__xludf.DUMMYFUNCTION("""COMPUTED_VALUE"""),"")</f>
        <v/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>
      <c r="A498" s="29" t="str">
        <f>IFERROR(__xludf.DUMMYFUNCTION("""COMPUTED_VALUE"""),"")</f>
        <v/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>
      <c r="A499" s="29" t="str">
        <f>IFERROR(__xludf.DUMMYFUNCTION("""COMPUTED_VALUE"""),"")</f>
        <v/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>
      <c r="A500" s="29" t="str">
        <f>IFERROR(__xludf.DUMMYFUNCTION("""COMPUTED_VALUE"""),"")</f>
        <v/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>
      <c r="A501" s="29" t="str">
        <f>IFERROR(__xludf.DUMMYFUNCTION("""COMPUTED_VALUE"""),"")</f>
        <v/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>
      <c r="A502" s="29" t="str">
        <f>IFERROR(__xludf.DUMMYFUNCTION("""COMPUTED_VALUE"""),"")</f>
        <v/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>
      <c r="A503" s="29" t="str">
        <f>IFERROR(__xludf.DUMMYFUNCTION("""COMPUTED_VALUE"""),"")</f>
        <v/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>
      <c r="A504" s="29" t="str">
        <f>IFERROR(__xludf.DUMMYFUNCTION("""COMPUTED_VALUE"""),"")</f>
        <v/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>
      <c r="A505" s="29" t="str">
        <f>IFERROR(__xludf.DUMMYFUNCTION("""COMPUTED_VALUE"""),"")</f>
        <v/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>
      <c r="A506" s="29" t="str">
        <f>IFERROR(__xludf.DUMMYFUNCTION("""COMPUTED_VALUE"""),"")</f>
        <v/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>
      <c r="A507" s="29" t="str">
        <f>IFERROR(__xludf.DUMMYFUNCTION("""COMPUTED_VALUE"""),"")</f>
        <v/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>
      <c r="A508" s="29" t="str">
        <f>IFERROR(__xludf.DUMMYFUNCTION("""COMPUTED_VALUE"""),"")</f>
        <v/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>
      <c r="A509" s="29" t="str">
        <f>IFERROR(__xludf.DUMMYFUNCTION("""COMPUTED_VALUE"""),"")</f>
        <v/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>
      <c r="A510" s="29" t="str">
        <f>IFERROR(__xludf.DUMMYFUNCTION("""COMPUTED_VALUE"""),"")</f>
        <v/>
      </c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>
      <c r="A511" s="29" t="str">
        <f>IFERROR(__xludf.DUMMYFUNCTION("""COMPUTED_VALUE"""),"")</f>
        <v/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>
      <c r="A512" s="29" t="str">
        <f>IFERROR(__xludf.DUMMYFUNCTION("""COMPUTED_VALUE"""),"")</f>
        <v/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>
      <c r="A513" s="29" t="str">
        <f>IFERROR(__xludf.DUMMYFUNCTION("""COMPUTED_VALUE"""),"")</f>
        <v/>
      </c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>
      <c r="A514" s="29" t="str">
        <f>IFERROR(__xludf.DUMMYFUNCTION("""COMPUTED_VALUE"""),"")</f>
        <v/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>
      <c r="A515" s="29" t="str">
        <f>IFERROR(__xludf.DUMMYFUNCTION("""COMPUTED_VALUE"""),"")</f>
        <v/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>
      <c r="A516" s="29" t="str">
        <f>IFERROR(__xludf.DUMMYFUNCTION("""COMPUTED_VALUE"""),"")</f>
        <v/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>
      <c r="A517" s="29" t="str">
        <f>IFERROR(__xludf.DUMMYFUNCTION("""COMPUTED_VALUE"""),"")</f>
        <v/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>
      <c r="A518" s="29" t="str">
        <f>IFERROR(__xludf.DUMMYFUNCTION("""COMPUTED_VALUE"""),"")</f>
        <v/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>
      <c r="A519" s="29" t="str">
        <f>IFERROR(__xludf.DUMMYFUNCTION("""COMPUTED_VALUE"""),"")</f>
        <v/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>
      <c r="A520" s="29" t="str">
        <f>IFERROR(__xludf.DUMMYFUNCTION("""COMPUTED_VALUE"""),"")</f>
        <v/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>
      <c r="A521" s="29" t="str">
        <f>IFERROR(__xludf.DUMMYFUNCTION("""COMPUTED_VALUE"""),"")</f>
        <v/>
      </c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>
      <c r="A522" s="29" t="str">
        <f>IFERROR(__xludf.DUMMYFUNCTION("""COMPUTED_VALUE"""),"")</f>
        <v/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>
      <c r="A523" s="29" t="str">
        <f>IFERROR(__xludf.DUMMYFUNCTION("""COMPUTED_VALUE"""),"")</f>
        <v/>
      </c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>
      <c r="A524" s="29" t="str">
        <f>IFERROR(__xludf.DUMMYFUNCTION("""COMPUTED_VALUE"""),"")</f>
        <v/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>
      <c r="A525" s="29" t="str">
        <f>IFERROR(__xludf.DUMMYFUNCTION("""COMPUTED_VALUE"""),"")</f>
        <v/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>
      <c r="A526" s="29" t="str">
        <f>IFERROR(__xludf.DUMMYFUNCTION("""COMPUTED_VALUE"""),"")</f>
        <v/>
      </c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>
      <c r="A527" s="29" t="str">
        <f>IFERROR(__xludf.DUMMYFUNCTION("""COMPUTED_VALUE"""),"")</f>
        <v/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>
      <c r="A528" s="29" t="str">
        <f>IFERROR(__xludf.DUMMYFUNCTION("""COMPUTED_VALUE"""),"")</f>
        <v/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>
      <c r="A529" s="29" t="str">
        <f>IFERROR(__xludf.DUMMYFUNCTION("""COMPUTED_VALUE"""),"")</f>
        <v/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>
      <c r="A530" s="29" t="str">
        <f>IFERROR(__xludf.DUMMYFUNCTION("""COMPUTED_VALUE"""),"")</f>
        <v/>
      </c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>
      <c r="A531" s="29" t="str">
        <f>IFERROR(__xludf.DUMMYFUNCTION("""COMPUTED_VALUE"""),"")</f>
        <v/>
      </c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>
      <c r="A532" s="29" t="str">
        <f>IFERROR(__xludf.DUMMYFUNCTION("""COMPUTED_VALUE"""),"")</f>
        <v/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>
      <c r="A533" s="29" t="str">
        <f>IFERROR(__xludf.DUMMYFUNCTION("""COMPUTED_VALUE"""),"")</f>
        <v/>
      </c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>
      <c r="A534" s="29" t="str">
        <f>IFERROR(__xludf.DUMMYFUNCTION("""COMPUTED_VALUE"""),"")</f>
        <v/>
      </c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>
      <c r="A535" s="29" t="str">
        <f>IFERROR(__xludf.DUMMYFUNCTION("""COMPUTED_VALUE"""),"")</f>
        <v/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>
      <c r="A536" s="29" t="str">
        <f>IFERROR(__xludf.DUMMYFUNCTION("""COMPUTED_VALUE"""),"")</f>
        <v/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>
      <c r="A537" s="29" t="str">
        <f>IFERROR(__xludf.DUMMYFUNCTION("""COMPUTED_VALUE"""),"")</f>
        <v/>
      </c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>
      <c r="A538" s="29" t="str">
        <f>IFERROR(__xludf.DUMMYFUNCTION("""COMPUTED_VALUE"""),"")</f>
        <v/>
      </c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>
      <c r="A539" s="29" t="str">
        <f>IFERROR(__xludf.DUMMYFUNCTION("""COMPUTED_VALUE"""),"")</f>
        <v/>
      </c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>
      <c r="A540" s="29" t="str">
        <f>IFERROR(__xludf.DUMMYFUNCTION("""COMPUTED_VALUE"""),"")</f>
        <v/>
      </c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>
      <c r="A541" s="29" t="str">
        <f>IFERROR(__xludf.DUMMYFUNCTION("""COMPUTED_VALUE"""),"")</f>
        <v/>
      </c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>
      <c r="A542" s="29" t="str">
        <f>IFERROR(__xludf.DUMMYFUNCTION("""COMPUTED_VALUE"""),"")</f>
        <v/>
      </c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>
      <c r="A543" s="29" t="str">
        <f>IFERROR(__xludf.DUMMYFUNCTION("""COMPUTED_VALUE"""),"")</f>
        <v/>
      </c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>
      <c r="A544" s="29" t="str">
        <f>IFERROR(__xludf.DUMMYFUNCTION("""COMPUTED_VALUE"""),"")</f>
        <v/>
      </c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>
      <c r="A545" s="29" t="str">
        <f>IFERROR(__xludf.DUMMYFUNCTION("""COMPUTED_VALUE"""),"")</f>
        <v/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>
      <c r="A546" s="29" t="str">
        <f>IFERROR(__xludf.DUMMYFUNCTION("""COMPUTED_VALUE"""),"")</f>
        <v/>
      </c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>
      <c r="A547" s="29" t="str">
        <f>IFERROR(__xludf.DUMMYFUNCTION("""COMPUTED_VALUE"""),"")</f>
        <v/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>
      <c r="A548" s="29" t="str">
        <f>IFERROR(__xludf.DUMMYFUNCTION("""COMPUTED_VALUE"""),"")</f>
        <v/>
      </c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>
      <c r="A549" s="29" t="str">
        <f>IFERROR(__xludf.DUMMYFUNCTION("""COMPUTED_VALUE"""),"")</f>
        <v/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>
      <c r="A550" s="29" t="str">
        <f>IFERROR(__xludf.DUMMYFUNCTION("""COMPUTED_VALUE"""),"")</f>
        <v/>
      </c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>
      <c r="A551" s="29" t="str">
        <f>IFERROR(__xludf.DUMMYFUNCTION("""COMPUTED_VALUE"""),"")</f>
        <v/>
      </c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>
      <c r="A552" s="29" t="str">
        <f>IFERROR(__xludf.DUMMYFUNCTION("""COMPUTED_VALUE"""),"")</f>
        <v/>
      </c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>
      <c r="A553" s="29" t="str">
        <f>IFERROR(__xludf.DUMMYFUNCTION("""COMPUTED_VALUE"""),"")</f>
        <v/>
      </c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>
      <c r="A554" s="29" t="str">
        <f>IFERROR(__xludf.DUMMYFUNCTION("""COMPUTED_VALUE"""),"")</f>
        <v/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>
      <c r="A555" s="29" t="str">
        <f>IFERROR(__xludf.DUMMYFUNCTION("""COMPUTED_VALUE"""),"")</f>
        <v/>
      </c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>
      <c r="A556" s="29" t="str">
        <f>IFERROR(__xludf.DUMMYFUNCTION("""COMPUTED_VALUE"""),"")</f>
        <v/>
      </c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>
      <c r="A557" s="29" t="str">
        <f>IFERROR(__xludf.DUMMYFUNCTION("""COMPUTED_VALUE"""),"")</f>
        <v/>
      </c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>
      <c r="A558" s="29" t="str">
        <f>IFERROR(__xludf.DUMMYFUNCTION("""COMPUTED_VALUE"""),"")</f>
        <v/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>
      <c r="A559" s="29" t="str">
        <f>IFERROR(__xludf.DUMMYFUNCTION("""COMPUTED_VALUE"""),"")</f>
        <v/>
      </c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>
      <c r="A560" s="29" t="str">
        <f>IFERROR(__xludf.DUMMYFUNCTION("""COMPUTED_VALUE"""),"")</f>
        <v/>
      </c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>
      <c r="A561" s="29" t="str">
        <f>IFERROR(__xludf.DUMMYFUNCTION("""COMPUTED_VALUE"""),"")</f>
        <v/>
      </c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>
      <c r="A562" s="29" t="str">
        <f>IFERROR(__xludf.DUMMYFUNCTION("""COMPUTED_VALUE"""),"")</f>
        <v/>
      </c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>
      <c r="A563" s="29" t="str">
        <f>IFERROR(__xludf.DUMMYFUNCTION("""COMPUTED_VALUE"""),"")</f>
        <v/>
      </c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>
      <c r="A564" s="29" t="str">
        <f>IFERROR(__xludf.DUMMYFUNCTION("""COMPUTED_VALUE"""),"")</f>
        <v/>
      </c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>
      <c r="A565" s="29" t="str">
        <f>IFERROR(__xludf.DUMMYFUNCTION("""COMPUTED_VALUE"""),"")</f>
        <v/>
      </c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>
      <c r="A566" s="29" t="str">
        <f>IFERROR(__xludf.DUMMYFUNCTION("""COMPUTED_VALUE"""),"")</f>
        <v/>
      </c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>
      <c r="A567" s="29" t="str">
        <f>IFERROR(__xludf.DUMMYFUNCTION("""COMPUTED_VALUE"""),"")</f>
        <v/>
      </c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>
      <c r="A568" s="29" t="str">
        <f>IFERROR(__xludf.DUMMYFUNCTION("""COMPUTED_VALUE"""),"")</f>
        <v/>
      </c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>
      <c r="A569" s="29" t="str">
        <f>IFERROR(__xludf.DUMMYFUNCTION("""COMPUTED_VALUE"""),"")</f>
        <v/>
      </c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>
      <c r="A570" s="29" t="str">
        <f>IFERROR(__xludf.DUMMYFUNCTION("""COMPUTED_VALUE"""),"")</f>
        <v/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>
      <c r="A571" s="29" t="str">
        <f>IFERROR(__xludf.DUMMYFUNCTION("""COMPUTED_VALUE"""),"")</f>
        <v/>
      </c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>
      <c r="A572" s="29" t="str">
        <f>IFERROR(__xludf.DUMMYFUNCTION("""COMPUTED_VALUE"""),"")</f>
        <v/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>
      <c r="A573" s="29" t="str">
        <f>IFERROR(__xludf.DUMMYFUNCTION("""COMPUTED_VALUE"""),"")</f>
        <v/>
      </c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>
      <c r="A574" s="29" t="str">
        <f>IFERROR(__xludf.DUMMYFUNCTION("""COMPUTED_VALUE"""),"")</f>
        <v/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>
      <c r="A575" s="29" t="str">
        <f>IFERROR(__xludf.DUMMYFUNCTION("""COMPUTED_VALUE"""),"")</f>
        <v/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>
      <c r="A576" s="29" t="str">
        <f>IFERROR(__xludf.DUMMYFUNCTION("""COMPUTED_VALUE"""),"")</f>
        <v/>
      </c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>
      <c r="A577" s="29" t="str">
        <f>IFERROR(__xludf.DUMMYFUNCTION("""COMPUTED_VALUE"""),"")</f>
        <v/>
      </c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>
      <c r="A578" s="29" t="str">
        <f>IFERROR(__xludf.DUMMYFUNCTION("""COMPUTED_VALUE"""),"")</f>
        <v/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>
      <c r="A579" s="29" t="str">
        <f>IFERROR(__xludf.DUMMYFUNCTION("""COMPUTED_VALUE"""),"")</f>
        <v/>
      </c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>
      <c r="A580" s="29" t="str">
        <f>IFERROR(__xludf.DUMMYFUNCTION("""COMPUTED_VALUE"""),"")</f>
        <v/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>
      <c r="A581" s="29" t="str">
        <f>IFERROR(__xludf.DUMMYFUNCTION("""COMPUTED_VALUE"""),"")</f>
        <v/>
      </c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>
      <c r="A582" s="29" t="str">
        <f>IFERROR(__xludf.DUMMYFUNCTION("""COMPUTED_VALUE"""),"")</f>
        <v/>
      </c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>
      <c r="A583" s="29" t="str">
        <f>IFERROR(__xludf.DUMMYFUNCTION("""COMPUTED_VALUE"""),"")</f>
        <v/>
      </c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>
      <c r="A584" s="29" t="str">
        <f>IFERROR(__xludf.DUMMYFUNCTION("""COMPUTED_VALUE"""),"")</f>
        <v/>
      </c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>
      <c r="A585" s="29" t="str">
        <f>IFERROR(__xludf.DUMMYFUNCTION("""COMPUTED_VALUE"""),"")</f>
        <v/>
      </c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>
      <c r="A586" s="29" t="str">
        <f>IFERROR(__xludf.DUMMYFUNCTION("""COMPUTED_VALUE"""),"")</f>
        <v/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>
      <c r="A587" s="29" t="str">
        <f>IFERROR(__xludf.DUMMYFUNCTION("""COMPUTED_VALUE"""),"")</f>
        <v/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>
      <c r="A588" s="29" t="str">
        <f>IFERROR(__xludf.DUMMYFUNCTION("""COMPUTED_VALUE"""),"")</f>
        <v/>
      </c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>
      <c r="A589" s="29" t="str">
        <f>IFERROR(__xludf.DUMMYFUNCTION("""COMPUTED_VALUE"""),"")</f>
        <v/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>
      <c r="A590" s="29" t="str">
        <f>IFERROR(__xludf.DUMMYFUNCTION("""COMPUTED_VALUE"""),"")</f>
        <v/>
      </c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>
      <c r="A591" s="29" t="str">
        <f>IFERROR(__xludf.DUMMYFUNCTION("""COMPUTED_VALUE"""),"")</f>
        <v/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>
      <c r="A592" s="29" t="str">
        <f>IFERROR(__xludf.DUMMYFUNCTION("""COMPUTED_VALUE"""),"")</f>
        <v/>
      </c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>
      <c r="A593" s="29" t="str">
        <f>IFERROR(__xludf.DUMMYFUNCTION("""COMPUTED_VALUE"""),"")</f>
        <v/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>
      <c r="A594" s="29" t="str">
        <f>IFERROR(__xludf.DUMMYFUNCTION("""COMPUTED_VALUE"""),"")</f>
        <v/>
      </c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>
      <c r="A595" s="29" t="str">
        <f>IFERROR(__xludf.DUMMYFUNCTION("""COMPUTED_VALUE"""),"")</f>
        <v/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>
      <c r="A596" s="29" t="str">
        <f>IFERROR(__xludf.DUMMYFUNCTION("""COMPUTED_VALUE"""),"")</f>
        <v/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>
      <c r="A597" s="29" t="str">
        <f>IFERROR(__xludf.DUMMYFUNCTION("""COMPUTED_VALUE"""),"")</f>
        <v/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>
      <c r="A598" s="29" t="str">
        <f>IFERROR(__xludf.DUMMYFUNCTION("""COMPUTED_VALUE"""),"")</f>
        <v/>
      </c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>
      <c r="A599" s="29" t="str">
        <f>IFERROR(__xludf.DUMMYFUNCTION("""COMPUTED_VALUE"""),"")</f>
        <v/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>
      <c r="A600" s="29" t="str">
        <f>IFERROR(__xludf.DUMMYFUNCTION("""COMPUTED_VALUE"""),"")</f>
        <v/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>
      <c r="A601" s="29" t="str">
        <f>IFERROR(__xludf.DUMMYFUNCTION("""COMPUTED_VALUE"""),"")</f>
        <v/>
      </c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>
      <c r="A602" s="29" t="str">
        <f>IFERROR(__xludf.DUMMYFUNCTION("""COMPUTED_VALUE"""),"")</f>
        <v/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>
      <c r="A603" s="29" t="str">
        <f>IFERROR(__xludf.DUMMYFUNCTION("""COMPUTED_VALUE"""),"")</f>
        <v/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>
      <c r="A604" s="29" t="str">
        <f>IFERROR(__xludf.DUMMYFUNCTION("""COMPUTED_VALUE"""),"")</f>
        <v/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>
      <c r="A605" s="29" t="str">
        <f>IFERROR(__xludf.DUMMYFUNCTION("""COMPUTED_VALUE"""),"")</f>
        <v/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>
      <c r="A606" s="29" t="str">
        <f>IFERROR(__xludf.DUMMYFUNCTION("""COMPUTED_VALUE"""),"")</f>
        <v/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>
      <c r="A607" s="29" t="str">
        <f>IFERROR(__xludf.DUMMYFUNCTION("""COMPUTED_VALUE"""),"")</f>
        <v/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>
      <c r="A608" s="29" t="str">
        <f>IFERROR(__xludf.DUMMYFUNCTION("""COMPUTED_VALUE"""),"")</f>
        <v/>
      </c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>
      <c r="A609" s="29" t="str">
        <f>IFERROR(__xludf.DUMMYFUNCTION("""COMPUTED_VALUE"""),"")</f>
        <v/>
      </c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>
      <c r="A610" s="29" t="str">
        <f>IFERROR(__xludf.DUMMYFUNCTION("""COMPUTED_VALUE"""),"")</f>
        <v/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>
      <c r="A611" s="29" t="str">
        <f>IFERROR(__xludf.DUMMYFUNCTION("""COMPUTED_VALUE"""),"")</f>
        <v/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>
      <c r="A612" s="29" t="str">
        <f>IFERROR(__xludf.DUMMYFUNCTION("""COMPUTED_VALUE"""),"")</f>
        <v/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>
      <c r="A613" s="29" t="str">
        <f>IFERROR(__xludf.DUMMYFUNCTION("""COMPUTED_VALUE"""),"")</f>
        <v/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>
      <c r="A614" s="29" t="str">
        <f>IFERROR(__xludf.DUMMYFUNCTION("""COMPUTED_VALUE"""),"")</f>
        <v/>
      </c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>
      <c r="A615" s="29" t="str">
        <f>IFERROR(__xludf.DUMMYFUNCTION("""COMPUTED_VALUE"""),"")</f>
        <v/>
      </c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>
      <c r="A616" s="29" t="str">
        <f>IFERROR(__xludf.DUMMYFUNCTION("""COMPUTED_VALUE"""),"")</f>
        <v/>
      </c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>
      <c r="A617" s="29" t="str">
        <f>IFERROR(__xludf.DUMMYFUNCTION("""COMPUTED_VALUE"""),"")</f>
        <v/>
      </c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>
      <c r="A618" s="29" t="str">
        <f>IFERROR(__xludf.DUMMYFUNCTION("""COMPUTED_VALUE"""),"")</f>
        <v/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>
      <c r="A619" s="29" t="str">
        <f>IFERROR(__xludf.DUMMYFUNCTION("""COMPUTED_VALUE"""),"")</f>
        <v/>
      </c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>
      <c r="A620" s="29" t="str">
        <f>IFERROR(__xludf.DUMMYFUNCTION("""COMPUTED_VALUE"""),"")</f>
        <v/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>
      <c r="A621" s="29" t="str">
        <f>IFERROR(__xludf.DUMMYFUNCTION("""COMPUTED_VALUE"""),"")</f>
        <v/>
      </c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>
      <c r="A622" s="29" t="str">
        <f>IFERROR(__xludf.DUMMYFUNCTION("""COMPUTED_VALUE"""),"")</f>
        <v/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>
      <c r="A623" s="29" t="str">
        <f>IFERROR(__xludf.DUMMYFUNCTION("""COMPUTED_VALUE"""),"")</f>
        <v/>
      </c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>
      <c r="A624" s="29" t="str">
        <f>IFERROR(__xludf.DUMMYFUNCTION("""COMPUTED_VALUE"""),"")</f>
        <v/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>
      <c r="A625" s="29" t="str">
        <f>IFERROR(__xludf.DUMMYFUNCTION("""COMPUTED_VALUE"""),"")</f>
        <v/>
      </c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>
      <c r="A626" s="29" t="str">
        <f>IFERROR(__xludf.DUMMYFUNCTION("""COMPUTED_VALUE"""),"")</f>
        <v/>
      </c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>
      <c r="A627" s="29" t="str">
        <f>IFERROR(__xludf.DUMMYFUNCTION("""COMPUTED_VALUE"""),"")</f>
        <v/>
      </c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>
      <c r="A628" s="29" t="str">
        <f>IFERROR(__xludf.DUMMYFUNCTION("""COMPUTED_VALUE"""),"")</f>
        <v/>
      </c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>
      <c r="A629" s="29" t="str">
        <f>IFERROR(__xludf.DUMMYFUNCTION("""COMPUTED_VALUE"""),"")</f>
        <v/>
      </c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>
      <c r="A630" s="29" t="str">
        <f>IFERROR(__xludf.DUMMYFUNCTION("""COMPUTED_VALUE"""),"")</f>
        <v/>
      </c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>
      <c r="A631" s="29" t="str">
        <f>IFERROR(__xludf.DUMMYFUNCTION("""COMPUTED_VALUE"""),"")</f>
        <v/>
      </c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>
      <c r="A632" s="29" t="str">
        <f>IFERROR(__xludf.DUMMYFUNCTION("""COMPUTED_VALUE"""),"")</f>
        <v/>
      </c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>
      <c r="A633" s="29" t="str">
        <f>IFERROR(__xludf.DUMMYFUNCTION("""COMPUTED_VALUE"""),"")</f>
        <v/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>
      <c r="A634" s="29" t="str">
        <f>IFERROR(__xludf.DUMMYFUNCTION("""COMPUTED_VALUE"""),"")</f>
        <v/>
      </c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>
      <c r="A635" s="29" t="str">
        <f>IFERROR(__xludf.DUMMYFUNCTION("""COMPUTED_VALUE"""),"")</f>
        <v/>
      </c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>
      <c r="A636" s="29" t="str">
        <f>IFERROR(__xludf.DUMMYFUNCTION("""COMPUTED_VALUE"""),"")</f>
        <v/>
      </c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>
      <c r="A637" s="29" t="str">
        <f>IFERROR(__xludf.DUMMYFUNCTION("""COMPUTED_VALUE"""),"")</f>
        <v/>
      </c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>
      <c r="A638" s="29" t="str">
        <f>IFERROR(__xludf.DUMMYFUNCTION("""COMPUTED_VALUE"""),"")</f>
        <v/>
      </c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>
      <c r="A639" s="29" t="str">
        <f>IFERROR(__xludf.DUMMYFUNCTION("""COMPUTED_VALUE"""),"")</f>
        <v/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>
      <c r="A640" s="29" t="str">
        <f>IFERROR(__xludf.DUMMYFUNCTION("""COMPUTED_VALUE"""),"")</f>
        <v/>
      </c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>
      <c r="A641" s="29" t="str">
        <f>IFERROR(__xludf.DUMMYFUNCTION("""COMPUTED_VALUE"""),"")</f>
        <v/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>
      <c r="A642" s="29" t="str">
        <f>IFERROR(__xludf.DUMMYFUNCTION("""COMPUTED_VALUE"""),"")</f>
        <v/>
      </c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>
      <c r="A643" s="29" t="str">
        <f>IFERROR(__xludf.DUMMYFUNCTION("""COMPUTED_VALUE"""),"")</f>
        <v/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>
      <c r="A644" s="29" t="str">
        <f>IFERROR(__xludf.DUMMYFUNCTION("""COMPUTED_VALUE"""),"")</f>
        <v/>
      </c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>
      <c r="A645" s="29" t="str">
        <f>IFERROR(__xludf.DUMMYFUNCTION("""COMPUTED_VALUE"""),"")</f>
        <v/>
      </c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>
      <c r="A646" s="29" t="str">
        <f>IFERROR(__xludf.DUMMYFUNCTION("""COMPUTED_VALUE"""),"")</f>
        <v/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>
      <c r="A647" s="29" t="str">
        <f>IFERROR(__xludf.DUMMYFUNCTION("""COMPUTED_VALUE"""),"")</f>
        <v/>
      </c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>
      <c r="A648" s="29" t="str">
        <f>IFERROR(__xludf.DUMMYFUNCTION("""COMPUTED_VALUE"""),"")</f>
        <v/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>
      <c r="A649" s="29" t="str">
        <f>IFERROR(__xludf.DUMMYFUNCTION("""COMPUTED_VALUE"""),"")</f>
        <v/>
      </c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>
      <c r="A650" s="29" t="str">
        <f>IFERROR(__xludf.DUMMYFUNCTION("""COMPUTED_VALUE"""),"")</f>
        <v/>
      </c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>
      <c r="A651" s="29" t="str">
        <f>IFERROR(__xludf.DUMMYFUNCTION("""COMPUTED_VALUE"""),"")</f>
        <v/>
      </c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>
      <c r="A652" s="29" t="str">
        <f>IFERROR(__xludf.DUMMYFUNCTION("""COMPUTED_VALUE"""),"")</f>
        <v/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>
      <c r="A653" s="29" t="str">
        <f>IFERROR(__xludf.DUMMYFUNCTION("""COMPUTED_VALUE"""),"")</f>
        <v/>
      </c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>
      <c r="A654" s="29" t="str">
        <f>IFERROR(__xludf.DUMMYFUNCTION("""COMPUTED_VALUE"""),"")</f>
        <v/>
      </c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>
      <c r="A655" s="29" t="str">
        <f>IFERROR(__xludf.DUMMYFUNCTION("""COMPUTED_VALUE"""),"")</f>
        <v/>
      </c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>
      <c r="A656" s="29" t="str">
        <f>IFERROR(__xludf.DUMMYFUNCTION("""COMPUTED_VALUE"""),"")</f>
        <v/>
      </c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>
      <c r="A657" s="29" t="str">
        <f>IFERROR(__xludf.DUMMYFUNCTION("""COMPUTED_VALUE"""),"")</f>
        <v/>
      </c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>
      <c r="A658" s="29" t="str">
        <f>IFERROR(__xludf.DUMMYFUNCTION("""COMPUTED_VALUE"""),"")</f>
        <v/>
      </c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>
      <c r="A659" s="29" t="str">
        <f>IFERROR(__xludf.DUMMYFUNCTION("""COMPUTED_VALUE"""),"")</f>
        <v/>
      </c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>
      <c r="A660" s="29" t="str">
        <f>IFERROR(__xludf.DUMMYFUNCTION("""COMPUTED_VALUE"""),"")</f>
        <v/>
      </c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>
      <c r="A661" s="29" t="str">
        <f>IFERROR(__xludf.DUMMYFUNCTION("""COMPUTED_VALUE"""),"")</f>
        <v/>
      </c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>
      <c r="A662" s="29" t="str">
        <f>IFERROR(__xludf.DUMMYFUNCTION("""COMPUTED_VALUE"""),"")</f>
        <v/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>
      <c r="A663" s="29" t="str">
        <f>IFERROR(__xludf.DUMMYFUNCTION("""COMPUTED_VALUE"""),"")</f>
        <v/>
      </c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>
      <c r="A664" s="29" t="str">
        <f>IFERROR(__xludf.DUMMYFUNCTION("""COMPUTED_VALUE"""),"")</f>
        <v/>
      </c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>
      <c r="A665" s="29" t="str">
        <f>IFERROR(__xludf.DUMMYFUNCTION("""COMPUTED_VALUE"""),"")</f>
        <v/>
      </c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>
      <c r="A666" s="29" t="str">
        <f>IFERROR(__xludf.DUMMYFUNCTION("""COMPUTED_VALUE"""),"")</f>
        <v/>
      </c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>
      <c r="A667" s="29" t="str">
        <f>IFERROR(__xludf.DUMMYFUNCTION("""COMPUTED_VALUE"""),"")</f>
        <v/>
      </c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>
      <c r="A668" s="29" t="str">
        <f>IFERROR(__xludf.DUMMYFUNCTION("""COMPUTED_VALUE"""),"")</f>
        <v/>
      </c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>
      <c r="A669" s="29" t="str">
        <f>IFERROR(__xludf.DUMMYFUNCTION("""COMPUTED_VALUE"""),"")</f>
        <v/>
      </c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>
      <c r="A670" s="29" t="str">
        <f>IFERROR(__xludf.DUMMYFUNCTION("""COMPUTED_VALUE"""),"")</f>
        <v/>
      </c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>
      <c r="A671" s="29" t="str">
        <f>IFERROR(__xludf.DUMMYFUNCTION("""COMPUTED_VALUE"""),"")</f>
        <v/>
      </c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>
      <c r="A672" s="29" t="str">
        <f>IFERROR(__xludf.DUMMYFUNCTION("""COMPUTED_VALUE"""),"")</f>
        <v/>
      </c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>
      <c r="A673" s="29" t="str">
        <f>IFERROR(__xludf.DUMMYFUNCTION("""COMPUTED_VALUE"""),"")</f>
        <v/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>
      <c r="A674" s="29" t="str">
        <f>IFERROR(__xludf.DUMMYFUNCTION("""COMPUTED_VALUE"""),"")</f>
        <v/>
      </c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>
      <c r="A675" s="29" t="str">
        <f>IFERROR(__xludf.DUMMYFUNCTION("""COMPUTED_VALUE"""),"")</f>
        <v/>
      </c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>
      <c r="A676" s="29" t="str">
        <f>IFERROR(__xludf.DUMMYFUNCTION("""COMPUTED_VALUE"""),"")</f>
        <v/>
      </c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>
      <c r="A677" s="29" t="str">
        <f>IFERROR(__xludf.DUMMYFUNCTION("""COMPUTED_VALUE"""),"")</f>
        <v/>
      </c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>
      <c r="A678" s="29" t="str">
        <f>IFERROR(__xludf.DUMMYFUNCTION("""COMPUTED_VALUE"""),"")</f>
        <v/>
      </c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>
      <c r="A679" s="29" t="str">
        <f>IFERROR(__xludf.DUMMYFUNCTION("""COMPUTED_VALUE"""),"")</f>
        <v/>
      </c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>
      <c r="A680" s="29" t="str">
        <f>IFERROR(__xludf.DUMMYFUNCTION("""COMPUTED_VALUE"""),"")</f>
        <v/>
      </c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>
      <c r="A681" s="29" t="str">
        <f>IFERROR(__xludf.DUMMYFUNCTION("""COMPUTED_VALUE"""),"")</f>
        <v/>
      </c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>
      <c r="A682" s="29" t="str">
        <f>IFERROR(__xludf.DUMMYFUNCTION("""COMPUTED_VALUE"""),"")</f>
        <v/>
      </c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>
      <c r="A683" s="29" t="str">
        <f>IFERROR(__xludf.DUMMYFUNCTION("""COMPUTED_VALUE"""),"")</f>
        <v/>
      </c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>
      <c r="A684" s="29" t="str">
        <f>IFERROR(__xludf.DUMMYFUNCTION("""COMPUTED_VALUE"""),"")</f>
        <v/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>
      <c r="A685" s="29" t="str">
        <f>IFERROR(__xludf.DUMMYFUNCTION("""COMPUTED_VALUE"""),"")</f>
        <v/>
      </c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>
      <c r="A686" s="29" t="str">
        <f>IFERROR(__xludf.DUMMYFUNCTION("""COMPUTED_VALUE"""),"")</f>
        <v/>
      </c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>
      <c r="A687" s="29" t="str">
        <f>IFERROR(__xludf.DUMMYFUNCTION("""COMPUTED_VALUE"""),"")</f>
        <v/>
      </c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>
      <c r="A688" s="29" t="str">
        <f>IFERROR(__xludf.DUMMYFUNCTION("""COMPUTED_VALUE"""),"")</f>
        <v/>
      </c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>
      <c r="A689" s="29" t="str">
        <f>IFERROR(__xludf.DUMMYFUNCTION("""COMPUTED_VALUE"""),"")</f>
        <v/>
      </c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>
      <c r="A690" s="29" t="str">
        <f>IFERROR(__xludf.DUMMYFUNCTION("""COMPUTED_VALUE"""),"")</f>
        <v/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>
      <c r="A691" s="29" t="str">
        <f>IFERROR(__xludf.DUMMYFUNCTION("""COMPUTED_VALUE"""),"")</f>
        <v/>
      </c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>
      <c r="A692" s="29" t="str">
        <f>IFERROR(__xludf.DUMMYFUNCTION("""COMPUTED_VALUE"""),"")</f>
        <v/>
      </c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>
      <c r="A693" s="29" t="str">
        <f>IFERROR(__xludf.DUMMYFUNCTION("""COMPUTED_VALUE"""),"")</f>
        <v/>
      </c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>
      <c r="A694" s="29" t="str">
        <f>IFERROR(__xludf.DUMMYFUNCTION("""COMPUTED_VALUE"""),"")</f>
        <v/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>
      <c r="A695" s="29" t="str">
        <f>IFERROR(__xludf.DUMMYFUNCTION("""COMPUTED_VALUE"""),"")</f>
        <v/>
      </c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>
      <c r="A696" s="29" t="str">
        <f>IFERROR(__xludf.DUMMYFUNCTION("""COMPUTED_VALUE"""),"")</f>
        <v/>
      </c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>
      <c r="A697" s="29" t="str">
        <f>IFERROR(__xludf.DUMMYFUNCTION("""COMPUTED_VALUE"""),"")</f>
        <v/>
      </c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>
      <c r="A698" s="29" t="str">
        <f>IFERROR(__xludf.DUMMYFUNCTION("""COMPUTED_VALUE"""),"")</f>
        <v/>
      </c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>
      <c r="A699" s="29" t="str">
        <f>IFERROR(__xludf.DUMMYFUNCTION("""COMPUTED_VALUE"""),"")</f>
        <v/>
      </c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>
      <c r="A700" s="29" t="str">
        <f>IFERROR(__xludf.DUMMYFUNCTION("""COMPUTED_VALUE"""),"")</f>
        <v/>
      </c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>
      <c r="A701" s="29" t="str">
        <f>IFERROR(__xludf.DUMMYFUNCTION("""COMPUTED_VALUE"""),"")</f>
        <v/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>
      <c r="A702" s="29" t="str">
        <f>IFERROR(__xludf.DUMMYFUNCTION("""COMPUTED_VALUE"""),"")</f>
        <v/>
      </c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>
      <c r="A703" s="29" t="str">
        <f>IFERROR(__xludf.DUMMYFUNCTION("""COMPUTED_VALUE"""),"")</f>
        <v/>
      </c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>
      <c r="A704" s="29" t="str">
        <f>IFERROR(__xludf.DUMMYFUNCTION("""COMPUTED_VALUE"""),"")</f>
        <v/>
      </c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>
      <c r="A705" s="29" t="str">
        <f>IFERROR(__xludf.DUMMYFUNCTION("""COMPUTED_VALUE"""),"")</f>
        <v/>
      </c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>
      <c r="A706" s="29" t="str">
        <f>IFERROR(__xludf.DUMMYFUNCTION("""COMPUTED_VALUE"""),"")</f>
        <v/>
      </c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>
      <c r="A707" s="29" t="str">
        <f>IFERROR(__xludf.DUMMYFUNCTION("""COMPUTED_VALUE"""),"")</f>
        <v/>
      </c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>
      <c r="A708" s="29" t="str">
        <f>IFERROR(__xludf.DUMMYFUNCTION("""COMPUTED_VALUE"""),"")</f>
        <v/>
      </c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>
      <c r="A709" s="29" t="str">
        <f>IFERROR(__xludf.DUMMYFUNCTION("""COMPUTED_VALUE"""),"")</f>
        <v/>
      </c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>
      <c r="A710" s="29" t="str">
        <f>IFERROR(__xludf.DUMMYFUNCTION("""COMPUTED_VALUE"""),"")</f>
        <v/>
      </c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>
      <c r="A711" s="29" t="str">
        <f>IFERROR(__xludf.DUMMYFUNCTION("""COMPUTED_VALUE"""),"")</f>
        <v/>
      </c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</row>
    <row r="757">
      <c r="A757" s="30"/>
      <c r="B757" s="31">
        <v>1.0</v>
      </c>
      <c r="C757" s="31">
        <v>2.0</v>
      </c>
      <c r="D757" s="31">
        <v>3.0</v>
      </c>
      <c r="E757" s="31">
        <v>4.0</v>
      </c>
      <c r="F757" s="31">
        <v>5.0</v>
      </c>
      <c r="G757" s="31">
        <v>6.0</v>
      </c>
      <c r="H757" s="31">
        <v>7.0</v>
      </c>
      <c r="I757" s="31">
        <v>8.0</v>
      </c>
      <c r="J757" s="31">
        <v>9.0</v>
      </c>
      <c r="K757" s="31">
        <v>10.0</v>
      </c>
      <c r="L757" s="31">
        <v>11.0</v>
      </c>
      <c r="M757" s="31">
        <v>12.0</v>
      </c>
      <c r="N757" s="31">
        <v>13.0</v>
      </c>
      <c r="O757" s="31">
        <v>14.0</v>
      </c>
      <c r="P757" s="31">
        <v>15.0</v>
      </c>
      <c r="Q757" s="31">
        <v>16.0</v>
      </c>
      <c r="R757" s="31">
        <v>17.0</v>
      </c>
      <c r="S757" s="31">
        <v>18.0</v>
      </c>
      <c r="T757" s="31">
        <v>19.0</v>
      </c>
      <c r="U757" s="31">
        <v>20.0</v>
      </c>
      <c r="V757" s="31">
        <v>21.0</v>
      </c>
      <c r="W757" s="31">
        <v>22.0</v>
      </c>
      <c r="X757" s="31">
        <v>23.0</v>
      </c>
      <c r="Y757" s="31">
        <v>24.0</v>
      </c>
      <c r="Z757" s="31">
        <v>25.0</v>
      </c>
      <c r="AA757" s="31">
        <v>26.0</v>
      </c>
      <c r="AB757" s="31">
        <v>27.0</v>
      </c>
      <c r="AC757" s="31">
        <v>28.0</v>
      </c>
      <c r="AD757" s="31">
        <v>29.0</v>
      </c>
      <c r="AE757" s="31">
        <v>30.0</v>
      </c>
      <c r="AF757" s="31">
        <v>31.0</v>
      </c>
      <c r="AG757" s="31">
        <v>32.0</v>
      </c>
      <c r="AH757" s="31">
        <v>33.0</v>
      </c>
      <c r="AI757" s="31">
        <v>34.0</v>
      </c>
      <c r="AJ757" s="31">
        <v>35.0</v>
      </c>
      <c r="AK757" s="31">
        <v>36.0</v>
      </c>
      <c r="AL757" s="31">
        <v>37.0</v>
      </c>
      <c r="AM757" s="31">
        <v>38.0</v>
      </c>
      <c r="AN757" s="31">
        <v>39.0</v>
      </c>
      <c r="AO757" s="31">
        <v>40.0</v>
      </c>
      <c r="AP757" s="31">
        <v>41.0</v>
      </c>
      <c r="AQ757" s="31">
        <v>42.0</v>
      </c>
      <c r="AR757" s="31">
        <v>43.0</v>
      </c>
      <c r="AS757" s="31">
        <v>44.0</v>
      </c>
      <c r="AT757" s="31">
        <v>45.0</v>
      </c>
      <c r="AU757" s="31">
        <v>46.0</v>
      </c>
      <c r="AV757" s="31">
        <v>47.0</v>
      </c>
      <c r="AW757" s="31">
        <v>48.0</v>
      </c>
      <c r="AX757" s="31">
        <v>49.0</v>
      </c>
      <c r="AY757" s="31">
        <v>50.0</v>
      </c>
      <c r="AZ757" s="31">
        <v>51.0</v>
      </c>
      <c r="BA757" s="31">
        <v>52.0</v>
      </c>
      <c r="BB757" s="31">
        <v>53.0</v>
      </c>
      <c r="BC757" s="31">
        <v>54.0</v>
      </c>
      <c r="BD757" s="31">
        <v>55.0</v>
      </c>
      <c r="BE757" s="31">
        <v>56.0</v>
      </c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IFERROR(__xludf.DUMMYFUNCTION("IMPORTRANGE(""1r--qa2i5jCx8YeQ_mLlUrqLRTQh7y-fik2wTdRKBimk/edit?gid=675166745#gid=675166745"",""KELAS 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32" t="str">
        <f>IFERROR(__xludf.DUMMYFUNCTION("""COMPUTED_VALUE"""),"AYAH")</f>
        <v>AYAH</v>
      </c>
      <c r="E1" s="32" t="str">
        <f>IFERROR(__xludf.DUMMYFUNCTION("""COMPUTED_VALUE"""),"IBU")</f>
        <v>IBU</v>
      </c>
      <c r="F1" s="32" t="str">
        <f>IFERROR(__xludf.DUMMYFUNCTION("""COMPUTED_VALUE"""),"ALAMAT")</f>
        <v>ALAMAT</v>
      </c>
      <c r="G1" s="33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34"/>
      <c r="BK1" s="34"/>
      <c r="BL1" s="34"/>
      <c r="BM1" s="34"/>
      <c r="BN1" s="34"/>
      <c r="BO1" s="35"/>
    </row>
    <row r="2">
      <c r="A2" s="36">
        <f>IFERROR(__xludf.DUMMYFUNCTION("""COMPUTED_VALUE"""),1.0)</f>
        <v>1</v>
      </c>
      <c r="B2" s="37" t="str">
        <f>IFERROR(__xludf.DUMMYFUNCTION("""COMPUTED_VALUE"""),"ABD. RO`UF WISNU WARDANA")</f>
        <v>ABD. RO`UF WISNU WARDANA</v>
      </c>
      <c r="C2" s="38">
        <f>IFERROR(__xludf.DUMMYFUNCTION("""COMPUTED_VALUE"""),2.025070115E9)</f>
        <v>2025070115</v>
      </c>
      <c r="D2" s="37" t="str">
        <f>IFERROR(__xludf.DUMMYFUNCTION("""COMPUTED_VALUE"""),"ABDUL MUKHIT")</f>
        <v>ABDUL MUKHIT</v>
      </c>
      <c r="E2" s="37" t="str">
        <f>IFERROR(__xludf.DUMMYFUNCTION("""COMPUTED_VALUE"""),"NUR LAYLI ROHMAWATI")</f>
        <v>NUR LAYLI ROHMAWATI</v>
      </c>
      <c r="F2" s="37" t="str">
        <f>IFERROR(__xludf.DUMMYFUNCTION("""COMPUTED_VALUE"""),"KLATING TAKERANKLATING RT 005 RW 001 TIKUNG LAMONGAN")</f>
        <v>KLATING TAKERANKLATING RT 005 RW 001 TIKUNG LAMONGAN</v>
      </c>
      <c r="G2" s="39" t="str">
        <f>IFERROR(__xludf.DUMMYFUNCTION("""COMPUTED_VALUE"""),"MA-XI.13")</f>
        <v>MA-XI.13</v>
      </c>
      <c r="H2" s="36" t="str">
        <f>IFERROR(__xludf.DUMMYFUNCTION("""COMPUTED_VALUE"""),"A")</f>
        <v>A</v>
      </c>
      <c r="I2" s="40" t="str">
        <f>IFERROR(__xludf.DUMMYFUNCTION("""COMPUTED_VALUE"""),"A-4")</f>
        <v>A-4</v>
      </c>
      <c r="J2" s="40">
        <f>IFERROR(__xludf.DUMMYFUNCTION("""COMPUTED_VALUE"""),2.0)</f>
        <v>2</v>
      </c>
      <c r="K2" s="40" t="str">
        <f>IFERROR(__xludf.DUMMYFUNCTION("""COMPUTED_VALUE"""),"2 MAK PUTRA")</f>
        <v>2 MAK PUTRA</v>
      </c>
      <c r="L2" s="41" t="str">
        <f>IFERROR(__xludf.DUMMYFUNCTION("""COMPUTED_VALUE"""),"6285707284833")</f>
        <v>6285707284833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>
        <f>IFERROR(__xludf.DUMMYFUNCTION("""COMPUTED_VALUE"""),500000.0)</f>
        <v>500000</v>
      </c>
      <c r="AC2" s="42"/>
      <c r="AD2" s="42"/>
      <c r="AE2" s="43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>
        <f>IFERROR(__xludf.DUMMYFUNCTION("""COMPUTED_VALUE"""),500000.0)</f>
        <v>500000</v>
      </c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IFERROR(__xludf.DUMMYFUNCTION("""COMPUTED_VALUE"""),1000000.0)</f>
        <v>1000000</v>
      </c>
      <c r="BE2" s="43">
        <f>IFERROR(__xludf.DUMMYFUNCTION("""COMPUTED_VALUE"""),0.0)</f>
        <v>0</v>
      </c>
      <c r="BF2" s="44">
        <f>IFERROR(__xludf.DUMMYFUNCTION("""COMPUTED_VALUE"""),1000000.0)</f>
        <v>1000000</v>
      </c>
      <c r="BG2" s="42"/>
      <c r="BH2" s="42"/>
      <c r="BI2" s="42"/>
      <c r="BJ2" s="45"/>
      <c r="BK2" s="45"/>
      <c r="BL2" s="45"/>
      <c r="BM2" s="45"/>
      <c r="BN2" s="45"/>
      <c r="BO2" s="46"/>
    </row>
    <row r="3">
      <c r="A3" s="47">
        <f>IFERROR(__xludf.DUMMYFUNCTION("""COMPUTED_VALUE"""),2.0)</f>
        <v>2</v>
      </c>
      <c r="B3" s="48" t="str">
        <f>IFERROR(__xludf.DUMMYFUNCTION("""COMPUTED_VALUE"""),"ABDUL AZIZ")</f>
        <v>ABDUL AZIZ</v>
      </c>
      <c r="C3" s="49">
        <f>IFERROR(__xludf.DUMMYFUNCTION("""COMPUTED_VALUE"""),2.025070596E9)</f>
        <v>2025070596</v>
      </c>
      <c r="D3" s="48" t="str">
        <f>IFERROR(__xludf.DUMMYFUNCTION("""COMPUTED_VALUE"""),"ABDUL ROHIM")</f>
        <v>ABDUL ROHIM</v>
      </c>
      <c r="E3" s="48" t="str">
        <f>IFERROR(__xludf.DUMMYFUNCTION("""COMPUTED_VALUE"""),"MAHWIYAH")</f>
        <v>MAHWIYAH</v>
      </c>
      <c r="F3" s="48" t="str">
        <f>IFERROR(__xludf.DUMMYFUNCTION("""COMPUTED_VALUE"""),"KALIREJO RT 003 RW 002 DUKUN GRESIK")</f>
        <v>KALIREJO RT 003 RW 002 DUKUN GRESIK</v>
      </c>
      <c r="G3" s="50" t="str">
        <f>IFERROR(__xludf.DUMMYFUNCTION("""COMPUTED_VALUE"""),"MTS-8 C")</f>
        <v>MTS-8 C</v>
      </c>
      <c r="H3" s="47" t="str">
        <f>IFERROR(__xludf.DUMMYFUNCTION("""COMPUTED_VALUE"""),"A")</f>
        <v>A</v>
      </c>
      <c r="I3" s="51" t="str">
        <f>IFERROR(__xludf.DUMMYFUNCTION("""COMPUTED_VALUE"""),"A-1")</f>
        <v>A-1</v>
      </c>
      <c r="J3" s="51">
        <f>IFERROR(__xludf.DUMMYFUNCTION("""COMPUTED_VALUE"""),2.0)</f>
        <v>2</v>
      </c>
      <c r="K3" s="51" t="str">
        <f>IFERROR(__xludf.DUMMYFUNCTION("""COMPUTED_VALUE"""),"2 ULA A PUTRA")</f>
        <v>2 ULA A PUTRA</v>
      </c>
      <c r="L3" s="52" t="str">
        <f>IFERROR(__xludf.DUMMYFUNCTION("""COMPUTED_VALUE"""),"6285784330109")</f>
        <v>6285784330109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4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>
        <f>IFERROR(__xludf.DUMMYFUNCTION("""COMPUTED_VALUE"""),500000.0)</f>
        <v>500000</v>
      </c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3"/>
      <c r="BH3" s="53"/>
      <c r="BI3" s="53"/>
      <c r="BJ3" s="45"/>
      <c r="BK3" s="45"/>
      <c r="BL3" s="45"/>
      <c r="BM3" s="45"/>
      <c r="BN3" s="45"/>
      <c r="BO3" s="46"/>
    </row>
    <row r="4">
      <c r="A4" s="36">
        <f>IFERROR(__xludf.DUMMYFUNCTION("""COMPUTED_VALUE"""),3.0)</f>
        <v>3</v>
      </c>
      <c r="B4" s="37" t="str">
        <f>IFERROR(__xludf.DUMMYFUNCTION("""COMPUTED_VALUE"""),"ABDUL MALIK ARIF DAULAY")</f>
        <v>ABDUL MALIK ARIF DAULAY</v>
      </c>
      <c r="C4" s="38">
        <f>IFERROR(__xludf.DUMMYFUNCTION("""COMPUTED_VALUE"""),2.025070299E9)</f>
        <v>2025070299</v>
      </c>
      <c r="D4" s="37" t="str">
        <f>IFERROR(__xludf.DUMMYFUNCTION("""COMPUTED_VALUE"""),"HARI MAULIADI DAULAY")</f>
        <v>HARI MAULIADI DAULAY</v>
      </c>
      <c r="E4" s="37" t="str">
        <f>IFERROR(__xludf.DUMMYFUNCTION("""COMPUTED_VALUE"""),"SITI NURAFIYAH")</f>
        <v>SITI NURAFIYAH</v>
      </c>
      <c r="F4" s="37" t="str">
        <f>IFERROR(__xludf.DUMMYFUNCTION("""COMPUTED_VALUE"""),"GENDONG RT 002 RW 004 LAREN LAMONGAN")</f>
        <v>GENDONG RT 002 RW 004 LAREN LAMONGAN</v>
      </c>
      <c r="G4" s="39" t="str">
        <f>IFERROR(__xludf.DUMMYFUNCTION("""COMPUTED_VALUE"""),"MA-XI.13")</f>
        <v>MA-XI.13</v>
      </c>
      <c r="H4" s="36" t="str">
        <f>IFERROR(__xludf.DUMMYFUNCTION("""COMPUTED_VALUE"""),"A")</f>
        <v>A</v>
      </c>
      <c r="I4" s="40" t="str">
        <f>IFERROR(__xludf.DUMMYFUNCTION("""COMPUTED_VALUE"""),"A-2")</f>
        <v>A-2</v>
      </c>
      <c r="J4" s="40">
        <f>IFERROR(__xludf.DUMMYFUNCTION("""COMPUTED_VALUE"""),2.0)</f>
        <v>2</v>
      </c>
      <c r="K4" s="40" t="str">
        <f>IFERROR(__xludf.DUMMYFUNCTION("""COMPUTED_VALUE"""),"2 MAK PUTRA")</f>
        <v>2 MAK PUTRA</v>
      </c>
      <c r="L4" s="41" t="str">
        <f>IFERROR(__xludf.DUMMYFUNCTION("""COMPUTED_VALUE"""),"6285646321062")</f>
        <v>6285646321062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3"/>
      <c r="Z4" s="43"/>
      <c r="AA4" s="43"/>
      <c r="AB4" s="43"/>
      <c r="AC4" s="43"/>
      <c r="AD4" s="43"/>
      <c r="AE4" s="43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3">
        <f>IFERROR(__xludf.DUMMYFUNCTION("""COMPUTED_VALUE"""),500000.0)</f>
        <v>500000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IFERROR(__xludf.DUMMYFUNCTION("""COMPUTED_VALUE"""),0.0)</f>
        <v>0</v>
      </c>
      <c r="BD4" s="43">
        <f>IFERROR(__xludf.DUMMYFUNCTION("""COMPUTED_VALUE"""),500000.0)</f>
        <v>500000</v>
      </c>
      <c r="BE4" s="43">
        <f>IFERROR(__xludf.DUMMYFUNCTION("""COMPUTED_VALUE"""),0.0)</f>
        <v>0</v>
      </c>
      <c r="BF4" s="44">
        <f>IFERROR(__xludf.DUMMYFUNCTION("""COMPUTED_VALUE"""),500000.0)</f>
        <v>500000</v>
      </c>
      <c r="BG4" s="42"/>
      <c r="BH4" s="42"/>
      <c r="BI4" s="42"/>
      <c r="BJ4" s="45"/>
      <c r="BK4" s="45"/>
      <c r="BL4" s="45"/>
      <c r="BM4" s="45"/>
      <c r="BN4" s="45"/>
      <c r="BO4" s="46"/>
    </row>
    <row r="5">
      <c r="A5" s="47">
        <f>IFERROR(__xludf.DUMMYFUNCTION("""COMPUTED_VALUE"""),4.0)</f>
        <v>4</v>
      </c>
      <c r="B5" s="48" t="str">
        <f>IFERROR(__xludf.DUMMYFUNCTION("""COMPUTED_VALUE"""),"ABDUL MUIZ SALAM")</f>
        <v>ABDUL MUIZ SALAM</v>
      </c>
      <c r="C5" s="49">
        <f>IFERROR(__xludf.DUMMYFUNCTION("""COMPUTED_VALUE"""),2.025070224E9)</f>
        <v>2025070224</v>
      </c>
      <c r="D5" s="48" t="str">
        <f>IFERROR(__xludf.DUMMYFUNCTION("""COMPUTED_VALUE"""),"SUHARTOYO")</f>
        <v>SUHARTOYO</v>
      </c>
      <c r="E5" s="48" t="str">
        <f>IFERROR(__xludf.DUMMYFUNCTION("""COMPUTED_VALUE"""),"KASMUNTIK")</f>
        <v>KASMUNTIK</v>
      </c>
      <c r="F5" s="48" t="str">
        <f>IFERROR(__xludf.DUMMYFUNCTION("""COMPUTED_VALUE"""),"KEPATIHAN SUKOREJO RT 007 RW 002 TURI LAMONGAN")</f>
        <v>KEPATIHAN SUKOREJO RT 007 RW 002 TURI LAMONGAN</v>
      </c>
      <c r="G5" s="50" t="str">
        <f>IFERROR(__xludf.DUMMYFUNCTION("""COMPUTED_VALUE"""),"MA-XI.13")</f>
        <v>MA-XI.13</v>
      </c>
      <c r="H5" s="47" t="str">
        <f>IFERROR(__xludf.DUMMYFUNCTION("""COMPUTED_VALUE"""),"A")</f>
        <v>A</v>
      </c>
      <c r="I5" s="53" t="str">
        <f>IFERROR(__xludf.DUMMYFUNCTION("""COMPUTED_VALUE"""),"A-4")</f>
        <v>A-4</v>
      </c>
      <c r="J5" s="51">
        <f>IFERROR(__xludf.DUMMYFUNCTION("""COMPUTED_VALUE"""),2.0)</f>
        <v>2</v>
      </c>
      <c r="K5" s="51" t="str">
        <f>IFERROR(__xludf.DUMMYFUNCTION("""COMPUTED_VALUE"""),"2 MAK PUTRA")</f>
        <v>2 MAK PUTRA</v>
      </c>
      <c r="L5" s="52" t="str">
        <f>IFERROR(__xludf.DUMMYFUNCTION("""COMPUTED_VALUE"""),"6285731779996")</f>
        <v>6285731779996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4"/>
      <c r="AA5" s="54"/>
      <c r="AB5" s="54">
        <f>IFERROR(__xludf.DUMMYFUNCTION("""COMPUTED_VALUE"""),500000.0)</f>
        <v>500000</v>
      </c>
      <c r="AC5" s="54"/>
      <c r="AD5" s="54"/>
      <c r="AE5" s="54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4">
        <f>IFERROR(__xludf.DUMMYFUNCTION("""COMPUTED_VALUE"""),500000.0)</f>
        <v>500000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IFERROR(__xludf.DUMMYFUNCTION("""COMPUTED_VALUE"""),1000000.0)</f>
        <v>1000000</v>
      </c>
      <c r="BE5" s="54">
        <f>IFERROR(__xludf.DUMMYFUNCTION("""COMPUTED_VALUE"""),0.0)</f>
        <v>0</v>
      </c>
      <c r="BF5" s="55">
        <f>IFERROR(__xludf.DUMMYFUNCTION("""COMPUTED_VALUE"""),1000000.0)</f>
        <v>1000000</v>
      </c>
      <c r="BG5" s="53"/>
      <c r="BH5" s="53"/>
      <c r="BI5" s="53"/>
      <c r="BJ5" s="45"/>
      <c r="BK5" s="45"/>
      <c r="BL5" s="45"/>
      <c r="BM5" s="45"/>
      <c r="BN5" s="45"/>
      <c r="BO5" s="46"/>
    </row>
    <row r="6">
      <c r="A6" s="36">
        <f>IFERROR(__xludf.DUMMYFUNCTION("""COMPUTED_VALUE"""),5.0)</f>
        <v>5</v>
      </c>
      <c r="B6" s="37" t="str">
        <f>IFERROR(__xludf.DUMMYFUNCTION("""COMPUTED_VALUE"""),"ABDUL QODIR AL JAILANI")</f>
        <v>ABDUL QODIR AL JAILANI</v>
      </c>
      <c r="C6" s="38">
        <f>IFERROR(__xludf.DUMMYFUNCTION("""COMPUTED_VALUE"""),2.025070418E9)</f>
        <v>2025070418</v>
      </c>
      <c r="D6" s="37" t="str">
        <f>IFERROR(__xludf.DUMMYFUNCTION("""COMPUTED_VALUE"""),"SHOLEHODDIN")</f>
        <v>SHOLEHODDIN</v>
      </c>
      <c r="E6" s="37" t="str">
        <f>IFERROR(__xludf.DUMMYFUNCTION("""COMPUTED_VALUE"""),"MUNIROH")</f>
        <v>MUNIROH</v>
      </c>
      <c r="F6" s="37" t="str">
        <f>IFERROR(__xludf.DUMMYFUNCTION("""COMPUTED_VALUE"""),"BERLANTONG PANDIYANGAN RT 000 RW 000 ROBATAL SAMPANG")</f>
        <v>BERLANTONG PANDIYANGAN RT 000 RW 000 ROBATAL SAMPANG</v>
      </c>
      <c r="G6" s="38" t="str">
        <f>IFERROR(__xludf.DUMMYFUNCTION("""COMPUTED_VALUE"""),"MA-XI.13")</f>
        <v>MA-XI.13</v>
      </c>
      <c r="H6" s="36" t="str">
        <f>IFERROR(__xludf.DUMMYFUNCTION("""COMPUTED_VALUE"""),"A")</f>
        <v>A</v>
      </c>
      <c r="I6" s="40" t="str">
        <f>IFERROR(__xludf.DUMMYFUNCTION("""COMPUTED_VALUE"""),"A-2")</f>
        <v>A-2</v>
      </c>
      <c r="J6" s="40">
        <f>IFERROR(__xludf.DUMMYFUNCTION("""COMPUTED_VALUE"""),2.0)</f>
        <v>2</v>
      </c>
      <c r="K6" s="40" t="str">
        <f>IFERROR(__xludf.DUMMYFUNCTION("""COMPUTED_VALUE"""),"2 MAK PUTRA")</f>
        <v>2 MAK PUTRA</v>
      </c>
      <c r="L6" s="41" t="str">
        <f>IFERROR(__xludf.DUMMYFUNCTION("""COMPUTED_VALUE"""),"6282334141174")</f>
        <v>6282334141174</v>
      </c>
      <c r="M6" s="42"/>
      <c r="N6" s="42" t="str">
        <f>IFERROR(__xludf.DUMMYFUNCTION("""COMPUTED_VALUE""")," ")</f>
        <v> 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>
        <f>IFERROR(__xludf.DUMMYFUNCTION("""COMPUTED_VALUE"""),450000.0)</f>
        <v>450000</v>
      </c>
      <c r="AA6" s="42"/>
      <c r="AB6" s="42"/>
      <c r="AC6" s="42"/>
      <c r="AD6" s="42"/>
      <c r="AE6" s="43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IFERROR(__xludf.DUMMYFUNCTION("""COMPUTED_VALUE"""),450000.0)</f>
        <v>450000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IFERROR(__xludf.DUMMYFUNCTION("""COMPUTED_VALUE"""),450000.0)</f>
        <v>450000</v>
      </c>
      <c r="BG6" s="42"/>
      <c r="BH6" s="42"/>
      <c r="BI6" s="42"/>
      <c r="BJ6" s="45"/>
      <c r="BK6" s="45"/>
      <c r="BL6" s="45"/>
      <c r="BM6" s="45"/>
      <c r="BN6" s="45"/>
      <c r="BO6" s="46"/>
    </row>
    <row r="7">
      <c r="A7" s="47">
        <f>IFERROR(__xludf.DUMMYFUNCTION("""COMPUTED_VALUE"""),6.0)</f>
        <v>6</v>
      </c>
      <c r="B7" s="48" t="str">
        <f>IFERROR(__xludf.DUMMYFUNCTION("""COMPUTED_VALUE"""),"ABI DZAR AL GHIFARI")</f>
        <v>ABI DZAR AL GHIFARI</v>
      </c>
      <c r="C7" s="49">
        <f>IFERROR(__xludf.DUMMYFUNCTION("""COMPUTED_VALUE"""),2.025070493E9)</f>
        <v>2025070493</v>
      </c>
      <c r="D7" s="48" t="str">
        <f>IFERROR(__xludf.DUMMYFUNCTION("""COMPUTED_VALUE"""),"MOH. ROHMAN")</f>
        <v>MOH. ROHMAN</v>
      </c>
      <c r="E7" s="48" t="str">
        <f>IFERROR(__xludf.DUMMYFUNCTION("""COMPUTED_VALUE"""),"SITI WAHYUNI")</f>
        <v>SITI WAHYUNI</v>
      </c>
      <c r="F7" s="48" t="str">
        <f>IFERROR(__xludf.DUMMYFUNCTION("""COMPUTED_VALUE"""),"GLUMO JELAKCATUR RT 001 RW 005 KALITENGAH LAMONGAN")</f>
        <v>GLUMO JELAKCATUR RT 001 RW 005 KALITENGAH LAMONGAN</v>
      </c>
      <c r="G7" s="50" t="str">
        <f>IFERROR(__xludf.DUMMYFUNCTION("""COMPUTED_VALUE"""),"SMP-VIII C")</f>
        <v>SMP-VIII C</v>
      </c>
      <c r="H7" s="47" t="str">
        <f>IFERROR(__xludf.DUMMYFUNCTION("""COMPUTED_VALUE"""),"A")</f>
        <v>A</v>
      </c>
      <c r="I7" s="51" t="str">
        <f>IFERROR(__xludf.DUMMYFUNCTION("""COMPUTED_VALUE"""),"A-1")</f>
        <v>A-1</v>
      </c>
      <c r="J7" s="51">
        <f>IFERROR(__xludf.DUMMYFUNCTION("""COMPUTED_VALUE"""),2.0)</f>
        <v>2</v>
      </c>
      <c r="K7" s="51" t="str">
        <f>IFERROR(__xludf.DUMMYFUNCTION("""COMPUTED_VALUE"""),"2 ULA A PUTRA")</f>
        <v>2 ULA A PUTRA</v>
      </c>
      <c r="L7" s="52" t="str">
        <f>IFERROR(__xludf.DUMMYFUNCTION("""COMPUTED_VALUE"""),"6285855722817")</f>
        <v>6285855722817</v>
      </c>
      <c r="M7" s="53">
        <f>IFERROR(__xludf.DUMMYFUNCTION("""COMPUTED_VALUE"""),600000.0)</f>
        <v>600000</v>
      </c>
      <c r="N7" s="53"/>
      <c r="O7" s="53"/>
      <c r="P7" s="53"/>
      <c r="Q7" s="53">
        <f>IFERROR(__xludf.DUMMYFUNCTION("""COMPUTED_VALUE"""),450000.0)</f>
        <v>450000</v>
      </c>
      <c r="R7" s="53">
        <f>IFERROR(__xludf.DUMMYFUNCTION("""COMPUTED_VALUE"""),450000.0)</f>
        <v>450000</v>
      </c>
      <c r="S7" s="53">
        <f>IFERROR(__xludf.DUMMYFUNCTION("""COMPUTED_VALUE"""),450000.0)</f>
        <v>450000</v>
      </c>
      <c r="T7" s="53">
        <f>IFERROR(__xludf.DUMMYFUNCTION("""COMPUTED_VALUE"""),450000.0)</f>
        <v>450000</v>
      </c>
      <c r="U7" s="53">
        <f>IFERROR(__xludf.DUMMYFUNCTION("""COMPUTED_VALUE"""),450000.0)</f>
        <v>450000</v>
      </c>
      <c r="V7" s="53">
        <f>IFERROR(__xludf.DUMMYFUNCTION("""COMPUTED_VALUE"""),450000.0)</f>
        <v>450000</v>
      </c>
      <c r="W7" s="53">
        <f>IFERROR(__xludf.DUMMYFUNCTION("""COMPUTED_VALUE"""),450000.0)</f>
        <v>450000</v>
      </c>
      <c r="X7" s="53">
        <f>IFERROR(__xludf.DUMMYFUNCTION("""COMPUTED_VALUE"""),450000.0)</f>
        <v>450000</v>
      </c>
      <c r="Y7" s="53">
        <f>IFERROR(__xludf.DUMMYFUNCTION("""COMPUTED_VALUE"""),450000.0)</f>
        <v>450000</v>
      </c>
      <c r="Z7" s="53">
        <f>IFERROR(__xludf.DUMMYFUNCTION("""COMPUTED_VALUE"""),450000.0)</f>
        <v>450000</v>
      </c>
      <c r="AA7" s="53"/>
      <c r="AB7" s="53">
        <f>IFERROR(__xludf.DUMMYFUNCTION("""COMPUTED_VALUE"""),500000.0)</f>
        <v>500000</v>
      </c>
      <c r="AC7" s="53"/>
      <c r="AD7" s="54"/>
      <c r="AE7" s="54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>
        <f>IFERROR(__xludf.DUMMYFUNCTION("""COMPUTED_VALUE"""),500000.0)</f>
        <v>500000</v>
      </c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IFERROR(__xludf.DUMMYFUNCTION("""COMPUTED_VALUE"""),4500000.0)</f>
        <v>4500000</v>
      </c>
      <c r="BD7" s="54">
        <f>IFERROR(__xludf.DUMMYFUNCTION("""COMPUTED_VALUE"""),1600000.0)</f>
        <v>1600000</v>
      </c>
      <c r="BE7" s="54">
        <f>IFERROR(__xludf.DUMMYFUNCTION("""COMPUTED_VALUE"""),0.0)</f>
        <v>0</v>
      </c>
      <c r="BF7" s="55">
        <f>IFERROR(__xludf.DUMMYFUNCTION("""COMPUTED_VALUE"""),6100000.0)</f>
        <v>6100000</v>
      </c>
      <c r="BG7" s="53"/>
      <c r="BH7" s="53"/>
      <c r="BI7" s="53"/>
      <c r="BJ7" s="45"/>
      <c r="BK7" s="45"/>
      <c r="BL7" s="45"/>
      <c r="BM7" s="45"/>
      <c r="BN7" s="45"/>
      <c r="BO7" s="46"/>
    </row>
    <row r="8">
      <c r="A8" s="36">
        <f>IFERROR(__xludf.DUMMYFUNCTION("""COMPUTED_VALUE"""),7.0)</f>
        <v>7</v>
      </c>
      <c r="B8" s="37" t="str">
        <f>IFERROR(__xludf.DUMMYFUNCTION("""COMPUTED_VALUE"""),"ACHMAD MIFTAHUL AN-NURIL HUDA")</f>
        <v>ACHMAD MIFTAHUL AN-NURIL HUDA</v>
      </c>
      <c r="C8" s="38">
        <f>IFERROR(__xludf.DUMMYFUNCTION("""COMPUTED_VALUE"""),2.025070328E9)</f>
        <v>2025070328</v>
      </c>
      <c r="D8" s="37" t="str">
        <f>IFERROR(__xludf.DUMMYFUNCTION("""COMPUTED_VALUE"""),"MUHAMMAD ROQIB")</f>
        <v>MUHAMMAD ROQIB</v>
      </c>
      <c r="E8" s="37" t="str">
        <f>IFERROR(__xludf.DUMMYFUNCTION("""COMPUTED_VALUE"""),"QOMAI EFTIKA")</f>
        <v>QOMAI EFTIKA</v>
      </c>
      <c r="F8" s="37" t="str">
        <f>IFERROR(__xludf.DUMMYFUNCTION("""COMPUTED_VALUE"""),"SUKOLILO RT 002 RW 003 SUKODADI LAMONGAN")</f>
        <v>SUKOLILO RT 002 RW 003 SUKODADI LAMONGAN</v>
      </c>
      <c r="G8" s="38" t="str">
        <f>IFERROR(__xludf.DUMMYFUNCTION("""COMPUTED_VALUE"""),"MA-XI.13")</f>
        <v>MA-XI.13</v>
      </c>
      <c r="H8" s="36" t="str">
        <f>IFERROR(__xludf.DUMMYFUNCTION("""COMPUTED_VALUE"""),"A")</f>
        <v>A</v>
      </c>
      <c r="I8" s="40" t="str">
        <f>IFERROR(__xludf.DUMMYFUNCTION("""COMPUTED_VALUE"""),"A-2")</f>
        <v>A-2</v>
      </c>
      <c r="J8" s="40">
        <f>IFERROR(__xludf.DUMMYFUNCTION("""COMPUTED_VALUE"""),2.0)</f>
        <v>2</v>
      </c>
      <c r="K8" s="40" t="str">
        <f>IFERROR(__xludf.DUMMYFUNCTION("""COMPUTED_VALUE"""),"2 MAK PUTRA")</f>
        <v>2 MAK PUTRA</v>
      </c>
      <c r="L8" s="41" t="str">
        <f>IFERROR(__xludf.DUMMYFUNCTION("""COMPUTED_VALUE"""),"62895420477717")</f>
        <v>62895420477717</v>
      </c>
      <c r="M8" s="42"/>
      <c r="N8" s="42">
        <f>IFERROR(__xludf.DUMMYFUNCTION("""COMPUTED_VALUE"""),200000.0)</f>
        <v>200000</v>
      </c>
      <c r="O8" s="42"/>
      <c r="P8" s="42"/>
      <c r="Q8" s="42"/>
      <c r="R8" s="42"/>
      <c r="S8" s="42"/>
      <c r="T8" s="42"/>
      <c r="U8" s="42"/>
      <c r="V8" s="42"/>
      <c r="W8" s="42"/>
      <c r="X8" s="42">
        <f>IFERROR(__xludf.DUMMYFUNCTION("""COMPUTED_VALUE"""),450000.0)</f>
        <v>450000</v>
      </c>
      <c r="Y8" s="42">
        <f>IFERROR(__xludf.DUMMYFUNCTION("""COMPUTED_VALUE"""),450000.0)</f>
        <v>450000</v>
      </c>
      <c r="Z8" s="42">
        <f>IFERROR(__xludf.DUMMYFUNCTION("""COMPUTED_VALUE"""),450000.0)</f>
        <v>450000</v>
      </c>
      <c r="AA8" s="42"/>
      <c r="AB8" s="42"/>
      <c r="AC8" s="42"/>
      <c r="AD8" s="42"/>
      <c r="AE8" s="43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IFERROR(__xludf.DUMMYFUNCTION("""COMPUTED_VALUE"""),1350000.0)</f>
        <v>1350000</v>
      </c>
      <c r="BD8" s="43">
        <f>IFERROR(__xludf.DUMMYFUNCTION("""COMPUTED_VALUE"""),0.0)</f>
        <v>0</v>
      </c>
      <c r="BE8" s="43">
        <f>IFERROR(__xludf.DUMMYFUNCTION("""COMPUTED_VALUE"""),0.0)</f>
        <v>0</v>
      </c>
      <c r="BF8" s="44">
        <f>IFERROR(__xludf.DUMMYFUNCTION("""COMPUTED_VALUE"""),1350000.0)</f>
        <v>1350000</v>
      </c>
      <c r="BG8" s="42"/>
      <c r="BH8" s="42"/>
      <c r="BI8" s="42"/>
      <c r="BJ8" s="45"/>
      <c r="BK8" s="45"/>
      <c r="BL8" s="45"/>
      <c r="BM8" s="45"/>
      <c r="BN8" s="45"/>
      <c r="BO8" s="46"/>
    </row>
    <row r="9">
      <c r="A9" s="47">
        <f>IFERROR(__xludf.DUMMYFUNCTION("""COMPUTED_VALUE"""),8.0)</f>
        <v>8</v>
      </c>
      <c r="B9" s="48" t="str">
        <f>IFERROR(__xludf.DUMMYFUNCTION("""COMPUTED_VALUE"""),"ACHMAD SIDDIQ")</f>
        <v>ACHMAD SIDDIQ</v>
      </c>
      <c r="C9" s="49">
        <f>IFERROR(__xludf.DUMMYFUNCTION("""COMPUTED_VALUE"""),2.025070306E9)</f>
        <v>2025070306</v>
      </c>
      <c r="D9" s="48" t="str">
        <f>IFERROR(__xludf.DUMMYFUNCTION("""COMPUTED_VALUE"""),"ZAENAL MUSTOFA")</f>
        <v>ZAENAL MUSTOFA</v>
      </c>
      <c r="E9" s="48" t="str">
        <f>IFERROR(__xludf.DUMMYFUNCTION("""COMPUTED_VALUE"""),"KUSENAH")</f>
        <v>KUSENAH</v>
      </c>
      <c r="F9" s="48" t="str">
        <f>IFERROR(__xludf.DUMMYFUNCTION("""COMPUTED_VALUE"""),"BANYUBANG RT 011 RW 003 SOLOKURO LAMONGAN")</f>
        <v>BANYUBANG RT 011 RW 003 SOLOKURO LAMONGAN</v>
      </c>
      <c r="G9" s="50" t="str">
        <f>IFERROR(__xludf.DUMMYFUNCTION("""COMPUTED_VALUE"""),"MA-XI.13")</f>
        <v>MA-XI.13</v>
      </c>
      <c r="H9" s="47" t="str">
        <f>IFERROR(__xludf.DUMMYFUNCTION("""COMPUTED_VALUE"""),"A")</f>
        <v>A</v>
      </c>
      <c r="I9" s="51" t="str">
        <f>IFERROR(__xludf.DUMMYFUNCTION("""COMPUTED_VALUE"""),"A-4")</f>
        <v>A-4</v>
      </c>
      <c r="J9" s="51">
        <f>IFERROR(__xludf.DUMMYFUNCTION("""COMPUTED_VALUE"""),2.0)</f>
        <v>2</v>
      </c>
      <c r="K9" s="51" t="str">
        <f>IFERROR(__xludf.DUMMYFUNCTION("""COMPUTED_VALUE"""),"2 MAK PUTRA")</f>
        <v>2 MAK PUTRA</v>
      </c>
      <c r="L9" s="52" t="str">
        <f>IFERROR(__xludf.DUMMYFUNCTION("""COMPUTED_VALUE"""),"6282214993212")</f>
        <v>6282214993212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4"/>
      <c r="AE9" s="54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>
        <f>IFERROR(__xludf.DUMMYFUNCTION("""COMPUTED_VALUE"""),500000.0)</f>
        <v>500000</v>
      </c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IFERROR(__xludf.DUMMYFUNCTION("""COMPUTED_VALUE"""),0.0)</f>
        <v>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IFERROR(__xludf.DUMMYFUNCTION("""COMPUTED_VALUE"""),1000000.0)</f>
        <v>1000000</v>
      </c>
      <c r="BG9" s="53"/>
      <c r="BH9" s="53"/>
      <c r="BI9" s="53"/>
      <c r="BJ9" s="45"/>
      <c r="BK9" s="45"/>
      <c r="BL9" s="45"/>
      <c r="BM9" s="45"/>
      <c r="BN9" s="45"/>
      <c r="BO9" s="46"/>
    </row>
    <row r="10">
      <c r="A10" s="36">
        <f>IFERROR(__xludf.DUMMYFUNCTION("""COMPUTED_VALUE"""),9.0)</f>
        <v>9</v>
      </c>
      <c r="B10" s="37" t="str">
        <f>IFERROR(__xludf.DUMMYFUNCTION("""COMPUTED_VALUE"""),"ACHMAD SYAHRUL DZAKIE AL KAUTSAR")</f>
        <v>ACHMAD SYAHRUL DZAKIE AL KAUTSAR</v>
      </c>
      <c r="C10" s="38">
        <f>IFERROR(__xludf.DUMMYFUNCTION("""COMPUTED_VALUE"""),2.025070523E9)</f>
        <v>2025070523</v>
      </c>
      <c r="D10" s="37" t="str">
        <f>IFERROR(__xludf.DUMMYFUNCTION("""COMPUTED_VALUE"""),"MOH. SYAIFUL ANSHOR")</f>
        <v>MOH. SYAIFUL ANSHOR</v>
      </c>
      <c r="E10" s="37" t="str">
        <f>IFERROR(__xludf.DUMMYFUNCTION("""COMPUTED_VALUE"""),"SHOLIHATUL MUFIDAH")</f>
        <v>SHOLIHATUL MUFIDAH</v>
      </c>
      <c r="F10" s="37" t="str">
        <f>IFERROR(__xludf.DUMMYFUNCTION("""COMPUTED_VALUE"""),"JL AMBARAWA PETUNG RT 010 RW 004 PANCENG BABAT")</f>
        <v>JL AMBARAWA PETUNG RT 010 RW 004 PANCENG BABAT</v>
      </c>
      <c r="G10" s="39" t="str">
        <f>IFERROR(__xludf.DUMMYFUNCTION("""COMPUTED_VALUE"""),"MTS-8 F")</f>
        <v>MTS-8 F</v>
      </c>
      <c r="H10" s="36" t="str">
        <f>IFERROR(__xludf.DUMMYFUNCTION("""COMPUTED_VALUE"""),"A")</f>
        <v>A</v>
      </c>
      <c r="I10" s="40" t="str">
        <f>IFERROR(__xludf.DUMMYFUNCTION("""COMPUTED_VALUE"""),"A-3")</f>
        <v>A-3</v>
      </c>
      <c r="J10" s="40">
        <f>IFERROR(__xludf.DUMMYFUNCTION("""COMPUTED_VALUE"""),2.0)</f>
        <v>2</v>
      </c>
      <c r="K10" s="40" t="str">
        <f>IFERROR(__xludf.DUMMYFUNCTION("""COMPUTED_VALUE"""),"2 ULA A PUTRA")</f>
        <v>2 ULA A PUTRA</v>
      </c>
      <c r="L10" s="41" t="str">
        <f>IFERROR(__xludf.DUMMYFUNCTION("""COMPUTED_VALUE"""),"62881027793394")</f>
        <v>62881027793394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3"/>
      <c r="AB10" s="43">
        <f>IFERROR(__xludf.DUMMYFUNCTION("""COMPUTED_VALUE"""),500000.0)</f>
        <v>500000</v>
      </c>
      <c r="AC10" s="42"/>
      <c r="AD10" s="43"/>
      <c r="AE10" s="43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>
        <f>IFERROR(__xludf.DUMMYFUNCTION("""COMPUTED_VALUE"""),500000.0)</f>
        <v>500000</v>
      </c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IFERROR(__xludf.DUMMYFUNCTION("""COMPUTED_VALUE"""),0.0)</f>
        <v>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IFERROR(__xludf.DUMMYFUNCTION("""COMPUTED_VALUE"""),1000000.0)</f>
        <v>1000000</v>
      </c>
      <c r="BG10" s="42"/>
      <c r="BH10" s="42"/>
      <c r="BI10" s="42"/>
      <c r="BJ10" s="45"/>
      <c r="BK10" s="45"/>
      <c r="BL10" s="45"/>
      <c r="BM10" s="45"/>
      <c r="BN10" s="45"/>
      <c r="BO10" s="46"/>
    </row>
    <row r="11">
      <c r="A11" s="47">
        <f>IFERROR(__xludf.DUMMYFUNCTION("""COMPUTED_VALUE"""),10.0)</f>
        <v>10</v>
      </c>
      <c r="B11" s="48" t="str">
        <f>IFERROR(__xludf.DUMMYFUNCTION("""COMPUTED_VALUE"""),"ADHIAN SAKANI ZADDA")</f>
        <v>ADHIAN SAKANI ZADDA</v>
      </c>
      <c r="C11" s="49">
        <f>IFERROR(__xludf.DUMMYFUNCTION("""COMPUTED_VALUE"""),2.025070582E9)</f>
        <v>2025070582</v>
      </c>
      <c r="D11" s="48" t="str">
        <f>IFERROR(__xludf.DUMMYFUNCTION("""COMPUTED_VALUE"""),"KUSNUL SAKIN")</f>
        <v>KUSNUL SAKIN</v>
      </c>
      <c r="E11" s="48" t="str">
        <f>IFERROR(__xludf.DUMMYFUNCTION("""COMPUTED_VALUE"""),"MARKUTIK")</f>
        <v>MARKUTIK</v>
      </c>
      <c r="F11" s="48" t="str">
        <f>IFERROR(__xludf.DUMMYFUNCTION("""COMPUTED_VALUE"""),"SUGIHAN RT 012 RW 002 SOLOKURO LAMONGAN")</f>
        <v>SUGIHAN RT 012 RW 002 SOLOKURO LAMONGAN</v>
      </c>
      <c r="G11" s="49" t="str">
        <f>IFERROR(__xludf.DUMMYFUNCTION("""COMPUTED_VALUE"""),"MTS-8 G")</f>
        <v>MTS-8 G</v>
      </c>
      <c r="H11" s="47" t="str">
        <f>IFERROR(__xludf.DUMMYFUNCTION("""COMPUTED_VALUE"""),"A")</f>
        <v>A</v>
      </c>
      <c r="I11" s="51" t="str">
        <f>IFERROR(__xludf.DUMMYFUNCTION("""COMPUTED_VALUE"""),"A-3")</f>
        <v>A-3</v>
      </c>
      <c r="J11" s="51">
        <f>IFERROR(__xludf.DUMMYFUNCTION("""COMPUTED_VALUE"""),2.0)</f>
        <v>2</v>
      </c>
      <c r="K11" s="51" t="str">
        <f>IFERROR(__xludf.DUMMYFUNCTION("""COMPUTED_VALUE"""),"2 ULA A PUTRA")</f>
        <v>2 ULA A PUTRA</v>
      </c>
      <c r="L11" s="52" t="str">
        <f>IFERROR(__xludf.DUMMYFUNCTION("""COMPUTED_VALUE"""),"628563276002")</f>
        <v>628563276002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4">
        <f>IFERROR(__xludf.DUMMYFUNCTION("""COMPUTED_VALUE"""),500000.0)</f>
        <v>500000</v>
      </c>
      <c r="AC11" s="53"/>
      <c r="AD11" s="54"/>
      <c r="AE11" s="54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>
        <f>IFERROR(__xludf.DUMMYFUNCTION("""COMPUTED_VALUE"""),500000.0)</f>
        <v>500000</v>
      </c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IFERROR(__xludf.DUMMYFUNCTION("""COMPUTED_VALUE"""),0.0)</f>
        <v>0</v>
      </c>
      <c r="BD11" s="54">
        <f>IFERROR(__xludf.DUMMYFUNCTION("""COMPUTED_VALUE"""),1000000.0)</f>
        <v>1000000</v>
      </c>
      <c r="BE11" s="54">
        <f>IFERROR(__xludf.DUMMYFUNCTION("""COMPUTED_VALUE"""),0.0)</f>
        <v>0</v>
      </c>
      <c r="BF11" s="55">
        <f>IFERROR(__xludf.DUMMYFUNCTION("""COMPUTED_VALUE"""),1000000.0)</f>
        <v>1000000</v>
      </c>
      <c r="BG11" s="53"/>
      <c r="BH11" s="53"/>
      <c r="BI11" s="53"/>
      <c r="BJ11" s="45"/>
      <c r="BK11" s="45"/>
      <c r="BL11" s="45"/>
      <c r="BM11" s="45"/>
      <c r="BN11" s="45"/>
      <c r="BO11" s="46"/>
    </row>
    <row r="12">
      <c r="A12" s="36">
        <f>IFERROR(__xludf.DUMMYFUNCTION("""COMPUTED_VALUE"""),11.0)</f>
        <v>11</v>
      </c>
      <c r="B12" s="37" t="str">
        <f>IFERROR(__xludf.DUMMYFUNCTION("""COMPUTED_VALUE"""),"ADI FAJAR MUAYYAD")</f>
        <v>ADI FAJAR MUAYYAD</v>
      </c>
      <c r="C12" s="38">
        <f>IFERROR(__xludf.DUMMYFUNCTION("""COMPUTED_VALUE"""),2.025070642E9)</f>
        <v>2025070642</v>
      </c>
      <c r="D12" s="37" t="str">
        <f>IFERROR(__xludf.DUMMYFUNCTION("""COMPUTED_VALUE"""),"SRIMAT")</f>
        <v>SRIMAT</v>
      </c>
      <c r="E12" s="37" t="str">
        <f>IFERROR(__xludf.DUMMYFUNCTION("""COMPUTED_VALUE"""),"UMMUL HASANAH")</f>
        <v>UMMUL HASANAH</v>
      </c>
      <c r="F12" s="37" t="str">
        <f>IFERROR(__xludf.DUMMYFUNCTION("""COMPUTED_VALUE"""),"KARANGTAWAR RT 002 RW 001 LAREN LAMONGAN")</f>
        <v>KARANGTAWAR RT 002 RW 001 LAREN LAMONGAN</v>
      </c>
      <c r="G12" s="39" t="str">
        <f>IFERROR(__xludf.DUMMYFUNCTION("""COMPUTED_VALUE"""),"MTS-8 B")</f>
        <v>MTS-8 B</v>
      </c>
      <c r="H12" s="36" t="str">
        <f>IFERROR(__xludf.DUMMYFUNCTION("""COMPUTED_VALUE"""),"A")</f>
        <v>A</v>
      </c>
      <c r="I12" s="40" t="str">
        <f>IFERROR(__xludf.DUMMYFUNCTION("""COMPUTED_VALUE"""),"A-1")</f>
        <v>A-1</v>
      </c>
      <c r="J12" s="40">
        <f>IFERROR(__xludf.DUMMYFUNCTION("""COMPUTED_VALUE"""),2.0)</f>
        <v>2</v>
      </c>
      <c r="K12" s="40" t="str">
        <f>IFERROR(__xludf.DUMMYFUNCTION("""COMPUTED_VALUE"""),"2 ULA A PUTRA")</f>
        <v>2 ULA A PUTRA</v>
      </c>
      <c r="L12" s="41" t="str">
        <f>IFERROR(__xludf.DUMMYFUNCTION("""COMPUTED_VALUE"""),"6285739097145")</f>
        <v>6285739097145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43"/>
      <c r="AD12" s="43"/>
      <c r="AE12" s="43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IFERROR(__xludf.DUMMYFUNCTION("""COMPUTED_VALUE"""),0.0)</f>
        <v>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IFERROR(__xludf.DUMMYFUNCTION("""COMPUTED_VALUE"""),0.0)</f>
        <v>0</v>
      </c>
      <c r="BG12" s="42"/>
      <c r="BH12" s="42"/>
      <c r="BI12" s="42"/>
      <c r="BJ12" s="45"/>
      <c r="BK12" s="45"/>
      <c r="BL12" s="45"/>
      <c r="BM12" s="45"/>
      <c r="BN12" s="45"/>
      <c r="BO12" s="46"/>
    </row>
    <row r="13">
      <c r="A13" s="47">
        <f>IFERROR(__xludf.DUMMYFUNCTION("""COMPUTED_VALUE"""),12.0)</f>
        <v>12</v>
      </c>
      <c r="B13" s="48" t="str">
        <f>IFERROR(__xludf.DUMMYFUNCTION("""COMPUTED_VALUE"""),"ADITYA FERYANSYAH")</f>
        <v>ADITYA FERYANSYAH</v>
      </c>
      <c r="C13" s="49">
        <f>IFERROR(__xludf.DUMMYFUNCTION("""COMPUTED_VALUE"""),2.02507046E9)</f>
        <v>2025070460</v>
      </c>
      <c r="D13" s="48" t="str">
        <f>IFERROR(__xludf.DUMMYFUNCTION("""COMPUTED_VALUE"""),"ZAENAL ARIFIN W")</f>
        <v>ZAENAL ARIFIN W</v>
      </c>
      <c r="E13" s="48" t="str">
        <f>IFERROR(__xludf.DUMMYFUNCTION("""COMPUTED_VALUE"""),"ASLAMIYAH")</f>
        <v>ASLAMIYAH</v>
      </c>
      <c r="F13" s="48" t="str">
        <f>IFERROR(__xludf.DUMMYFUNCTION("""COMPUTED_VALUE"""),"JL. DEMAK JAYA GG 8 NO 9 TEMBOK DUKUH  RT 012 RW 010 BUBUTAN SURABAYA")</f>
        <v>JL. DEMAK JAYA GG 8 NO 9 TEMBOK DUKUH  RT 012 RW 010 BUBUTAN SURABAYA</v>
      </c>
      <c r="G13" s="49" t="str">
        <f>IFERROR(__xludf.DUMMYFUNCTION("""COMPUTED_VALUE"""),"SMK-XI TSM")</f>
        <v>SMK-XI TSM</v>
      </c>
      <c r="H13" s="47" t="str">
        <f>IFERROR(__xludf.DUMMYFUNCTION("""COMPUTED_VALUE"""),"A")</f>
        <v>A</v>
      </c>
      <c r="I13" s="51" t="str">
        <f>IFERROR(__xludf.DUMMYFUNCTION("""COMPUTED_VALUE"""),"A-4")</f>
        <v>A-4</v>
      </c>
      <c r="J13" s="51">
        <f>IFERROR(__xludf.DUMMYFUNCTION("""COMPUTED_VALUE"""),2.0)</f>
        <v>2</v>
      </c>
      <c r="K13" s="51" t="str">
        <f>IFERROR(__xludf.DUMMYFUNCTION("""COMPUTED_VALUE"""),"2 WUSTHO A PUTRA")</f>
        <v>2 WUSTHO A PUTRA</v>
      </c>
      <c r="L13" s="52" t="str">
        <f>IFERROR(__xludf.DUMMYFUNCTION("""COMPUTED_VALUE"""),"6283857988668")</f>
        <v>6283857988668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B13" s="54">
        <f>IFERROR(__xludf.DUMMYFUNCTION("""COMPUTED_VALUE"""),500000.0)</f>
        <v>500000</v>
      </c>
      <c r="AC13" s="53"/>
      <c r="AD13" s="53"/>
      <c r="AE13" s="54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>
        <f>IFERROR(__xludf.DUMMYFUNCTION("""COMPUTED_VALUE"""),500000.0)</f>
        <v>500000</v>
      </c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IFERROR(__xludf.DUMMYFUNCTION("""COMPUTED_VALUE"""),1000000.0)</f>
        <v>1000000</v>
      </c>
      <c r="BE13" s="54">
        <f>IFERROR(__xludf.DUMMYFUNCTION("""COMPUTED_VALUE"""),0.0)</f>
        <v>0</v>
      </c>
      <c r="BF13" s="55">
        <f>IFERROR(__xludf.DUMMYFUNCTION("""COMPUTED_VALUE"""),1000000.0)</f>
        <v>1000000</v>
      </c>
      <c r="BG13" s="53"/>
      <c r="BH13" s="53"/>
      <c r="BI13" s="53"/>
      <c r="BJ13" s="45"/>
      <c r="BK13" s="45"/>
      <c r="BL13" s="45"/>
      <c r="BM13" s="45"/>
      <c r="BN13" s="45"/>
      <c r="BO13" s="46"/>
    </row>
    <row r="14">
      <c r="A14" s="36">
        <f>IFERROR(__xludf.DUMMYFUNCTION("""COMPUTED_VALUE"""),13.0)</f>
        <v>13</v>
      </c>
      <c r="B14" s="37" t="str">
        <f>IFERROR(__xludf.DUMMYFUNCTION("""COMPUTED_VALUE"""),"ADJIE PANGESTU NURZAINI")</f>
        <v>ADJIE PANGESTU NURZAINI</v>
      </c>
      <c r="C14" s="38">
        <f>IFERROR(__xludf.DUMMYFUNCTION("""COMPUTED_VALUE"""),2.02507061E9)</f>
        <v>2025070610</v>
      </c>
      <c r="D14" s="37" t="str">
        <f>IFERROR(__xludf.DUMMYFUNCTION("""COMPUTED_VALUE"""),"AHKMAD ZAINUDDIN")</f>
        <v>AHKMAD ZAINUDDIN</v>
      </c>
      <c r="E14" s="37" t="str">
        <f>IFERROR(__xludf.DUMMYFUNCTION("""COMPUTED_VALUE"""),"YUNI HARIATI NINGSIH")</f>
        <v>YUNI HARIATI NINGSIH</v>
      </c>
      <c r="F14" s="37" t="str">
        <f>IFERROR(__xludf.DUMMYFUNCTION("""COMPUTED_VALUE"""),"GERMAN RT 002 RW 004 SUGIO LAMONGAN")</f>
        <v>GERMAN RT 002 RW 004 SUGIO LAMONGAN</v>
      </c>
      <c r="G14" s="39" t="str">
        <f>IFERROR(__xludf.DUMMYFUNCTION("""COMPUTED_VALUE"""),"MTS-8 C")</f>
        <v>MTS-8 C</v>
      </c>
      <c r="H14" s="36" t="str">
        <f>IFERROR(__xludf.DUMMYFUNCTION("""COMPUTED_VALUE"""),"A")</f>
        <v>A</v>
      </c>
      <c r="I14" s="40" t="str">
        <f>IFERROR(__xludf.DUMMYFUNCTION("""COMPUTED_VALUE"""),"A-1")</f>
        <v>A-1</v>
      </c>
      <c r="J14" s="40">
        <f>IFERROR(__xludf.DUMMYFUNCTION("""COMPUTED_VALUE"""),2.0)</f>
        <v>2</v>
      </c>
      <c r="K14" s="40" t="str">
        <f>IFERROR(__xludf.DUMMYFUNCTION("""COMPUTED_VALUE"""),"2 ULA A PUTRA")</f>
        <v>2 ULA A PUTRA</v>
      </c>
      <c r="L14" s="41" t="str">
        <f>IFERROR(__xludf.DUMMYFUNCTION("""COMPUTED_VALUE"""),"6282132209162")</f>
        <v>6282132209162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>
        <f>IFERROR(__xludf.DUMMYFUNCTION("""COMPUTED_VALUE"""),450000.0)</f>
        <v>450000</v>
      </c>
      <c r="Z14" s="42">
        <f>IFERROR(__xludf.DUMMYFUNCTION("""COMPUTED_VALUE"""),450000.0)</f>
        <v>450000</v>
      </c>
      <c r="AA14" s="42"/>
      <c r="AB14" s="42"/>
      <c r="AC14" s="42"/>
      <c r="AD14" s="42"/>
      <c r="AE14" s="43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>
        <f>IFERROR(__xludf.DUMMYFUNCTION("""COMPUTED_VALUE"""),500000.0)</f>
        <v>500000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IFERROR(__xludf.DUMMYFUNCTION("""COMPUTED_VALUE"""),900000.0)</f>
        <v>900000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IFERROR(__xludf.DUMMYFUNCTION("""COMPUTED_VALUE"""),1400000.0)</f>
        <v>1400000</v>
      </c>
      <c r="BG14" s="42"/>
      <c r="BH14" s="42"/>
      <c r="BI14" s="42"/>
      <c r="BJ14" s="45"/>
      <c r="BK14" s="45"/>
      <c r="BL14" s="45"/>
      <c r="BM14" s="45"/>
      <c r="BN14" s="45"/>
      <c r="BO14" s="46"/>
    </row>
    <row r="15">
      <c r="A15" s="47">
        <f>IFERROR(__xludf.DUMMYFUNCTION("""COMPUTED_VALUE"""),14.0)</f>
        <v>14</v>
      </c>
      <c r="B15" s="48" t="str">
        <f>IFERROR(__xludf.DUMMYFUNCTION("""COMPUTED_VALUE"""),"AFDHOL MUSYAFA")</f>
        <v>AFDHOL MUSYAFA</v>
      </c>
      <c r="C15" s="49">
        <f>IFERROR(__xludf.DUMMYFUNCTION("""COMPUTED_VALUE"""),2.025070436E9)</f>
        <v>2025070436</v>
      </c>
      <c r="D15" s="48" t="str">
        <f>IFERROR(__xludf.DUMMYFUNCTION("""COMPUTED_VALUE"""),"IRWAN")</f>
        <v>IRWAN</v>
      </c>
      <c r="E15" s="48" t="str">
        <f>IFERROR(__xludf.DUMMYFUNCTION("""COMPUTED_VALUE"""),"MAISAROH")</f>
        <v>MAISAROH</v>
      </c>
      <c r="F15" s="48" t="str">
        <f>IFERROR(__xludf.DUMMYFUNCTION("""COMPUTED_VALUE"""),"JL. KAPAL SELAM LOK TUAN RT 018 RW 000 BONTANG UTARA BONTANG")</f>
        <v>JL. KAPAL SELAM LOK TUAN RT 018 RW 000 BONTANG UTARA BONTANG</v>
      </c>
      <c r="G15" s="50" t="str">
        <f>IFERROR(__xludf.DUMMYFUNCTION("""COMPUTED_VALUE"""),"SMK-XI TKJ 1")</f>
        <v>SMK-XI TKJ 1</v>
      </c>
      <c r="H15" s="47" t="str">
        <f>IFERROR(__xludf.DUMMYFUNCTION("""COMPUTED_VALUE"""),"A")</f>
        <v>A</v>
      </c>
      <c r="I15" s="51" t="str">
        <f>IFERROR(__xludf.DUMMYFUNCTION("""COMPUTED_VALUE"""),"A-9")</f>
        <v>A-9</v>
      </c>
      <c r="J15" s="51">
        <f>IFERROR(__xludf.DUMMYFUNCTION("""COMPUTED_VALUE"""),2.0)</f>
        <v>2</v>
      </c>
      <c r="K15" s="51" t="str">
        <f>IFERROR(__xludf.DUMMYFUNCTION("""COMPUTED_VALUE"""),"2 WUSTHO A PUTRA")</f>
        <v>2 WUSTHO A PUTRA</v>
      </c>
      <c r="L15" s="52" t="str">
        <f>IFERROR(__xludf.DUMMYFUNCTION("""COMPUTED_VALUE"""),"6282240716916")</f>
        <v>6282240716916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IFERROR(__xludf.DUMMYFUNCTION("""COMPUTED_VALUE"""),0.0)</f>
        <v>0</v>
      </c>
      <c r="BE15" s="54">
        <f>IFERROR(__xludf.DUMMYFUNCTION("""COMPUTED_VALUE"""),0.0)</f>
        <v>0</v>
      </c>
      <c r="BF15" s="55">
        <f>IFERROR(__xludf.DUMMYFUNCTION("""COMPUTED_VALUE"""),0.0)</f>
        <v>0</v>
      </c>
      <c r="BG15" s="53"/>
      <c r="BH15" s="53"/>
      <c r="BI15" s="53"/>
      <c r="BJ15" s="45"/>
      <c r="BK15" s="45"/>
      <c r="BL15" s="45"/>
      <c r="BM15" s="45"/>
      <c r="BN15" s="45"/>
      <c r="BO15" s="46"/>
    </row>
    <row r="16">
      <c r="A16" s="36">
        <f>IFERROR(__xludf.DUMMYFUNCTION("""COMPUTED_VALUE"""),15.0)</f>
        <v>15</v>
      </c>
      <c r="B16" s="37" t="str">
        <f>IFERROR(__xludf.DUMMYFUNCTION("""COMPUTED_VALUE"""),"AHMAD AUFAR SHOLAHAN HIRZI")</f>
        <v>AHMAD AUFAR SHOLAHAN HIRZI</v>
      </c>
      <c r="C16" s="38">
        <f>IFERROR(__xludf.DUMMYFUNCTION("""COMPUTED_VALUE"""),2.025070632E9)</f>
        <v>2025070632</v>
      </c>
      <c r="D16" s="37" t="str">
        <f>IFERROR(__xludf.DUMMYFUNCTION("""COMPUTED_VALUE"""),"MOHAMAD NURUL IHSAN")</f>
        <v>MOHAMAD NURUL IHSAN</v>
      </c>
      <c r="E16" s="37" t="str">
        <f>IFERROR(__xludf.DUMMYFUNCTION("""COMPUTED_VALUE"""),"SHOFIYATUN")</f>
        <v>SHOFIYATUN</v>
      </c>
      <c r="F16" s="37" t="str">
        <f>IFERROR(__xludf.DUMMYFUNCTION("""COMPUTED_VALUE"""),"PUCANGRO RT 004 RW 001 KALITENGAH LAMONGAN")</f>
        <v>PUCANGRO RT 004 RW 001 KALITENGAH LAMONGAN</v>
      </c>
      <c r="G16" s="39" t="str">
        <f>IFERROR(__xludf.DUMMYFUNCTION("""COMPUTED_VALUE"""),"MTS-8 C")</f>
        <v>MTS-8 C</v>
      </c>
      <c r="H16" s="36" t="str">
        <f>IFERROR(__xludf.DUMMYFUNCTION("""COMPUTED_VALUE"""),"A")</f>
        <v>A</v>
      </c>
      <c r="I16" s="40" t="str">
        <f>IFERROR(__xludf.DUMMYFUNCTION("""COMPUTED_VALUE"""),"A-3")</f>
        <v>A-3</v>
      </c>
      <c r="J16" s="40">
        <f>IFERROR(__xludf.DUMMYFUNCTION("""COMPUTED_VALUE"""),2.0)</f>
        <v>2</v>
      </c>
      <c r="K16" s="40" t="str">
        <f>IFERROR(__xludf.DUMMYFUNCTION("""COMPUTED_VALUE"""),"2 ULA A PUTRA")</f>
        <v>2 ULA A PUTRA</v>
      </c>
      <c r="L16" s="41" t="str">
        <f>IFERROR(__xludf.DUMMYFUNCTION("""COMPUTED_VALUE"""),"6285707398701")</f>
        <v>6285707398701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B16" s="43">
        <f>IFERROR(__xludf.DUMMYFUNCTION("""COMPUTED_VALUE"""),500000.0)</f>
        <v>500000</v>
      </c>
      <c r="AC16" s="42"/>
      <c r="AD16" s="43"/>
      <c r="AE16" s="43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>
        <f>IFERROR(__xludf.DUMMYFUNCTION("""COMPUTED_VALUE"""),500000.0)</f>
        <v>500000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IFERROR(__xludf.DUMMYFUNCTION("""COMPUTED_VALUE"""),0.0)</f>
        <v>0</v>
      </c>
      <c r="BD16" s="43">
        <f>IFERROR(__xludf.DUMMYFUNCTION("""COMPUTED_VALUE"""),1000000.0)</f>
        <v>1000000</v>
      </c>
      <c r="BE16" s="43">
        <f>IFERROR(__xludf.DUMMYFUNCTION("""COMPUTED_VALUE"""),0.0)</f>
        <v>0</v>
      </c>
      <c r="BF16" s="44">
        <f>IFERROR(__xludf.DUMMYFUNCTION("""COMPUTED_VALUE"""),1000000.0)</f>
        <v>1000000</v>
      </c>
      <c r="BG16" s="42"/>
      <c r="BH16" s="42"/>
      <c r="BI16" s="42"/>
      <c r="BJ16" s="45"/>
      <c r="BK16" s="45"/>
      <c r="BL16" s="45"/>
      <c r="BM16" s="45"/>
      <c r="BN16" s="45"/>
      <c r="BO16" s="46"/>
    </row>
    <row r="17">
      <c r="A17" s="47">
        <f>IFERROR(__xludf.DUMMYFUNCTION("""COMPUTED_VALUE"""),16.0)</f>
        <v>16</v>
      </c>
      <c r="B17" s="48" t="str">
        <f>IFERROR(__xludf.DUMMYFUNCTION("""COMPUTED_VALUE"""),"AHMAD AVICENNA AHZA")</f>
        <v>AHMAD AVICENNA AHZA</v>
      </c>
      <c r="C17" s="49">
        <f>IFERROR(__xludf.DUMMYFUNCTION("""COMPUTED_VALUE"""),2.025070625E9)</f>
        <v>2025070625</v>
      </c>
      <c r="D17" s="48" t="str">
        <f>IFERROR(__xludf.DUMMYFUNCTION("""COMPUTED_VALUE"""),"ILHAM")</f>
        <v>ILHAM</v>
      </c>
      <c r="E17" s="48" t="str">
        <f>IFERROR(__xludf.DUMMYFUNCTION("""COMPUTED_VALUE"""),"ARKANI")</f>
        <v>ARKANI</v>
      </c>
      <c r="F17" s="48" t="str">
        <f>IFERROR(__xludf.DUMMYFUNCTION("""COMPUTED_VALUE"""),"PADENGANPLOSO RT 005 RW 001 PUCUK LAMONGAN")</f>
        <v>PADENGANPLOSO RT 005 RW 001 PUCUK LAMONGAN</v>
      </c>
      <c r="G17" s="50" t="str">
        <f>IFERROR(__xludf.DUMMYFUNCTION("""COMPUTED_VALUE"""),"MTS-8 E")</f>
        <v>MTS-8 E</v>
      </c>
      <c r="H17" s="47" t="str">
        <f>IFERROR(__xludf.DUMMYFUNCTION("""COMPUTED_VALUE"""),"A")</f>
        <v>A</v>
      </c>
      <c r="I17" s="51" t="str">
        <f>IFERROR(__xludf.DUMMYFUNCTION("""COMPUTED_VALUE"""),"A-3")</f>
        <v>A-3</v>
      </c>
      <c r="J17" s="51">
        <f>IFERROR(__xludf.DUMMYFUNCTION("""COMPUTED_VALUE"""),2.0)</f>
        <v>2</v>
      </c>
      <c r="K17" s="51" t="str">
        <f>IFERROR(__xludf.DUMMYFUNCTION("""COMPUTED_VALUE"""),"2 ULA A PUTRA")</f>
        <v>2 ULA A PUTRA</v>
      </c>
      <c r="L17" s="52" t="str">
        <f>IFERROR(__xludf.DUMMYFUNCTION("""COMPUTED_VALUE"""),"6285231952815")</f>
        <v>6285231952815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>
        <f>IFERROR(__xludf.DUMMYFUNCTION("""COMPUTED_VALUE"""),500000.0)</f>
        <v>500000</v>
      </c>
      <c r="AC17" s="53"/>
      <c r="AD17" s="54"/>
      <c r="AE17" s="54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>
        <f>IFERROR(__xludf.DUMMYFUNCTION("""COMPUTED_VALUE"""),500000.0)</f>
        <v>500000</v>
      </c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IFERROR(__xludf.DUMMYFUNCTION("""COMPUTED_VALUE"""),1000000.0)</f>
        <v>1000000</v>
      </c>
      <c r="BE17" s="54">
        <f>IFERROR(__xludf.DUMMYFUNCTION("""COMPUTED_VALUE"""),0.0)</f>
        <v>0</v>
      </c>
      <c r="BF17" s="55">
        <f>IFERROR(__xludf.DUMMYFUNCTION("""COMPUTED_VALUE"""),1000000.0)</f>
        <v>1000000</v>
      </c>
      <c r="BG17" s="53"/>
      <c r="BH17" s="53"/>
      <c r="BI17" s="53"/>
      <c r="BJ17" s="45"/>
      <c r="BK17" s="45"/>
      <c r="BL17" s="45"/>
      <c r="BM17" s="45"/>
      <c r="BN17" s="45"/>
      <c r="BO17" s="46"/>
    </row>
    <row r="18">
      <c r="A18" s="36">
        <f>IFERROR(__xludf.DUMMYFUNCTION("""COMPUTED_VALUE"""),17.0)</f>
        <v>17</v>
      </c>
      <c r="B18" s="37" t="str">
        <f>IFERROR(__xludf.DUMMYFUNCTION("""COMPUTED_VALUE"""),"AHMAD AZMUL ARIF")</f>
        <v>AHMAD AZMUL ARIF</v>
      </c>
      <c r="C18" s="38">
        <f>IFERROR(__xludf.DUMMYFUNCTION("""COMPUTED_VALUE"""),2.025070136E9)</f>
        <v>2025070136</v>
      </c>
      <c r="D18" s="37" t="str">
        <f>IFERROR(__xludf.DUMMYFUNCTION("""COMPUTED_VALUE"""),"HUSNUN NADLIF")</f>
        <v>HUSNUN NADLIF</v>
      </c>
      <c r="E18" s="37" t="str">
        <f>IFERROR(__xludf.DUMMYFUNCTION("""COMPUTED_VALUE"""),"KHOLIDATUL MA`RIFAH")</f>
        <v>KHOLIDATUL MA`RIFAH</v>
      </c>
      <c r="F18" s="37" t="str">
        <f>IFERROR(__xludf.DUMMYFUNCTION("""COMPUTED_VALUE"""),"BANGERAN GENENG BANGERAN RT 005 RW 003 DUKUN GRESIK")</f>
        <v>BANGERAN GENENG BANGERAN RT 005 RW 003 DUKUN GRESIK</v>
      </c>
      <c r="G18" s="39" t="str">
        <f>IFERROR(__xludf.DUMMYFUNCTION("""COMPUTED_VALUE"""),"MA-XI.13")</f>
        <v>MA-XI.13</v>
      </c>
      <c r="H18" s="36" t="str">
        <f>IFERROR(__xludf.DUMMYFUNCTION("""COMPUTED_VALUE"""),"A")</f>
        <v>A</v>
      </c>
      <c r="I18" s="40" t="str">
        <f>IFERROR(__xludf.DUMMYFUNCTION("""COMPUTED_VALUE"""),"A-4")</f>
        <v>A-4</v>
      </c>
      <c r="J18" s="40">
        <f>IFERROR(__xludf.DUMMYFUNCTION("""COMPUTED_VALUE"""),2.0)</f>
        <v>2</v>
      </c>
      <c r="K18" s="40" t="str">
        <f>IFERROR(__xludf.DUMMYFUNCTION("""COMPUTED_VALUE"""),"2 WUSTHO A PUTRA")</f>
        <v>2 WUSTHO A PUTRA</v>
      </c>
      <c r="L18" s="41" t="str">
        <f>IFERROR(__xludf.DUMMYFUNCTION("""COMPUTED_VALUE"""),"6287862214524")</f>
        <v>6287862214524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>
        <f>IFERROR(__xludf.DUMMYFUNCTION("""COMPUTED_VALUE"""),500000.0)</f>
        <v>500000</v>
      </c>
      <c r="AC18" s="42"/>
      <c r="AD18" s="43"/>
      <c r="AE18" s="43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>
        <f>IFERROR(__xludf.DUMMYFUNCTION("""COMPUTED_VALUE"""),500000.0)</f>
        <v>500000</v>
      </c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IFERROR(__xludf.DUMMYFUNCTION("""COMPUTED_VALUE"""),1000000.0)</f>
        <v>1000000</v>
      </c>
      <c r="BE18" s="43">
        <f>IFERROR(__xludf.DUMMYFUNCTION("""COMPUTED_VALUE"""),0.0)</f>
        <v>0</v>
      </c>
      <c r="BF18" s="44">
        <f>IFERROR(__xludf.DUMMYFUNCTION("""COMPUTED_VALUE"""),1000000.0)</f>
        <v>1000000</v>
      </c>
      <c r="BG18" s="42"/>
      <c r="BH18" s="42"/>
      <c r="BI18" s="42"/>
      <c r="BJ18" s="45"/>
      <c r="BK18" s="45"/>
      <c r="BL18" s="45"/>
      <c r="BM18" s="45"/>
      <c r="BN18" s="45"/>
      <c r="BO18" s="46"/>
    </row>
    <row r="19">
      <c r="A19" s="47">
        <f>IFERROR(__xludf.DUMMYFUNCTION("""COMPUTED_VALUE"""),18.0)</f>
        <v>18</v>
      </c>
      <c r="B19" s="48" t="str">
        <f>IFERROR(__xludf.DUMMYFUNCTION("""COMPUTED_VALUE"""),"AHMAD BAHTIAR AL BUSTHOMY")</f>
        <v>AHMAD BAHTIAR AL BUSTHOMY</v>
      </c>
      <c r="C19" s="49">
        <f>IFERROR(__xludf.DUMMYFUNCTION("""COMPUTED_VALUE"""),2.025070592E9)</f>
        <v>2025070592</v>
      </c>
      <c r="D19" s="48" t="str">
        <f>IFERROR(__xludf.DUMMYFUNCTION("""COMPUTED_VALUE"""),"MOCH.IWAN PRIBADI")</f>
        <v>MOCH.IWAN PRIBADI</v>
      </c>
      <c r="E19" s="48" t="str">
        <f>IFERROR(__xludf.DUMMYFUNCTION("""COMPUTED_VALUE"""),"NURUS SAIDATUL FUADAH")</f>
        <v>NURUS SAIDATUL FUADAH</v>
      </c>
      <c r="F19" s="48" t="str">
        <f>IFERROR(__xludf.DUMMYFUNCTION("""COMPUTED_VALUE"""),"BALONGPANGGANG RT 004 RW 002 BALONGPANGGANG GRESIK")</f>
        <v>BALONGPANGGANG RT 004 RW 002 BALONGPANGGANG GRESIK</v>
      </c>
      <c r="G19" s="50" t="str">
        <f>IFERROR(__xludf.DUMMYFUNCTION("""COMPUTED_VALUE"""),"MTS-8 B")</f>
        <v>MTS-8 B</v>
      </c>
      <c r="H19" s="47" t="str">
        <f>IFERROR(__xludf.DUMMYFUNCTION("""COMPUTED_VALUE"""),"A")</f>
        <v>A</v>
      </c>
      <c r="I19" s="51" t="str">
        <f>IFERROR(__xludf.DUMMYFUNCTION("""COMPUTED_VALUE"""),"A-1")</f>
        <v>A-1</v>
      </c>
      <c r="J19" s="51">
        <f>IFERROR(__xludf.DUMMYFUNCTION("""COMPUTED_VALUE"""),2.0)</f>
        <v>2</v>
      </c>
      <c r="K19" s="51" t="str">
        <f>IFERROR(__xludf.DUMMYFUNCTION("""COMPUTED_VALUE"""),"2 ULA A PUTRA")</f>
        <v>2 ULA A PUTRA</v>
      </c>
      <c r="L19" s="52" t="str">
        <f>IFERROR(__xludf.DUMMYFUNCTION("""COMPUTED_VALUE"""),"6282231132034")</f>
        <v>6282231132034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IFERROR(__xludf.DUMMYFUNCTION("""COMPUTED_VALUE"""),0.0)</f>
        <v>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IFERROR(__xludf.DUMMYFUNCTION("""COMPUTED_VALUE"""),0.0)</f>
        <v>0</v>
      </c>
      <c r="BG19" s="53"/>
      <c r="BH19" s="53"/>
      <c r="BI19" s="53"/>
      <c r="BJ19" s="45"/>
      <c r="BK19" s="45"/>
      <c r="BL19" s="45"/>
      <c r="BM19" s="45"/>
      <c r="BN19" s="45"/>
      <c r="BO19" s="46"/>
    </row>
    <row r="20">
      <c r="A20" s="36">
        <f>IFERROR(__xludf.DUMMYFUNCTION("""COMPUTED_VALUE"""),19.0)</f>
        <v>19</v>
      </c>
      <c r="B20" s="37" t="str">
        <f>IFERROR(__xludf.DUMMYFUNCTION("""COMPUTED_VALUE"""),"AHMAD DANIEL IHSAN ADHITAMA")</f>
        <v>AHMAD DANIEL IHSAN ADHITAMA</v>
      </c>
      <c r="C20" s="38">
        <f>IFERROR(__xludf.DUMMYFUNCTION("""COMPUTED_VALUE"""),2.025070607E9)</f>
        <v>2025070607</v>
      </c>
      <c r="D20" s="37" t="str">
        <f>IFERROR(__xludf.DUMMYFUNCTION("""COMPUTED_VALUE"""),"MOH. IRSAN")</f>
        <v>MOH. IRSAN</v>
      </c>
      <c r="E20" s="37" t="str">
        <f>IFERROR(__xludf.DUMMYFUNCTION("""COMPUTED_VALUE"""),"MUNJAROTUN")</f>
        <v>MUNJAROTUN</v>
      </c>
      <c r="F20" s="37" t="str">
        <f>IFERROR(__xludf.DUMMYFUNCTION("""COMPUTED_VALUE"""),"KULURAN RT 004 RW 004 KALITENGAH LAMONGAN")</f>
        <v>KULURAN RT 004 RW 004 KALITENGAH LAMONGAN</v>
      </c>
      <c r="G20" s="39" t="str">
        <f>IFERROR(__xludf.DUMMYFUNCTION("""COMPUTED_VALUE"""),"MTS-8 G")</f>
        <v>MTS-8 G</v>
      </c>
      <c r="H20" s="36" t="str">
        <f>IFERROR(__xludf.DUMMYFUNCTION("""COMPUTED_VALUE"""),"A")</f>
        <v>A</v>
      </c>
      <c r="I20" s="40" t="str">
        <f>IFERROR(__xludf.DUMMYFUNCTION("""COMPUTED_VALUE"""),"A-1")</f>
        <v>A-1</v>
      </c>
      <c r="J20" s="40">
        <f>IFERROR(__xludf.DUMMYFUNCTION("""COMPUTED_VALUE"""),2.0)</f>
        <v>2</v>
      </c>
      <c r="K20" s="40" t="str">
        <f>IFERROR(__xludf.DUMMYFUNCTION("""COMPUTED_VALUE"""),"2 ULA A PUTRA")</f>
        <v>2 ULA A PUTRA</v>
      </c>
      <c r="L20" s="41" t="str">
        <f>IFERROR(__xludf.DUMMYFUNCTION("""COMPUTED_VALUE"""),"6285791936623")</f>
        <v>6285791936623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>
        <f>IFERROR(__xludf.DUMMYFUNCTION("""COMPUTED_VALUE"""),450000.0)</f>
        <v>450000</v>
      </c>
      <c r="AA20" s="42"/>
      <c r="AB20" s="42">
        <f>IFERROR(__xludf.DUMMYFUNCTION("""COMPUTED_VALUE"""),500000.0)</f>
        <v>500000</v>
      </c>
      <c r="AC20" s="42"/>
      <c r="AD20" s="42"/>
      <c r="AE20" s="43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>
        <f>IFERROR(__xludf.DUMMYFUNCTION("""COMPUTED_VALUE"""),500000.0)</f>
        <v>500000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IFERROR(__xludf.DUMMYFUNCTION("""COMPUTED_VALUE"""),450000.0)</f>
        <v>450000</v>
      </c>
      <c r="BD20" s="43">
        <f>IFERROR(__xludf.DUMMYFUNCTION("""COMPUTED_VALUE"""),1000000.0)</f>
        <v>1000000</v>
      </c>
      <c r="BE20" s="43">
        <f>IFERROR(__xludf.DUMMYFUNCTION("""COMPUTED_VALUE"""),0.0)</f>
        <v>0</v>
      </c>
      <c r="BF20" s="44">
        <f>IFERROR(__xludf.DUMMYFUNCTION("""COMPUTED_VALUE"""),1450000.0)</f>
        <v>1450000</v>
      </c>
      <c r="BG20" s="42"/>
      <c r="BH20" s="42"/>
      <c r="BI20" s="42"/>
      <c r="BJ20" s="45"/>
      <c r="BK20" s="45"/>
      <c r="BL20" s="45"/>
      <c r="BM20" s="45"/>
      <c r="BN20" s="45"/>
      <c r="BO20" s="46"/>
    </row>
    <row r="21">
      <c r="A21" s="47">
        <f>IFERROR(__xludf.DUMMYFUNCTION("""COMPUTED_VALUE"""),20.0)</f>
        <v>20</v>
      </c>
      <c r="B21" s="48" t="str">
        <f>IFERROR(__xludf.DUMMYFUNCTION("""COMPUTED_VALUE"""),"AHMAD DANISH SYAHPUTRA")</f>
        <v>AHMAD DANISH SYAHPUTRA</v>
      </c>
      <c r="C21" s="49">
        <f>IFERROR(__xludf.DUMMYFUNCTION("""COMPUTED_VALUE"""),2.025070602E9)</f>
        <v>2025070602</v>
      </c>
      <c r="D21" s="48" t="str">
        <f>IFERROR(__xludf.DUMMYFUNCTION("""COMPUTED_VALUE"""),"ESNANTO HADI SAPUTRO")</f>
        <v>ESNANTO HADI SAPUTRO</v>
      </c>
      <c r="E21" s="48" t="str">
        <f>IFERROR(__xludf.DUMMYFUNCTION("""COMPUTED_VALUE"""),"ZUNI ANISAH")</f>
        <v>ZUNI ANISAH</v>
      </c>
      <c r="F21" s="48" t="str">
        <f>IFERROR(__xludf.DUMMYFUNCTION("""COMPUTED_VALUE"""),"GEGER RT 003 RW 003 TURI LAMONGAN")</f>
        <v>GEGER RT 003 RW 003 TURI LAMONGAN</v>
      </c>
      <c r="G21" s="50" t="str">
        <f>IFERROR(__xludf.DUMMYFUNCTION("""COMPUTED_VALUE"""),"MTS-8 C")</f>
        <v>MTS-8 C</v>
      </c>
      <c r="H21" s="47" t="str">
        <f>IFERROR(__xludf.DUMMYFUNCTION("""COMPUTED_VALUE"""),"A")</f>
        <v>A</v>
      </c>
      <c r="I21" s="51" t="str">
        <f>IFERROR(__xludf.DUMMYFUNCTION("""COMPUTED_VALUE"""),"A-1")</f>
        <v>A-1</v>
      </c>
      <c r="J21" s="51">
        <f>IFERROR(__xludf.DUMMYFUNCTION("""COMPUTED_VALUE"""),2.0)</f>
        <v>2</v>
      </c>
      <c r="K21" s="51" t="str">
        <f>IFERROR(__xludf.DUMMYFUNCTION("""COMPUTED_VALUE"""),"2 ULA A PUTRA")</f>
        <v>2 ULA A PUTRA</v>
      </c>
      <c r="L21" s="52" t="str">
        <f>IFERROR(__xludf.DUMMYFUNCTION("""COMPUTED_VALUE"""),"6285648764381")</f>
        <v>6285648764381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>
        <f>IFERROR(__xludf.DUMMYFUNCTION("""COMPUTED_VALUE"""),500000.0)</f>
        <v>500000</v>
      </c>
      <c r="AC21" s="53"/>
      <c r="AD21" s="53"/>
      <c r="AE21" s="54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>
        <f>IFERROR(__xludf.DUMMYFUNCTION("""COMPUTED_VALUE"""),500000.0)</f>
        <v>500000</v>
      </c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IFERROR(__xludf.DUMMYFUNCTION("""COMPUTED_VALUE"""),1000000.0)</f>
        <v>1000000</v>
      </c>
      <c r="BE21" s="54">
        <f>IFERROR(__xludf.DUMMYFUNCTION("""COMPUTED_VALUE"""),0.0)</f>
        <v>0</v>
      </c>
      <c r="BF21" s="55">
        <f>IFERROR(__xludf.DUMMYFUNCTION("""COMPUTED_VALUE"""),1000000.0)</f>
        <v>1000000</v>
      </c>
      <c r="BG21" s="53"/>
      <c r="BH21" s="53"/>
      <c r="BI21" s="53"/>
      <c r="BJ21" s="45"/>
      <c r="BK21" s="45"/>
      <c r="BL21" s="45"/>
      <c r="BM21" s="45"/>
      <c r="BN21" s="45"/>
      <c r="BO21" s="46"/>
    </row>
    <row r="22">
      <c r="A22" s="36">
        <f>IFERROR(__xludf.DUMMYFUNCTION("""COMPUTED_VALUE"""),21.0)</f>
        <v>21</v>
      </c>
      <c r="B22" s="37" t="str">
        <f>IFERROR(__xludf.DUMMYFUNCTION("""COMPUTED_VALUE"""),"AHMAD FAIZIN")</f>
        <v>AHMAD FAIZIN</v>
      </c>
      <c r="C22" s="38">
        <f>IFERROR(__xludf.DUMMYFUNCTION("""COMPUTED_VALUE"""),2.025070492E9)</f>
        <v>2025070492</v>
      </c>
      <c r="D22" s="37" t="str">
        <f>IFERROR(__xludf.DUMMYFUNCTION("""COMPUTED_VALUE"""),"SUKAMTO")</f>
        <v>SUKAMTO</v>
      </c>
      <c r="E22" s="37" t="str">
        <f>IFERROR(__xludf.DUMMYFUNCTION("""COMPUTED_VALUE"""),"SITI ROMLAH")</f>
        <v>SITI ROMLAH</v>
      </c>
      <c r="F22" s="37" t="str">
        <f>IFERROR(__xludf.DUMMYFUNCTION("""COMPUTED_VALUE"""),"PELUK PENDOWOLIMO RT 001 RW 003 KARANGBINANGUN LAMONGAN")</f>
        <v>PELUK PENDOWOLIMO RT 001 RW 003 KARANGBINANGUN LAMONGAN</v>
      </c>
      <c r="G22" s="39" t="str">
        <f>IFERROR(__xludf.DUMMYFUNCTION("""COMPUTED_VALUE"""),"MTS-8 A")</f>
        <v>MTS-8 A</v>
      </c>
      <c r="H22" s="36" t="str">
        <f>IFERROR(__xludf.DUMMYFUNCTION("""COMPUTED_VALUE"""),"A")</f>
        <v>A</v>
      </c>
      <c r="I22" s="40" t="str">
        <f>IFERROR(__xludf.DUMMYFUNCTION("""COMPUTED_VALUE"""),"A-13")</f>
        <v>A-13</v>
      </c>
      <c r="J22" s="40">
        <f>IFERROR(__xludf.DUMMYFUNCTION("""COMPUTED_VALUE"""),2.0)</f>
        <v>2</v>
      </c>
      <c r="K22" s="40" t="str">
        <f>IFERROR(__xludf.DUMMYFUNCTION("""COMPUTED_VALUE"""),"2 ULA A PUTRA")</f>
        <v>2 ULA A PUTRA</v>
      </c>
      <c r="L22" s="41" t="str">
        <f>IFERROR(__xludf.DUMMYFUNCTION("""COMPUTED_VALUE"""),"6285730840655")</f>
        <v>6285730840655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>
        <f>IFERROR(__xludf.DUMMYFUNCTION("""COMPUTED_VALUE"""),450000.0)</f>
        <v>450000</v>
      </c>
      <c r="Z22" s="42">
        <f>IFERROR(__xludf.DUMMYFUNCTION("""COMPUTED_VALUE"""),450000.0)</f>
        <v>450000</v>
      </c>
      <c r="AA22" s="42"/>
      <c r="AB22" s="42">
        <f>IFERROR(__xludf.DUMMYFUNCTION("""COMPUTED_VALUE"""),500000.0)</f>
        <v>500000</v>
      </c>
      <c r="AC22" s="42"/>
      <c r="AD22" s="42"/>
      <c r="AE22" s="43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>
        <f>IFERROR(__xludf.DUMMYFUNCTION("""COMPUTED_VALUE"""),500000.0)</f>
        <v>500000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IFERROR(__xludf.DUMMYFUNCTION("""COMPUTED_VALUE"""),900000.0)</f>
        <v>900000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IFERROR(__xludf.DUMMYFUNCTION("""COMPUTED_VALUE"""),1900000.0)</f>
        <v>1900000</v>
      </c>
      <c r="BG22" s="42"/>
      <c r="BH22" s="42"/>
      <c r="BI22" s="42"/>
      <c r="BJ22" s="45"/>
      <c r="BK22" s="45"/>
      <c r="BL22" s="45"/>
      <c r="BM22" s="45"/>
      <c r="BN22" s="45"/>
      <c r="BO22" s="46"/>
    </row>
    <row r="23">
      <c r="A23" s="47">
        <f>IFERROR(__xludf.DUMMYFUNCTION("""COMPUTED_VALUE"""),22.0)</f>
        <v>22</v>
      </c>
      <c r="B23" s="48" t="str">
        <f>IFERROR(__xludf.DUMMYFUNCTION("""COMPUTED_VALUE"""),"AHMAD FAKHRI AFIF")</f>
        <v>AHMAD FAKHRI AFIF</v>
      </c>
      <c r="C23" s="49">
        <f>IFERROR(__xludf.DUMMYFUNCTION("""COMPUTED_VALUE"""),2.025070393E9)</f>
        <v>2025070393</v>
      </c>
      <c r="D23" s="48" t="str">
        <f>IFERROR(__xludf.DUMMYFUNCTION("""COMPUTED_VALUE"""),"SUPENDI")</f>
        <v>SUPENDI</v>
      </c>
      <c r="E23" s="48" t="str">
        <f>IFERROR(__xludf.DUMMYFUNCTION("""COMPUTED_VALUE"""),"DWI ALFIAH LUTFIANINGSIH")</f>
        <v>DWI ALFIAH LUTFIANINGSIH</v>
      </c>
      <c r="F23" s="48" t="str">
        <f>IFERROR(__xludf.DUMMYFUNCTION("""COMPUTED_VALUE"""),"BLOK C SUKA DAMAI RT 006 RW 002 MADANG SUKU III OKU TIMUR")</f>
        <v>BLOK C SUKA DAMAI RT 006 RW 002 MADANG SUKU III OKU TIMUR</v>
      </c>
      <c r="G23" s="50" t="str">
        <f>IFERROR(__xludf.DUMMYFUNCTION("""COMPUTED_VALUE"""),"MA-XI.10")</f>
        <v>MA-XI.10</v>
      </c>
      <c r="H23" s="47" t="str">
        <f>IFERROR(__xludf.DUMMYFUNCTION("""COMPUTED_VALUE"""),"A")</f>
        <v>A</v>
      </c>
      <c r="I23" s="51" t="str">
        <f>IFERROR(__xludf.DUMMYFUNCTION("""COMPUTED_VALUE"""),"A-4")</f>
        <v>A-4</v>
      </c>
      <c r="J23" s="51">
        <f>IFERROR(__xludf.DUMMYFUNCTION("""COMPUTED_VALUE"""),2.0)</f>
        <v>2</v>
      </c>
      <c r="K23" s="51" t="str">
        <f>IFERROR(__xludf.DUMMYFUNCTION("""COMPUTED_VALUE"""),"2 WUSTHO A PUTRA")</f>
        <v>2 WUSTHO A PUTRA</v>
      </c>
      <c r="L23" s="52" t="str">
        <f>IFERROR(__xludf.DUMMYFUNCTION("""COMPUTED_VALUE"""),"6285664844095")</f>
        <v>6285664844095</v>
      </c>
      <c r="M23" s="53"/>
      <c r="N23" s="53"/>
      <c r="O23" s="53"/>
      <c r="P23" s="53"/>
      <c r="Q23" s="53"/>
      <c r="R23" s="53"/>
      <c r="S23" s="53"/>
      <c r="T23" s="53">
        <f>IFERROR(__xludf.DUMMYFUNCTION("""COMPUTED_VALUE"""),450000.0)</f>
        <v>450000</v>
      </c>
      <c r="U23" s="53">
        <f>IFERROR(__xludf.DUMMYFUNCTION("""COMPUTED_VALUE"""),450000.0)</f>
        <v>450000</v>
      </c>
      <c r="V23" s="53">
        <f>IFERROR(__xludf.DUMMYFUNCTION("""COMPUTED_VALUE"""),450000.0)</f>
        <v>450000</v>
      </c>
      <c r="W23" s="53">
        <f>IFERROR(__xludf.DUMMYFUNCTION("""COMPUTED_VALUE"""),450000.0)</f>
        <v>450000</v>
      </c>
      <c r="X23" s="53">
        <f>IFERROR(__xludf.DUMMYFUNCTION("""COMPUTED_VALUE"""),450000.0)</f>
        <v>450000</v>
      </c>
      <c r="Y23" s="53">
        <f>IFERROR(__xludf.DUMMYFUNCTION("""COMPUTED_VALUE"""),450000.0)</f>
        <v>450000</v>
      </c>
      <c r="Z23" s="53">
        <f>IFERROR(__xludf.DUMMYFUNCTION("""COMPUTED_VALUE"""),450000.0)</f>
        <v>450000</v>
      </c>
      <c r="AA23" s="53"/>
      <c r="AB23" s="54">
        <f>IFERROR(__xludf.DUMMYFUNCTION("""COMPUTED_VALUE"""),500000.0)</f>
        <v>500000</v>
      </c>
      <c r="AC23" s="53"/>
      <c r="AD23" s="53"/>
      <c r="AE23" s="54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>
        <f>IFERROR(__xludf.DUMMYFUNCTION("""COMPUTED_VALUE"""),500000.0)</f>
        <v>500000</v>
      </c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IFERROR(__xludf.DUMMYFUNCTION("""COMPUTED_VALUE"""),3150000.0)</f>
        <v>3150000</v>
      </c>
      <c r="BD23" s="54">
        <f>IFERROR(__xludf.DUMMYFUNCTION("""COMPUTED_VALUE"""),1000000.0)</f>
        <v>1000000</v>
      </c>
      <c r="BE23" s="54">
        <f>IFERROR(__xludf.DUMMYFUNCTION("""COMPUTED_VALUE"""),0.0)</f>
        <v>0</v>
      </c>
      <c r="BF23" s="55">
        <f>IFERROR(__xludf.DUMMYFUNCTION("""COMPUTED_VALUE"""),4150000.0)</f>
        <v>4150000</v>
      </c>
      <c r="BG23" s="53"/>
      <c r="BH23" s="53"/>
      <c r="BI23" s="53"/>
      <c r="BJ23" s="45"/>
      <c r="BK23" s="45"/>
      <c r="BL23" s="45"/>
      <c r="BM23" s="45"/>
      <c r="BN23" s="45"/>
      <c r="BO23" s="46"/>
    </row>
    <row r="24">
      <c r="A24" s="36">
        <f>IFERROR(__xludf.DUMMYFUNCTION("""COMPUTED_VALUE"""),23.0)</f>
        <v>23</v>
      </c>
      <c r="B24" s="37" t="str">
        <f>IFERROR(__xludf.DUMMYFUNCTION("""COMPUTED_VALUE"""),"AHMAD FATIH HASAN AL-FARROS")</f>
        <v>AHMAD FATIH HASAN AL-FARROS</v>
      </c>
      <c r="C24" s="38">
        <f>IFERROR(__xludf.DUMMYFUNCTION("""COMPUTED_VALUE"""),2.025070375E9)</f>
        <v>2025070375</v>
      </c>
      <c r="D24" s="37" t="str">
        <f>IFERROR(__xludf.DUMMYFUNCTION("""COMPUTED_VALUE"""),"ARIS TRYONO")</f>
        <v>ARIS TRYONO</v>
      </c>
      <c r="E24" s="37" t="str">
        <f>IFERROR(__xludf.DUMMYFUNCTION("""COMPUTED_VALUE"""),"SYARIFATUL FARIDAH")</f>
        <v>SYARIFATUL FARIDAH</v>
      </c>
      <c r="F24" s="37" t="str">
        <f>IFERROR(__xludf.DUMMYFUNCTION("""COMPUTED_VALUE"""),"BLAWI RT 002 RW 004 KARANGBINANGUN LAMONGAN")</f>
        <v>BLAWI RT 002 RW 004 KARANGBINANGUN LAMONGAN</v>
      </c>
      <c r="G24" s="39" t="str">
        <f>IFERROR(__xludf.DUMMYFUNCTION("""COMPUTED_VALUE"""),"MA-XI.10")</f>
        <v>MA-XI.10</v>
      </c>
      <c r="H24" s="36" t="str">
        <f>IFERROR(__xludf.DUMMYFUNCTION("""COMPUTED_VALUE"""),"A")</f>
        <v>A</v>
      </c>
      <c r="I24" s="42" t="str">
        <f>IFERROR(__xludf.DUMMYFUNCTION("""COMPUTED_VALUE"""),"A-4")</f>
        <v>A-4</v>
      </c>
      <c r="J24" s="40">
        <f>IFERROR(__xludf.DUMMYFUNCTION("""COMPUTED_VALUE"""),2.0)</f>
        <v>2</v>
      </c>
      <c r="K24" s="40" t="str">
        <f>IFERROR(__xludf.DUMMYFUNCTION("""COMPUTED_VALUE"""),"2 WUSTHO A PUTRA")</f>
        <v>2 WUSTHO A PUTRA</v>
      </c>
      <c r="L24" s="41" t="str">
        <f>IFERROR(__xludf.DUMMYFUNCTION("""COMPUTED_VALUE"""),"6281234406503")</f>
        <v>6281234406503</v>
      </c>
      <c r="M24" s="42"/>
      <c r="N24" s="42"/>
      <c r="O24" s="42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IFERROR(__xludf.DUMMYFUNCTION("""COMPUTED_VALUE"""),0.0)</f>
        <v>0</v>
      </c>
      <c r="BE24" s="43">
        <f>IFERROR(__xludf.DUMMYFUNCTION("""COMPUTED_VALUE"""),0.0)</f>
        <v>0</v>
      </c>
      <c r="BF24" s="44">
        <f>IFERROR(__xludf.DUMMYFUNCTION("""COMPUTED_VALUE"""),0.0)</f>
        <v>0</v>
      </c>
      <c r="BG24" s="42"/>
      <c r="BH24" s="42"/>
      <c r="BI24" s="42"/>
      <c r="BJ24" s="45"/>
      <c r="BK24" s="45"/>
      <c r="BL24" s="45"/>
      <c r="BM24" s="45"/>
      <c r="BN24" s="45"/>
      <c r="BO24" s="46"/>
    </row>
    <row r="25">
      <c r="A25" s="47">
        <f>IFERROR(__xludf.DUMMYFUNCTION("""COMPUTED_VALUE"""),24.0)</f>
        <v>24</v>
      </c>
      <c r="B25" s="48" t="str">
        <f>IFERROR(__xludf.DUMMYFUNCTION("""COMPUTED_VALUE"""),"AHMAD FIRDAUS")</f>
        <v>AHMAD FIRDAUS</v>
      </c>
      <c r="C25" s="49">
        <f>IFERROR(__xludf.DUMMYFUNCTION("""COMPUTED_VALUE"""),2.025070151E9)</f>
        <v>2025070151</v>
      </c>
      <c r="D25" s="48" t="str">
        <f>IFERROR(__xludf.DUMMYFUNCTION("""COMPUTED_VALUE"""),"ALAUDIN")</f>
        <v>ALAUDIN</v>
      </c>
      <c r="E25" s="48" t="str">
        <f>IFERROR(__xludf.DUMMYFUNCTION("""COMPUTED_VALUE"""),"AFIDAH")</f>
        <v>AFIDAH</v>
      </c>
      <c r="F25" s="48" t="str">
        <f>IFERROR(__xludf.DUMMYFUNCTION("""COMPUTED_VALUE"""),"TEJOASRI RT 001 RW 002 LAREN LAMONGAN")</f>
        <v>TEJOASRI RT 001 RW 002 LAREN LAMONGAN</v>
      </c>
      <c r="G25" s="50" t="str">
        <f>IFERROR(__xludf.DUMMYFUNCTION("""COMPUTED_VALUE"""),"MA-XI.10")</f>
        <v>MA-XI.10</v>
      </c>
      <c r="H25" s="47" t="str">
        <f>IFERROR(__xludf.DUMMYFUNCTION("""COMPUTED_VALUE"""),"A")</f>
        <v>A</v>
      </c>
      <c r="I25" s="51" t="str">
        <f>IFERROR(__xludf.DUMMYFUNCTION("""COMPUTED_VALUE"""),"A-4")</f>
        <v>A-4</v>
      </c>
      <c r="J25" s="51">
        <f>IFERROR(__xludf.DUMMYFUNCTION("""COMPUTED_VALUE"""),2.0)</f>
        <v>2</v>
      </c>
      <c r="K25" s="51" t="str">
        <f>IFERROR(__xludf.DUMMYFUNCTION("""COMPUTED_VALUE"""),"2 WUSTHO A PUTRA")</f>
        <v>2 WUSTHO A PUTRA</v>
      </c>
      <c r="L25" s="52" t="str">
        <f>IFERROR(__xludf.DUMMYFUNCTION("""COMPUTED_VALUE"""),"6285777892081")</f>
        <v>6285777892081</v>
      </c>
      <c r="M25" s="53"/>
      <c r="N25" s="53"/>
      <c r="O25" s="53"/>
      <c r="P25" s="53"/>
      <c r="Q25" s="53"/>
      <c r="R25" s="53"/>
      <c r="S25" s="53"/>
      <c r="T25" s="53"/>
      <c r="U25" s="53">
        <f>IFERROR(__xludf.DUMMYFUNCTION("""COMPUTED_VALUE"""),450000.0)</f>
        <v>450000</v>
      </c>
      <c r="V25" s="53">
        <f>IFERROR(__xludf.DUMMYFUNCTION("""COMPUTED_VALUE"""),450000.0)</f>
        <v>450000</v>
      </c>
      <c r="W25" s="53">
        <f>IFERROR(__xludf.DUMMYFUNCTION("""COMPUTED_VALUE"""),450000.0)</f>
        <v>450000</v>
      </c>
      <c r="X25" s="53">
        <f>IFERROR(__xludf.DUMMYFUNCTION("""COMPUTED_VALUE"""),450000.0)</f>
        <v>450000</v>
      </c>
      <c r="Y25" s="53">
        <f>IFERROR(__xludf.DUMMYFUNCTION("""COMPUTED_VALUE"""),450000.0)</f>
        <v>450000</v>
      </c>
      <c r="Z25" s="53">
        <f>IFERROR(__xludf.DUMMYFUNCTION("""COMPUTED_VALUE"""),450000.0)</f>
        <v>450000</v>
      </c>
      <c r="AA25" s="53"/>
      <c r="AB25" s="53">
        <f>IFERROR(__xludf.DUMMYFUNCTION("""COMPUTED_VALUE"""),500000.0)</f>
        <v>500000</v>
      </c>
      <c r="AC25" s="53"/>
      <c r="AD25" s="54"/>
      <c r="AE25" s="54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>
        <f>IFERROR(__xludf.DUMMYFUNCTION("""COMPUTED_VALUE"""),500000.0)</f>
        <v>500000</v>
      </c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IFERROR(__xludf.DUMMYFUNCTION("""COMPUTED_VALUE"""),2700000.0)</f>
        <v>2700000</v>
      </c>
      <c r="BD25" s="54">
        <f>IFERROR(__xludf.DUMMYFUNCTION("""COMPUTED_VALUE"""),1000000.0)</f>
        <v>1000000</v>
      </c>
      <c r="BE25" s="54">
        <f>IFERROR(__xludf.DUMMYFUNCTION("""COMPUTED_VALUE"""),0.0)</f>
        <v>0</v>
      </c>
      <c r="BF25" s="55">
        <f>IFERROR(__xludf.DUMMYFUNCTION("""COMPUTED_VALUE"""),3700000.0)</f>
        <v>3700000</v>
      </c>
      <c r="BG25" s="53"/>
      <c r="BH25" s="53"/>
      <c r="BI25" s="53"/>
      <c r="BJ25" s="45"/>
      <c r="BK25" s="45"/>
      <c r="BL25" s="45"/>
      <c r="BM25" s="45"/>
      <c r="BN25" s="45"/>
      <c r="BO25" s="46"/>
    </row>
    <row r="26">
      <c r="A26" s="36">
        <f>IFERROR(__xludf.DUMMYFUNCTION("""COMPUTED_VALUE"""),25.0)</f>
        <v>25</v>
      </c>
      <c r="B26" s="37" t="str">
        <f>IFERROR(__xludf.DUMMYFUNCTION("""COMPUTED_VALUE"""),"AHMAD FIROS MUSADDAD")</f>
        <v>AHMAD FIROS MUSADDAD</v>
      </c>
      <c r="C26" s="38">
        <f>IFERROR(__xludf.DUMMYFUNCTION("""COMPUTED_VALUE"""),2.025070197E9)</f>
        <v>2025070197</v>
      </c>
      <c r="D26" s="37" t="str">
        <f>IFERROR(__xludf.DUMMYFUNCTION("""COMPUTED_VALUE"""),"MOH. ASYIKIN")</f>
        <v>MOH. ASYIKIN</v>
      </c>
      <c r="E26" s="37" t="str">
        <f>IFERROR(__xludf.DUMMYFUNCTION("""COMPUTED_VALUE"""),"MUKAYAROH")</f>
        <v>MUKAYAROH</v>
      </c>
      <c r="F26" s="37" t="str">
        <f>IFERROR(__xludf.DUMMYFUNCTION("""COMPUTED_VALUE"""),"KULURAN RT 003 RW 003 KALITENGAH LAMONGAN")</f>
        <v>KULURAN RT 003 RW 003 KALITENGAH LAMONGAN</v>
      </c>
      <c r="G26" s="39" t="str">
        <f>IFERROR(__xludf.DUMMYFUNCTION("""COMPUTED_VALUE"""),"MA-XI.13")</f>
        <v>MA-XI.13</v>
      </c>
      <c r="H26" s="36" t="str">
        <f>IFERROR(__xludf.DUMMYFUNCTION("""COMPUTED_VALUE"""),"A")</f>
        <v>A</v>
      </c>
      <c r="I26" s="40" t="str">
        <f>IFERROR(__xludf.DUMMYFUNCTION("""COMPUTED_VALUE"""),"A-2")</f>
        <v>A-2</v>
      </c>
      <c r="J26" s="40">
        <f>IFERROR(__xludf.DUMMYFUNCTION("""COMPUTED_VALUE"""),2.0)</f>
        <v>2</v>
      </c>
      <c r="K26" s="40" t="str">
        <f>IFERROR(__xludf.DUMMYFUNCTION("""COMPUTED_VALUE"""),"2 MAK PUTRA")</f>
        <v>2 MAK PUTRA</v>
      </c>
      <c r="L26" s="41" t="str">
        <f>IFERROR(__xludf.DUMMYFUNCTION("""COMPUTED_VALUE"""),"6285606726357")</f>
        <v>6285606726357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>
        <f>IFERROR(__xludf.DUMMYFUNCTION("""COMPUTED_VALUE"""),450000.0)</f>
        <v>450000</v>
      </c>
      <c r="AA26" s="42"/>
      <c r="AB26" s="42"/>
      <c r="AC26" s="42"/>
      <c r="AD26" s="42"/>
      <c r="AE26" s="43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IFERROR(__xludf.DUMMYFUNCTION("""COMPUTED_VALUE"""),450000.0)</f>
        <v>450000</v>
      </c>
      <c r="BD26" s="43">
        <f>IFERROR(__xludf.DUMMYFUNCTION("""COMPUTED_VALUE"""),0.0)</f>
        <v>0</v>
      </c>
      <c r="BE26" s="43">
        <f>IFERROR(__xludf.DUMMYFUNCTION("""COMPUTED_VALUE"""),0.0)</f>
        <v>0</v>
      </c>
      <c r="BF26" s="44">
        <f>IFERROR(__xludf.DUMMYFUNCTION("""COMPUTED_VALUE"""),450000.0)</f>
        <v>450000</v>
      </c>
      <c r="BG26" s="42"/>
      <c r="BH26" s="42"/>
      <c r="BI26" s="42"/>
      <c r="BJ26" s="45"/>
      <c r="BK26" s="45"/>
      <c r="BL26" s="45"/>
      <c r="BM26" s="45"/>
      <c r="BN26" s="45"/>
      <c r="BO26" s="46"/>
    </row>
    <row r="27">
      <c r="A27" s="47">
        <f>IFERROR(__xludf.DUMMYFUNCTION("""COMPUTED_VALUE"""),26.0)</f>
        <v>26</v>
      </c>
      <c r="B27" s="48" t="str">
        <f>IFERROR(__xludf.DUMMYFUNCTION("""COMPUTED_VALUE"""),"AHMAD HABIBUR RAHMAN")</f>
        <v>AHMAD HABIBUR RAHMAN</v>
      </c>
      <c r="C27" s="49">
        <f>IFERROR(__xludf.DUMMYFUNCTION("""COMPUTED_VALUE"""),2.02507053E9)</f>
        <v>2025070530</v>
      </c>
      <c r="D27" s="48" t="str">
        <f>IFERROR(__xludf.DUMMYFUNCTION("""COMPUTED_VALUE"""),"KARTAM")</f>
        <v>KARTAM</v>
      </c>
      <c r="E27" s="48" t="str">
        <f>IFERROR(__xludf.DUMMYFUNCTION("""COMPUTED_VALUE"""),"JAYANTI")</f>
        <v>JAYANTI</v>
      </c>
      <c r="F27" s="48" t="str">
        <f>IFERROR(__xludf.DUMMYFUNCTION("""COMPUTED_VALUE"""),"BADU BADURAME RT 002 RW 004 TURI LAMONGAN")</f>
        <v>BADU BADURAME RT 002 RW 004 TURI LAMONGAN</v>
      </c>
      <c r="G27" s="49" t="str">
        <f>IFERROR(__xludf.DUMMYFUNCTION("""COMPUTED_VALUE"""),"MTS-8 G")</f>
        <v>MTS-8 G</v>
      </c>
      <c r="H27" s="47" t="str">
        <f>IFERROR(__xludf.DUMMYFUNCTION("""COMPUTED_VALUE"""),"A")</f>
        <v>A</v>
      </c>
      <c r="I27" s="51" t="str">
        <f>IFERROR(__xludf.DUMMYFUNCTION("""COMPUTED_VALUE"""),"A-3")</f>
        <v>A-3</v>
      </c>
      <c r="J27" s="51">
        <f>IFERROR(__xludf.DUMMYFUNCTION("""COMPUTED_VALUE"""),2.0)</f>
        <v>2</v>
      </c>
      <c r="K27" s="51" t="str">
        <f>IFERROR(__xludf.DUMMYFUNCTION("""COMPUTED_VALUE"""),"2 ULA A PUTRA")</f>
        <v>2 ULA A PUTRA</v>
      </c>
      <c r="L27" s="52" t="str">
        <f>IFERROR(__xludf.DUMMYFUNCTION("""COMPUTED_VALUE"""),"6281649582028")</f>
        <v>6281649582028</v>
      </c>
      <c r="M27" s="54">
        <f>IFERROR(__xludf.DUMMYFUNCTION("""COMPUTED_VALUE"""),600000.0)</f>
        <v>600000</v>
      </c>
      <c r="N27" s="53"/>
      <c r="O27" s="53"/>
      <c r="P27" s="53"/>
      <c r="Q27" s="53"/>
      <c r="R27" s="53">
        <f>IFERROR(__xludf.DUMMYFUNCTION("""COMPUTED_VALUE"""),450000.0)</f>
        <v>450000</v>
      </c>
      <c r="S27" s="53">
        <f>IFERROR(__xludf.DUMMYFUNCTION("""COMPUTED_VALUE"""),450000.0)</f>
        <v>450000</v>
      </c>
      <c r="T27" s="53">
        <f>IFERROR(__xludf.DUMMYFUNCTION("""COMPUTED_VALUE"""),450000.0)</f>
        <v>450000</v>
      </c>
      <c r="U27" s="53">
        <f>IFERROR(__xludf.DUMMYFUNCTION("""COMPUTED_VALUE"""),450000.0)</f>
        <v>450000</v>
      </c>
      <c r="V27" s="53">
        <f>IFERROR(__xludf.DUMMYFUNCTION("""COMPUTED_VALUE"""),450000.0)</f>
        <v>450000</v>
      </c>
      <c r="W27" s="53">
        <f>IFERROR(__xludf.DUMMYFUNCTION("""COMPUTED_VALUE"""),450000.0)</f>
        <v>450000</v>
      </c>
      <c r="X27" s="53">
        <f>IFERROR(__xludf.DUMMYFUNCTION("""COMPUTED_VALUE"""),450000.0)</f>
        <v>450000</v>
      </c>
      <c r="Y27" s="53">
        <f>IFERROR(__xludf.DUMMYFUNCTION("""COMPUTED_VALUE"""),450000.0)</f>
        <v>450000</v>
      </c>
      <c r="Z27" s="53">
        <f>IFERROR(__xludf.DUMMYFUNCTION("""COMPUTED_VALUE"""),450000.0)</f>
        <v>450000</v>
      </c>
      <c r="AA27" s="53"/>
      <c r="AB27" s="54">
        <f>IFERROR(__xludf.DUMMYFUNCTION("""COMPUTED_VALUE"""),500000.0)</f>
        <v>500000</v>
      </c>
      <c r="AC27" s="53"/>
      <c r="AD27" s="54"/>
      <c r="AE27" s="5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>
        <f>IFERROR(__xludf.DUMMYFUNCTION("""COMPUTED_VALUE"""),500000.0)</f>
        <v>500000</v>
      </c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IFERROR(__xludf.DUMMYFUNCTION("""COMPUTED_VALUE"""),4050000.0)</f>
        <v>4050000</v>
      </c>
      <c r="BD27" s="54">
        <f>IFERROR(__xludf.DUMMYFUNCTION("""COMPUTED_VALUE"""),1600000.0)</f>
        <v>1600000</v>
      </c>
      <c r="BE27" s="54">
        <f>IFERROR(__xludf.DUMMYFUNCTION("""COMPUTED_VALUE"""),0.0)</f>
        <v>0</v>
      </c>
      <c r="BF27" s="55">
        <f>IFERROR(__xludf.DUMMYFUNCTION("""COMPUTED_VALUE"""),5650000.0)</f>
        <v>5650000</v>
      </c>
      <c r="BG27" s="53"/>
      <c r="BH27" s="53"/>
      <c r="BI27" s="53"/>
      <c r="BJ27" s="45"/>
      <c r="BK27" s="45"/>
      <c r="BL27" s="45"/>
      <c r="BM27" s="45"/>
      <c r="BN27" s="45"/>
      <c r="BO27" s="46"/>
    </row>
    <row r="28">
      <c r="A28" s="36">
        <f>IFERROR(__xludf.DUMMYFUNCTION("""COMPUTED_VALUE"""),27.0)</f>
        <v>27</v>
      </c>
      <c r="B28" s="37" t="str">
        <f>IFERROR(__xludf.DUMMYFUNCTION("""COMPUTED_VALUE"""),"AHMAD IRVAN SURYA MAHENDRA")</f>
        <v>AHMAD IRVAN SURYA MAHENDRA</v>
      </c>
      <c r="C28" s="38">
        <f>IFERROR(__xludf.DUMMYFUNCTION("""COMPUTED_VALUE"""),2.025070397E9)</f>
        <v>2025070397</v>
      </c>
      <c r="D28" s="37" t="str">
        <f>IFERROR(__xludf.DUMMYFUNCTION("""COMPUTED_VALUE"""),"SUYANTO")</f>
        <v>SUYANTO</v>
      </c>
      <c r="E28" s="37" t="str">
        <f>IFERROR(__xludf.DUMMYFUNCTION("""COMPUTED_VALUE"""),"FATIMAH")</f>
        <v>FATIMAH</v>
      </c>
      <c r="F28" s="37" t="str">
        <f>IFERROR(__xludf.DUMMYFUNCTION("""COMPUTED_VALUE"""),"TAMAN PRIJEG TAMAN PRIJEK RT 006 RW 002 LAREN LAMONGAN")</f>
        <v>TAMAN PRIJEG TAMAN PRIJEK RT 006 RW 002 LAREN LAMONGAN</v>
      </c>
      <c r="G28" s="39" t="str">
        <f>IFERROR(__xludf.DUMMYFUNCTION("""COMPUTED_VALUE"""),"MA-XI.6")</f>
        <v>MA-XI.6</v>
      </c>
      <c r="H28" s="36" t="str">
        <f>IFERROR(__xludf.DUMMYFUNCTION("""COMPUTED_VALUE"""),"A")</f>
        <v>A</v>
      </c>
      <c r="I28" s="40" t="str">
        <f>IFERROR(__xludf.DUMMYFUNCTION("""COMPUTED_VALUE"""),"A-4")</f>
        <v>A-4</v>
      </c>
      <c r="J28" s="40">
        <f>IFERROR(__xludf.DUMMYFUNCTION("""COMPUTED_VALUE"""),2.0)</f>
        <v>2</v>
      </c>
      <c r="K28" s="40" t="str">
        <f>IFERROR(__xludf.DUMMYFUNCTION("""COMPUTED_VALUE"""),"2 WUSTHO A PUTRA")</f>
        <v>2 WUSTHO A PUTRA</v>
      </c>
      <c r="L28" s="41" t="str">
        <f>IFERROR(__xludf.DUMMYFUNCTION("""COMPUTED_VALUE"""),"6281331330878")</f>
        <v>6281331330878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>
        <f>IFERROR(__xludf.DUMMYFUNCTION("""COMPUTED_VALUE"""),500000.0)</f>
        <v>500000</v>
      </c>
      <c r="AC28" s="42"/>
      <c r="AD28" s="42"/>
      <c r="AE28" s="43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>
        <f>IFERROR(__xludf.DUMMYFUNCTION("""COMPUTED_VALUE"""),500000.0)</f>
        <v>500000</v>
      </c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IFERROR(__xludf.DUMMYFUNCTION("""COMPUTED_VALUE"""),1000000.0)</f>
        <v>1000000</v>
      </c>
      <c r="BE28" s="43">
        <f>IFERROR(__xludf.DUMMYFUNCTION("""COMPUTED_VALUE"""),0.0)</f>
        <v>0</v>
      </c>
      <c r="BF28" s="44">
        <f>IFERROR(__xludf.DUMMYFUNCTION("""COMPUTED_VALUE"""),1000000.0)</f>
        <v>1000000</v>
      </c>
      <c r="BG28" s="42"/>
      <c r="BH28" s="42"/>
      <c r="BI28" s="42"/>
      <c r="BJ28" s="45"/>
      <c r="BK28" s="45"/>
      <c r="BL28" s="45"/>
      <c r="BM28" s="45"/>
      <c r="BN28" s="45"/>
      <c r="BO28" s="46"/>
    </row>
    <row r="29">
      <c r="A29" s="47">
        <f>IFERROR(__xludf.DUMMYFUNCTION("""COMPUTED_VALUE"""),28.0)</f>
        <v>28</v>
      </c>
      <c r="B29" s="48" t="str">
        <f>IFERROR(__xludf.DUMMYFUNCTION("""COMPUTED_VALUE"""),"AHMAD KHOMEINI UWAIS SUSILO")</f>
        <v>AHMAD KHOMEINI UWAIS SUSILO</v>
      </c>
      <c r="C29" s="49">
        <f>IFERROR(__xludf.DUMMYFUNCTION("""COMPUTED_VALUE"""),2.025070574E9)</f>
        <v>2025070574</v>
      </c>
      <c r="D29" s="48" t="str">
        <f>IFERROR(__xludf.DUMMYFUNCTION("""COMPUTED_VALUE"""),"WAWAN SUSILO")</f>
        <v>WAWAN SUSILO</v>
      </c>
      <c r="E29" s="48" t="str">
        <f>IFERROR(__xludf.DUMMYFUNCTION("""COMPUTED_VALUE"""),"BADHI`ATUL ATHORIYAH")</f>
        <v>BADHI`ATUL ATHORIYAH</v>
      </c>
      <c r="F29" s="48" t="str">
        <f>IFERROR(__xludf.DUMMYFUNCTION("""COMPUTED_VALUE"""),"TABONA RT 010 RW 004 TERNATE SELATAN TERNATE")</f>
        <v>TABONA RT 010 RW 004 TERNATE SELATAN TERNATE</v>
      </c>
      <c r="G29" s="50" t="str">
        <f>IFERROR(__xludf.DUMMYFUNCTION("""COMPUTED_VALUE"""),"MTS-8 C")</f>
        <v>MTS-8 C</v>
      </c>
      <c r="H29" s="47" t="str">
        <f>IFERROR(__xludf.DUMMYFUNCTION("""COMPUTED_VALUE"""),"A")</f>
        <v>A</v>
      </c>
      <c r="I29" s="51" t="str">
        <f>IFERROR(__xludf.DUMMYFUNCTION("""COMPUTED_VALUE"""),"A-1")</f>
        <v>A-1</v>
      </c>
      <c r="J29" s="51">
        <f>IFERROR(__xludf.DUMMYFUNCTION("""COMPUTED_VALUE"""),2.0)</f>
        <v>2</v>
      </c>
      <c r="K29" s="51" t="str">
        <f>IFERROR(__xludf.DUMMYFUNCTION("""COMPUTED_VALUE"""),"2 ULA A PUTRA")</f>
        <v>2 ULA A PUTRA</v>
      </c>
      <c r="L29" s="52" t="str">
        <f>IFERROR(__xludf.DUMMYFUNCTION("""COMPUTED_VALUE"""),"6281218437264")</f>
        <v>6281218437264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3"/>
      <c r="AB29" s="54"/>
      <c r="AC29" s="53"/>
      <c r="AD29" s="53"/>
      <c r="AE29" s="54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IFERROR(__xludf.DUMMYFUNCTION("""COMPUTED_VALUE"""),0.0)</f>
        <v>0</v>
      </c>
      <c r="BD29" s="54">
        <f>IFERROR(__xludf.DUMMYFUNCTION("""COMPUTED_VALUE"""),0.0)</f>
        <v>0</v>
      </c>
      <c r="BE29" s="54">
        <f>IFERROR(__xludf.DUMMYFUNCTION("""COMPUTED_VALUE"""),0.0)</f>
        <v>0</v>
      </c>
      <c r="BF29" s="55">
        <f>IFERROR(__xludf.DUMMYFUNCTION("""COMPUTED_VALUE"""),0.0)</f>
        <v>0</v>
      </c>
      <c r="BG29" s="53"/>
      <c r="BH29" s="53"/>
      <c r="BI29" s="53"/>
      <c r="BJ29" s="45"/>
      <c r="BK29" s="45"/>
      <c r="BL29" s="45"/>
      <c r="BM29" s="45"/>
      <c r="BN29" s="45"/>
      <c r="BO29" s="46"/>
    </row>
    <row r="30">
      <c r="A30" s="36">
        <f>IFERROR(__xludf.DUMMYFUNCTION("""COMPUTED_VALUE"""),29.0)</f>
        <v>29</v>
      </c>
      <c r="B30" s="37" t="str">
        <f>IFERROR(__xludf.DUMMYFUNCTION("""COMPUTED_VALUE"""),"AHMAD LAIQLABI ASROFI")</f>
        <v>AHMAD LAIQLABI ASROFI</v>
      </c>
      <c r="C30" s="38">
        <f>IFERROR(__xludf.DUMMYFUNCTION("""COMPUTED_VALUE"""),2.025070653E9)</f>
        <v>2025070653</v>
      </c>
      <c r="D30" s="37" t="str">
        <f>IFERROR(__xludf.DUMMYFUNCTION("""COMPUTED_VALUE"""),"SUSANTO")</f>
        <v>SUSANTO</v>
      </c>
      <c r="E30" s="37" t="str">
        <f>IFERROR(__xludf.DUMMYFUNCTION("""COMPUTED_VALUE"""),"ENDANG SUSILOWATI")</f>
        <v>ENDANG SUSILOWATI</v>
      </c>
      <c r="F30" s="37" t="str">
        <f>IFERROR(__xludf.DUMMYFUNCTION("""COMPUTED_VALUE"""),"GERMAN RT 001 RW 003 SUGIO LAMONGAN")</f>
        <v>GERMAN RT 001 RW 003 SUGIO LAMONGAN</v>
      </c>
      <c r="G30" s="39" t="str">
        <f>IFERROR(__xludf.DUMMYFUNCTION("""COMPUTED_VALUE"""),"MTS-8 F")</f>
        <v>MTS-8 F</v>
      </c>
      <c r="H30" s="36" t="str">
        <f>IFERROR(__xludf.DUMMYFUNCTION("""COMPUTED_VALUE"""),"A")</f>
        <v>A</v>
      </c>
      <c r="I30" s="40" t="str">
        <f>IFERROR(__xludf.DUMMYFUNCTION("""COMPUTED_VALUE"""),"A-1")</f>
        <v>A-1</v>
      </c>
      <c r="J30" s="40">
        <f>IFERROR(__xludf.DUMMYFUNCTION("""COMPUTED_VALUE"""),2.0)</f>
        <v>2</v>
      </c>
      <c r="K30" s="40" t="str">
        <f>IFERROR(__xludf.DUMMYFUNCTION("""COMPUTED_VALUE"""),"2 ULA A PUTRA")</f>
        <v>2 ULA A PUTRA</v>
      </c>
      <c r="L30" s="41" t="str">
        <f>IFERROR(__xludf.DUMMYFUNCTION("""COMPUTED_VALUE"""),"6285649385716")</f>
        <v>6285649385716</v>
      </c>
      <c r="M30" s="42"/>
      <c r="N30" s="42"/>
      <c r="O30" s="42"/>
      <c r="P30" s="42">
        <f>IFERROR(__xludf.DUMMYFUNCTION("""COMPUTED_VALUE"""),450000.0)</f>
        <v>450000</v>
      </c>
      <c r="Q30" s="42">
        <f>IFERROR(__xludf.DUMMYFUNCTION("""COMPUTED_VALUE"""),450000.0)</f>
        <v>450000</v>
      </c>
      <c r="R30" s="42">
        <f>IFERROR(__xludf.DUMMYFUNCTION("""COMPUTED_VALUE"""),450000.0)</f>
        <v>450000</v>
      </c>
      <c r="S30" s="42">
        <f>IFERROR(__xludf.DUMMYFUNCTION("""COMPUTED_VALUE"""),450000.0)</f>
        <v>450000</v>
      </c>
      <c r="T30" s="42">
        <f>IFERROR(__xludf.DUMMYFUNCTION("""COMPUTED_VALUE"""),450000.0)</f>
        <v>450000</v>
      </c>
      <c r="U30" s="42">
        <f>IFERROR(__xludf.DUMMYFUNCTION("""COMPUTED_VALUE"""),450000.0)</f>
        <v>450000</v>
      </c>
      <c r="V30" s="42">
        <f>IFERROR(__xludf.DUMMYFUNCTION("""COMPUTED_VALUE"""),450000.0)</f>
        <v>450000</v>
      </c>
      <c r="W30" s="42">
        <f>IFERROR(__xludf.DUMMYFUNCTION("""COMPUTED_VALUE"""),450000.0)</f>
        <v>450000</v>
      </c>
      <c r="X30" s="42">
        <f>IFERROR(__xludf.DUMMYFUNCTION("""COMPUTED_VALUE"""),450000.0)</f>
        <v>450000</v>
      </c>
      <c r="Y30" s="42">
        <f>IFERROR(__xludf.DUMMYFUNCTION("""COMPUTED_VALUE"""),450000.0)</f>
        <v>450000</v>
      </c>
      <c r="Z30" s="42">
        <f>IFERROR(__xludf.DUMMYFUNCTION("""COMPUTED_VALUE"""),450000.0)</f>
        <v>450000</v>
      </c>
      <c r="AA30" s="42"/>
      <c r="AB30" s="42">
        <f>IFERROR(__xludf.DUMMYFUNCTION("""COMPUTED_VALUE"""),500000.0)</f>
        <v>500000</v>
      </c>
      <c r="AC30" s="42"/>
      <c r="AD30" s="42"/>
      <c r="AE30" s="43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>
        <f>IFERROR(__xludf.DUMMYFUNCTION("""COMPUTED_VALUE"""),500000.0)</f>
        <v>500000</v>
      </c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IFERROR(__xludf.DUMMYFUNCTION("""COMPUTED_VALUE"""),4950000.0)</f>
        <v>4950000</v>
      </c>
      <c r="BD30" s="43">
        <f>IFERROR(__xludf.DUMMYFUNCTION("""COMPUTED_VALUE"""),1000000.0)</f>
        <v>1000000</v>
      </c>
      <c r="BE30" s="43">
        <f>IFERROR(__xludf.DUMMYFUNCTION("""COMPUTED_VALUE"""),0.0)</f>
        <v>0</v>
      </c>
      <c r="BF30" s="44">
        <f>IFERROR(__xludf.DUMMYFUNCTION("""COMPUTED_VALUE"""),5950000.0)</f>
        <v>5950000</v>
      </c>
      <c r="BG30" s="42"/>
      <c r="BH30" s="42"/>
      <c r="BI30" s="42"/>
      <c r="BJ30" s="45"/>
      <c r="BK30" s="45"/>
      <c r="BL30" s="45"/>
      <c r="BM30" s="45"/>
      <c r="BN30" s="45"/>
      <c r="BO30" s="46"/>
    </row>
    <row r="31">
      <c r="A31" s="47">
        <f>IFERROR(__xludf.DUMMYFUNCTION("""COMPUTED_VALUE"""),30.0)</f>
        <v>30</v>
      </c>
      <c r="B31" s="48" t="str">
        <f>IFERROR(__xludf.DUMMYFUNCTION("""COMPUTED_VALUE"""),"AHMAD MUSFIS SALAM")</f>
        <v>AHMAD MUSFIS SALAM</v>
      </c>
      <c r="C31" s="49">
        <f>IFERROR(__xludf.DUMMYFUNCTION("""COMPUTED_VALUE"""),2.02507062E9)</f>
        <v>2025070620</v>
      </c>
      <c r="D31" s="48" t="str">
        <f>IFERROR(__xludf.DUMMYFUNCTION("""COMPUTED_VALUE"""),"MAHFUDZ")</f>
        <v>MAHFUDZ</v>
      </c>
      <c r="E31" s="48" t="str">
        <f>IFERROR(__xludf.DUMMYFUNCTION("""COMPUTED_VALUE"""),"MINARIYATI")</f>
        <v>MINARIYATI</v>
      </c>
      <c r="F31" s="48" t="str">
        <f>IFERROR(__xludf.DUMMYFUNCTION("""COMPUTED_VALUE"""),"KULURAN RT 002 RW 003 KALITENGAH LAMONGAN")</f>
        <v>KULURAN RT 002 RW 003 KALITENGAH LAMONGAN</v>
      </c>
      <c r="G31" s="50" t="str">
        <f>IFERROR(__xludf.DUMMYFUNCTION("""COMPUTED_VALUE"""),"MTS-8 G")</f>
        <v>MTS-8 G</v>
      </c>
      <c r="H31" s="47" t="str">
        <f>IFERROR(__xludf.DUMMYFUNCTION("""COMPUTED_VALUE"""),"A")</f>
        <v>A</v>
      </c>
      <c r="I31" s="51" t="str">
        <f>IFERROR(__xludf.DUMMYFUNCTION("""COMPUTED_VALUE"""),"A-1")</f>
        <v>A-1</v>
      </c>
      <c r="J31" s="51">
        <f>IFERROR(__xludf.DUMMYFUNCTION("""COMPUTED_VALUE"""),2.0)</f>
        <v>2</v>
      </c>
      <c r="K31" s="51" t="str">
        <f>IFERROR(__xludf.DUMMYFUNCTION("""COMPUTED_VALUE"""),"2 ULA A PUTRA")</f>
        <v>2 ULA A PUTRA</v>
      </c>
      <c r="L31" s="52" t="str">
        <f>IFERROR(__xludf.DUMMYFUNCTION("""COMPUTED_VALUE"""),"6285899393570")</f>
        <v>6285899393570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>
        <f>IFERROR(__xludf.DUMMYFUNCTION("""COMPUTED_VALUE"""),450000.0)</f>
        <v>450000</v>
      </c>
      <c r="Z31" s="53">
        <f>IFERROR(__xludf.DUMMYFUNCTION("""COMPUTED_VALUE"""),450000.0)</f>
        <v>450000</v>
      </c>
      <c r="AA31" s="53"/>
      <c r="AB31" s="54">
        <f>IFERROR(__xludf.DUMMYFUNCTION("""COMPUTED_VALUE"""),500000.0)</f>
        <v>500000</v>
      </c>
      <c r="AC31" s="53"/>
      <c r="AD31" s="53"/>
      <c r="AE31" s="54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>
        <f>IFERROR(__xludf.DUMMYFUNCTION("""COMPUTED_VALUE"""),500000.0)</f>
        <v>500000</v>
      </c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IFERROR(__xludf.DUMMYFUNCTION("""COMPUTED_VALUE"""),900000.0)</f>
        <v>900000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IFERROR(__xludf.DUMMYFUNCTION("""COMPUTED_VALUE"""),1900000.0)</f>
        <v>1900000</v>
      </c>
      <c r="BG31" s="53"/>
      <c r="BH31" s="53"/>
      <c r="BI31" s="53"/>
      <c r="BJ31" s="45"/>
      <c r="BK31" s="45"/>
      <c r="BL31" s="45"/>
      <c r="BM31" s="45"/>
      <c r="BN31" s="45"/>
      <c r="BO31" s="46"/>
    </row>
    <row r="32">
      <c r="A32" s="36">
        <f>IFERROR(__xludf.DUMMYFUNCTION("""COMPUTED_VALUE"""),31.0)</f>
        <v>31</v>
      </c>
      <c r="B32" s="37" t="str">
        <f>IFERROR(__xludf.DUMMYFUNCTION("""COMPUTED_VALUE"""),"AHMAD NUR RIFKY FEBRIANSYAH")</f>
        <v>AHMAD NUR RIFKY FEBRIANSYAH</v>
      </c>
      <c r="C32" s="38">
        <f>IFERROR(__xludf.DUMMYFUNCTION("""COMPUTED_VALUE"""),2.025070638E9)</f>
        <v>2025070638</v>
      </c>
      <c r="D32" s="37" t="str">
        <f>IFERROR(__xludf.DUMMYFUNCTION("""COMPUTED_VALUE"""),"PASIRUN")</f>
        <v>PASIRUN</v>
      </c>
      <c r="E32" s="37" t="str">
        <f>IFERROR(__xludf.DUMMYFUNCTION("""COMPUTED_VALUE"""),"NI`MATUS SHOLIKHAH")</f>
        <v>NI`MATUS SHOLIKHAH</v>
      </c>
      <c r="F32" s="37" t="str">
        <f>IFERROR(__xludf.DUMMYFUNCTION("""COMPUTED_VALUE"""),"GLUMO JELAKCATUR RT 003 RW 005 KALITENGAH LAMONGAN")</f>
        <v>GLUMO JELAKCATUR RT 003 RW 005 KALITENGAH LAMONGAN</v>
      </c>
      <c r="G32" s="39" t="str">
        <f>IFERROR(__xludf.DUMMYFUNCTION("""COMPUTED_VALUE"""),"MTS-8 F")</f>
        <v>MTS-8 F</v>
      </c>
      <c r="H32" s="36" t="str">
        <f>IFERROR(__xludf.DUMMYFUNCTION("""COMPUTED_VALUE"""),"A")</f>
        <v>A</v>
      </c>
      <c r="I32" s="40" t="str">
        <f>IFERROR(__xludf.DUMMYFUNCTION("""COMPUTED_VALUE"""),"A-1")</f>
        <v>A-1</v>
      </c>
      <c r="J32" s="40">
        <f>IFERROR(__xludf.DUMMYFUNCTION("""COMPUTED_VALUE"""),2.0)</f>
        <v>2</v>
      </c>
      <c r="K32" s="40" t="str">
        <f>IFERROR(__xludf.DUMMYFUNCTION("""COMPUTED_VALUE"""),"2 ULA A PUTRA")</f>
        <v>2 ULA A PUTRA</v>
      </c>
      <c r="L32" s="41" t="str">
        <f>IFERROR(__xludf.DUMMYFUNCTION("""COMPUTED_VALUE"""),"6285852480277")</f>
        <v>6285852480277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>
        <f>IFERROR(__xludf.DUMMYFUNCTION("""COMPUTED_VALUE"""),500000.0)</f>
        <v>500000</v>
      </c>
      <c r="AC32" s="42"/>
      <c r="AD32" s="43"/>
      <c r="AE32" s="43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>
        <f>IFERROR(__xludf.DUMMYFUNCTION("""COMPUTED_VALUE"""),500000.0)</f>
        <v>500000</v>
      </c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IFERROR(__xludf.DUMMYFUNCTION("""COMPUTED_VALUE"""),1000000.0)</f>
        <v>1000000</v>
      </c>
      <c r="BE32" s="43">
        <f>IFERROR(__xludf.DUMMYFUNCTION("""COMPUTED_VALUE"""),0.0)</f>
        <v>0</v>
      </c>
      <c r="BF32" s="44">
        <f>IFERROR(__xludf.DUMMYFUNCTION("""COMPUTED_VALUE"""),1000000.0)</f>
        <v>1000000</v>
      </c>
      <c r="BG32" s="42"/>
      <c r="BH32" s="42"/>
      <c r="BI32" s="42"/>
      <c r="BJ32" s="45"/>
      <c r="BK32" s="45"/>
      <c r="BL32" s="45"/>
      <c r="BM32" s="45"/>
      <c r="BN32" s="45"/>
      <c r="BO32" s="46"/>
    </row>
    <row r="33">
      <c r="A33" s="47">
        <f>IFERROR(__xludf.DUMMYFUNCTION("""COMPUTED_VALUE"""),32.0)</f>
        <v>32</v>
      </c>
      <c r="B33" s="48" t="str">
        <f>IFERROR(__xludf.DUMMYFUNCTION("""COMPUTED_VALUE"""),"AHMAD RAFI MAULANA YUSUF")</f>
        <v>AHMAD RAFI MAULANA YUSUF</v>
      </c>
      <c r="C33" s="49">
        <f>IFERROR(__xludf.DUMMYFUNCTION("""COMPUTED_VALUE"""),2.02507031E9)</f>
        <v>2025070310</v>
      </c>
      <c r="D33" s="48" t="str">
        <f>IFERROR(__xludf.DUMMYFUNCTION("""COMPUTED_VALUE"""),"SAI")</f>
        <v>SAI</v>
      </c>
      <c r="E33" s="48" t="str">
        <f>IFERROR(__xludf.DUMMYFUNCTION("""COMPUTED_VALUE"""),"SHOLIHATUN")</f>
        <v>SHOLIHATUN</v>
      </c>
      <c r="F33" s="48" t="str">
        <f>IFERROR(__xludf.DUMMYFUNCTION("""COMPUTED_VALUE"""),"BARU KEMLAGILOR RT 003 RW 001 TURI LAMONGAN")</f>
        <v>BARU KEMLAGILOR RT 003 RW 001 TURI LAMONGAN</v>
      </c>
      <c r="G33" s="50" t="str">
        <f>IFERROR(__xludf.DUMMYFUNCTION("""COMPUTED_VALUE"""),"MA-XI.13")</f>
        <v>MA-XI.13</v>
      </c>
      <c r="H33" s="47" t="str">
        <f>IFERROR(__xludf.DUMMYFUNCTION("""COMPUTED_VALUE"""),"A")</f>
        <v>A</v>
      </c>
      <c r="I33" s="51" t="str">
        <f>IFERROR(__xludf.DUMMYFUNCTION("""COMPUTED_VALUE"""),"A-2")</f>
        <v>A-2</v>
      </c>
      <c r="J33" s="51">
        <f>IFERROR(__xludf.DUMMYFUNCTION("""COMPUTED_VALUE"""),2.0)</f>
        <v>2</v>
      </c>
      <c r="K33" s="51" t="str">
        <f>IFERROR(__xludf.DUMMYFUNCTION("""COMPUTED_VALUE"""),"2 MAK PUTRA")</f>
        <v>2 MAK PUTRA</v>
      </c>
      <c r="L33" s="52" t="str">
        <f>IFERROR(__xludf.DUMMYFUNCTION("""COMPUTED_VALUE"""),"6285706624674")</f>
        <v>6285706624674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>
        <f>IFERROR(__xludf.DUMMYFUNCTION("""COMPUTED_VALUE"""),450000.0)</f>
        <v>450000</v>
      </c>
      <c r="AA33" s="53"/>
      <c r="AB33" s="54">
        <f>IFERROR(__xludf.DUMMYFUNCTION("""COMPUTED_VALUE"""),500000.0)</f>
        <v>500000</v>
      </c>
      <c r="AC33" s="53"/>
      <c r="AD33" s="53"/>
      <c r="AE33" s="54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>
        <f>IFERROR(__xludf.DUMMYFUNCTION("""COMPUTED_VALUE"""),500000.0)</f>
        <v>500000</v>
      </c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IFERROR(__xludf.DUMMYFUNCTION("""COMPUTED_VALUE"""),450000.0)</f>
        <v>450000</v>
      </c>
      <c r="BD33" s="54">
        <f>IFERROR(__xludf.DUMMYFUNCTION("""COMPUTED_VALUE"""),1000000.0)</f>
        <v>1000000</v>
      </c>
      <c r="BE33" s="54">
        <f>IFERROR(__xludf.DUMMYFUNCTION("""COMPUTED_VALUE"""),0.0)</f>
        <v>0</v>
      </c>
      <c r="BF33" s="55">
        <f>IFERROR(__xludf.DUMMYFUNCTION("""COMPUTED_VALUE"""),1450000.0)</f>
        <v>1450000</v>
      </c>
      <c r="BG33" s="53"/>
      <c r="BH33" s="53"/>
      <c r="BI33" s="53"/>
      <c r="BJ33" s="45"/>
      <c r="BK33" s="45"/>
      <c r="BL33" s="45"/>
      <c r="BM33" s="45"/>
      <c r="BN33" s="45"/>
      <c r="BO33" s="46"/>
    </row>
    <row r="34">
      <c r="A34" s="36">
        <f>IFERROR(__xludf.DUMMYFUNCTION("""COMPUTED_VALUE"""),33.0)</f>
        <v>33</v>
      </c>
      <c r="B34" s="37" t="str">
        <f>IFERROR(__xludf.DUMMYFUNCTION("""COMPUTED_VALUE"""),"AHMAD RAFIF RADITIA SA`BANA")</f>
        <v>AHMAD RAFIF RADITIA SA`BANA</v>
      </c>
      <c r="C34" s="38">
        <f>IFERROR(__xludf.DUMMYFUNCTION("""COMPUTED_VALUE"""),2.025070563E9)</f>
        <v>2025070563</v>
      </c>
      <c r="D34" s="37" t="str">
        <f>IFERROR(__xludf.DUMMYFUNCTION("""COMPUTED_VALUE"""),"ABDUL QODIR")</f>
        <v>ABDUL QODIR</v>
      </c>
      <c r="E34" s="37" t="str">
        <f>IFERROR(__xludf.DUMMYFUNCTION("""COMPUTED_VALUE"""),"HIDAYATUL MUNAWAROH")</f>
        <v>HIDAYATUL MUNAWAROH</v>
      </c>
      <c r="F34" s="37" t="str">
        <f>IFERROR(__xludf.DUMMYFUNCTION("""COMPUTED_VALUE"""),"PUTATLOR PUTATKUMPUL RT 002 RW 003 TURI LAMONGAN")</f>
        <v>PUTATLOR PUTATKUMPUL RT 002 RW 003 TURI LAMONGAN</v>
      </c>
      <c r="G34" s="38" t="str">
        <f>IFERROR(__xludf.DUMMYFUNCTION("""COMPUTED_VALUE"""),"MTS-8 D")</f>
        <v>MTS-8 D</v>
      </c>
      <c r="H34" s="36" t="str">
        <f>IFERROR(__xludf.DUMMYFUNCTION("""COMPUTED_VALUE"""),"A")</f>
        <v>A</v>
      </c>
      <c r="I34" s="40" t="str">
        <f>IFERROR(__xludf.DUMMYFUNCTION("""COMPUTED_VALUE"""),"A-1")</f>
        <v>A-1</v>
      </c>
      <c r="J34" s="40">
        <f>IFERROR(__xludf.DUMMYFUNCTION("""COMPUTED_VALUE"""),2.0)</f>
        <v>2</v>
      </c>
      <c r="K34" s="40" t="str">
        <f>IFERROR(__xludf.DUMMYFUNCTION("""COMPUTED_VALUE"""),"2 ULA A PUTRA")</f>
        <v>2 ULA A PUTRA</v>
      </c>
      <c r="L34" s="41" t="str">
        <f>IFERROR(__xludf.DUMMYFUNCTION("""COMPUTED_VALUE"""),"6281347599509")</f>
        <v>6281347599509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3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>
        <f>IFERROR(__xludf.DUMMYFUNCTION("""COMPUTED_VALUE"""),500000.0)</f>
        <v>500000</v>
      </c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IFERROR(__xludf.DUMMYFUNCTION("""COMPUTED_VALUE"""),0.0)</f>
        <v>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IFERROR(__xludf.DUMMYFUNCTION("""COMPUTED_VALUE"""),500000.0)</f>
        <v>500000</v>
      </c>
      <c r="BG34" s="42"/>
      <c r="BH34" s="42"/>
      <c r="BI34" s="42"/>
      <c r="BJ34" s="45"/>
      <c r="BK34" s="45"/>
      <c r="BL34" s="45"/>
      <c r="BM34" s="45"/>
      <c r="BN34" s="45"/>
      <c r="BO34" s="46"/>
    </row>
    <row r="35">
      <c r="A35" s="47">
        <f>IFERROR(__xludf.DUMMYFUNCTION("""COMPUTED_VALUE"""),34.0)</f>
        <v>34</v>
      </c>
      <c r="B35" s="48" t="str">
        <f>IFERROR(__xludf.DUMMYFUNCTION("""COMPUTED_VALUE"""),"AHMAD SYAUQI AL QORNI")</f>
        <v>AHMAD SYAUQI AL QORNI</v>
      </c>
      <c r="C35" s="49">
        <f>IFERROR(__xludf.DUMMYFUNCTION("""COMPUTED_VALUE"""),2.025070554E9)</f>
        <v>2025070554</v>
      </c>
      <c r="D35" s="48" t="str">
        <f>IFERROR(__xludf.DUMMYFUNCTION("""COMPUTED_VALUE"""),"MUKAIZIN")</f>
        <v>MUKAIZIN</v>
      </c>
      <c r="E35" s="48" t="str">
        <f>IFERROR(__xludf.DUMMYFUNCTION("""COMPUTED_VALUE"""),"TITIN HENY HAYYINAH")</f>
        <v>TITIN HENY HAYYINAH</v>
      </c>
      <c r="F35" s="48" t="str">
        <f>IFERROR(__xludf.DUMMYFUNCTION("""COMPUTED_VALUE"""),"JL. SIDO MAKMUR PETUNG RT 003 RW 001 PANCENG GRESIK")</f>
        <v>JL. SIDO MAKMUR PETUNG RT 003 RW 001 PANCENG GRESIK</v>
      </c>
      <c r="G35" s="50" t="str">
        <f>IFERROR(__xludf.DUMMYFUNCTION("""COMPUTED_VALUE"""),"MTS-8 G")</f>
        <v>MTS-8 G</v>
      </c>
      <c r="H35" s="47" t="str">
        <f>IFERROR(__xludf.DUMMYFUNCTION("""COMPUTED_VALUE"""),"A")</f>
        <v>A</v>
      </c>
      <c r="I35" s="51" t="str">
        <f>IFERROR(__xludf.DUMMYFUNCTION("""COMPUTED_VALUE"""),"A-3")</f>
        <v>A-3</v>
      </c>
      <c r="J35" s="51">
        <f>IFERROR(__xludf.DUMMYFUNCTION("""COMPUTED_VALUE"""),2.0)</f>
        <v>2</v>
      </c>
      <c r="K35" s="51" t="str">
        <f>IFERROR(__xludf.DUMMYFUNCTION("""COMPUTED_VALUE"""),"2 ULA A PUTRA")</f>
        <v>2 ULA A PUTRA</v>
      </c>
      <c r="L35" s="52" t="str">
        <f>IFERROR(__xludf.DUMMYFUNCTION("""COMPUTED_VALUE"""),"6285645546566")</f>
        <v>6285645546566</v>
      </c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>
        <f>IFERROR(__xludf.DUMMYFUNCTION("""COMPUTED_VALUE"""),500000.0)</f>
        <v>500000</v>
      </c>
      <c r="AC35" s="53"/>
      <c r="AD35" s="53"/>
      <c r="AE35" s="54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IFERROR(__xludf.DUMMYFUNCTION("""COMPUTED_VALUE"""),1000000.0)</f>
        <v>1000000</v>
      </c>
      <c r="BE35" s="54">
        <f>IFERROR(__xludf.DUMMYFUNCTION("""COMPUTED_VALUE"""),0.0)</f>
        <v>0</v>
      </c>
      <c r="BF35" s="55">
        <f>IFERROR(__xludf.DUMMYFUNCTION("""COMPUTED_VALUE"""),1000000.0)</f>
        <v>1000000</v>
      </c>
      <c r="BG35" s="53"/>
      <c r="BH35" s="53"/>
      <c r="BI35" s="53"/>
      <c r="BJ35" s="45"/>
      <c r="BK35" s="45"/>
      <c r="BL35" s="45"/>
      <c r="BM35" s="45"/>
      <c r="BN35" s="45"/>
      <c r="BO35" s="46"/>
    </row>
    <row r="36">
      <c r="A36" s="36">
        <f>IFERROR(__xludf.DUMMYFUNCTION("""COMPUTED_VALUE"""),35.0)</f>
        <v>35</v>
      </c>
      <c r="B36" s="37" t="str">
        <f>IFERROR(__xludf.DUMMYFUNCTION("""COMPUTED_VALUE"""),"AHMAD WILDAN ARRIFQI")</f>
        <v>AHMAD WILDAN ARRIFQI</v>
      </c>
      <c r="C36" s="38">
        <f>IFERROR(__xludf.DUMMYFUNCTION("""COMPUTED_VALUE"""),2.025070651E9)</f>
        <v>2025070651</v>
      </c>
      <c r="D36" s="37" t="str">
        <f>IFERROR(__xludf.DUMMYFUNCTION("""COMPUTED_VALUE"""),"H. ABD ROHIM")</f>
        <v>H. ABD ROHIM</v>
      </c>
      <c r="E36" s="37" t="str">
        <f>IFERROR(__xludf.DUMMYFUNCTION("""COMPUTED_VALUE"""),"SHOCHIBAH")</f>
        <v>SHOCHIBAH</v>
      </c>
      <c r="F36" s="37" t="str">
        <f>IFERROR(__xludf.DUMMYFUNCTION("""COMPUTED_VALUE"""),"IMAAN RT 001 RW 001 DUKUN GRESIK")</f>
        <v>IMAAN RT 001 RW 001 DUKUN GRESIK</v>
      </c>
      <c r="G36" s="39" t="str">
        <f>IFERROR(__xludf.DUMMYFUNCTION("""COMPUTED_VALUE"""),"#N/A")</f>
        <v>#N/A</v>
      </c>
      <c r="H36" s="36" t="str">
        <f>IFERROR(__xludf.DUMMYFUNCTION("""COMPUTED_VALUE"""),"A")</f>
        <v>A</v>
      </c>
      <c r="I36" s="40" t="str">
        <f>IFERROR(__xludf.DUMMYFUNCTION("""COMPUTED_VALUE"""),"A-5")</f>
        <v>A-5</v>
      </c>
      <c r="J36" s="40">
        <f>IFERROR(__xludf.DUMMYFUNCTION("""COMPUTED_VALUE"""),2.0)</f>
        <v>2</v>
      </c>
      <c r="K36" s="40" t="str">
        <f>IFERROR(__xludf.DUMMYFUNCTION("""COMPUTED_VALUE"""),"ULA")</f>
        <v>ULA</v>
      </c>
      <c r="L36" s="41" t="str">
        <f>IFERROR(__xludf.DUMMYFUNCTION("""COMPUTED_VALUE"""),"6282143079056")</f>
        <v>6282143079056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3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IFERROR(__xludf.DUMMYFUNCTION("""COMPUTED_VALUE"""),0.0)</f>
        <v>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IFERROR(__xludf.DUMMYFUNCTION("""COMPUTED_VALUE"""),0.0)</f>
        <v>0</v>
      </c>
      <c r="BG36" s="42"/>
      <c r="BH36" s="42"/>
      <c r="BI36" s="42"/>
      <c r="BJ36" s="45"/>
      <c r="BK36" s="45"/>
      <c r="BL36" s="45"/>
      <c r="BM36" s="45"/>
      <c r="BN36" s="45"/>
      <c r="BO36" s="46"/>
    </row>
    <row r="37">
      <c r="A37" s="47">
        <f>IFERROR(__xludf.DUMMYFUNCTION("""COMPUTED_VALUE"""),36.0)</f>
        <v>36</v>
      </c>
      <c r="B37" s="48" t="str">
        <f>IFERROR(__xludf.DUMMYFUNCTION("""COMPUTED_VALUE"""),"AHMAD YAZID AL BUSTHOMI")</f>
        <v>AHMAD YAZID AL BUSTHOMI</v>
      </c>
      <c r="C37" s="49">
        <f>IFERROR(__xludf.DUMMYFUNCTION("""COMPUTED_VALUE"""),2.025070612E9)</f>
        <v>2025070612</v>
      </c>
      <c r="D37" s="48" t="str">
        <f>IFERROR(__xludf.DUMMYFUNCTION("""COMPUTED_VALUE"""),"ARI KUSMIANTO")</f>
        <v>ARI KUSMIANTO</v>
      </c>
      <c r="E37" s="48" t="str">
        <f>IFERROR(__xludf.DUMMYFUNCTION("""COMPUTED_VALUE"""),"SITI MUSTAINAH")</f>
        <v>SITI MUSTAINAH</v>
      </c>
      <c r="F37" s="48" t="str">
        <f>IFERROR(__xludf.DUMMYFUNCTION("""COMPUTED_VALUE"""),"BALUNGTAWUN RT 002 RW 003 SUKODADI LAMONGAN")</f>
        <v>BALUNGTAWUN RT 002 RW 003 SUKODADI LAMONGAN</v>
      </c>
      <c r="G37" s="50" t="str">
        <f>IFERROR(__xludf.DUMMYFUNCTION("""COMPUTED_VALUE"""),"MTS-8 E")</f>
        <v>MTS-8 E</v>
      </c>
      <c r="H37" s="47" t="str">
        <f>IFERROR(__xludf.DUMMYFUNCTION("""COMPUTED_VALUE"""),"A")</f>
        <v>A</v>
      </c>
      <c r="I37" s="51" t="str">
        <f>IFERROR(__xludf.DUMMYFUNCTION("""COMPUTED_VALUE"""),"A-1")</f>
        <v>A-1</v>
      </c>
      <c r="J37" s="51">
        <f>IFERROR(__xludf.DUMMYFUNCTION("""COMPUTED_VALUE"""),2.0)</f>
        <v>2</v>
      </c>
      <c r="K37" s="51" t="str">
        <f>IFERROR(__xludf.DUMMYFUNCTION("""COMPUTED_VALUE"""),"2 ULA A PUTRA")</f>
        <v>2 ULA A PUTRA</v>
      </c>
      <c r="L37" s="52" t="str">
        <f>IFERROR(__xludf.DUMMYFUNCTION("""COMPUTED_VALUE"""),"6285730041984")</f>
        <v>6285730041984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4"/>
      <c r="AA37" s="54"/>
      <c r="AB37" s="54">
        <f>IFERROR(__xludf.DUMMYFUNCTION("""COMPUTED_VALUE"""),500000.0)</f>
        <v>500000</v>
      </c>
      <c r="AC37" s="54"/>
      <c r="AD37" s="54"/>
      <c r="AE37" s="54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4">
        <f>IFERROR(__xludf.DUMMYFUNCTION("""COMPUTED_VALUE"""),500000.0)</f>
        <v>500000</v>
      </c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IFERROR(__xludf.DUMMYFUNCTION("""COMPUTED_VALUE"""),1000000.0)</f>
        <v>1000000</v>
      </c>
      <c r="BE37" s="54">
        <f>IFERROR(__xludf.DUMMYFUNCTION("""COMPUTED_VALUE"""),0.0)</f>
        <v>0</v>
      </c>
      <c r="BF37" s="55">
        <f>IFERROR(__xludf.DUMMYFUNCTION("""COMPUTED_VALUE"""),1000000.0)</f>
        <v>1000000</v>
      </c>
      <c r="BG37" s="53"/>
      <c r="BH37" s="53"/>
      <c r="BI37" s="53"/>
      <c r="BJ37" s="45"/>
      <c r="BK37" s="45"/>
      <c r="BL37" s="45"/>
      <c r="BM37" s="45"/>
      <c r="BN37" s="45"/>
      <c r="BO37" s="46"/>
    </row>
    <row r="38">
      <c r="A38" s="36">
        <f>IFERROR(__xludf.DUMMYFUNCTION("""COMPUTED_VALUE"""),37.0)</f>
        <v>37</v>
      </c>
      <c r="B38" s="37" t="str">
        <f>IFERROR(__xludf.DUMMYFUNCTION("""COMPUTED_VALUE"""),"AHMAD ZUBAD AL ASROR")</f>
        <v>AHMAD ZUBAD AL ASROR</v>
      </c>
      <c r="C38" s="38">
        <f>IFERROR(__xludf.DUMMYFUNCTION("""COMPUTED_VALUE"""),2.025070367E9)</f>
        <v>2025070367</v>
      </c>
      <c r="D38" s="37" t="str">
        <f>IFERROR(__xludf.DUMMYFUNCTION("""COMPUTED_VALUE"""),"EKO PRASETIYO NURZAINI")</f>
        <v>EKO PRASETIYO NURZAINI</v>
      </c>
      <c r="E38" s="37" t="str">
        <f>IFERROR(__xludf.DUMMYFUNCTION("""COMPUTED_VALUE"""),"MUTHOHAROH")</f>
        <v>MUTHOHAROH</v>
      </c>
      <c r="F38" s="37" t="str">
        <f>IFERROR(__xludf.DUMMYFUNCTION("""COMPUTED_VALUE"""),"BANJARMADU RT 002 RW 007 KARANGGENENG LAMONGAN")</f>
        <v>BANJARMADU RT 002 RW 007 KARANGGENENG LAMONGAN</v>
      </c>
      <c r="G38" s="39" t="str">
        <f>IFERROR(__xludf.DUMMYFUNCTION("""COMPUTED_VALUE"""),"MA-XI.13")</f>
        <v>MA-XI.13</v>
      </c>
      <c r="H38" s="36" t="str">
        <f>IFERROR(__xludf.DUMMYFUNCTION("""COMPUTED_VALUE"""),"A")</f>
        <v>A</v>
      </c>
      <c r="I38" s="40" t="str">
        <f>IFERROR(__xludf.DUMMYFUNCTION("""COMPUTED_VALUE"""),"A-2")</f>
        <v>A-2</v>
      </c>
      <c r="J38" s="40">
        <f>IFERROR(__xludf.DUMMYFUNCTION("""COMPUTED_VALUE"""),2.0)</f>
        <v>2</v>
      </c>
      <c r="K38" s="40" t="str">
        <f>IFERROR(__xludf.DUMMYFUNCTION("""COMPUTED_VALUE"""),"2 MAK PUTRA")</f>
        <v>2 MAK PUTRA</v>
      </c>
      <c r="L38" s="41" t="str">
        <f>IFERROR(__xludf.DUMMYFUNCTION("""COMPUTED_VALUE"""),"6285707241922")</f>
        <v>6285707241922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2"/>
      <c r="AD38" s="42"/>
      <c r="AE38" s="43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3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IFERROR(__xludf.DUMMYFUNCTION("""COMPUTED_VALUE"""),0.0)</f>
        <v>0</v>
      </c>
      <c r="BD38" s="43">
        <f>IFERROR(__xludf.DUMMYFUNCTION("""COMPUTED_VALUE"""),0.0)</f>
        <v>0</v>
      </c>
      <c r="BE38" s="43">
        <f>IFERROR(__xludf.DUMMYFUNCTION("""COMPUTED_VALUE"""),0.0)</f>
        <v>0</v>
      </c>
      <c r="BF38" s="44">
        <f>IFERROR(__xludf.DUMMYFUNCTION("""COMPUTED_VALUE"""),0.0)</f>
        <v>0</v>
      </c>
      <c r="BG38" s="42"/>
      <c r="BH38" s="42"/>
      <c r="BI38" s="42"/>
      <c r="BJ38" s="45"/>
      <c r="BK38" s="45"/>
      <c r="BL38" s="45"/>
      <c r="BM38" s="45"/>
      <c r="BN38" s="45"/>
      <c r="BO38" s="46"/>
    </row>
    <row r="39">
      <c r="A39" s="47">
        <f>IFERROR(__xludf.DUMMYFUNCTION("""COMPUTED_VALUE"""),38.0)</f>
        <v>38</v>
      </c>
      <c r="B39" s="48" t="str">
        <f>IFERROR(__xludf.DUMMYFUNCTION("""COMPUTED_VALUE"""),"AKBAR MAULANA")</f>
        <v>AKBAR MAULANA</v>
      </c>
      <c r="C39" s="49">
        <f>IFERROR(__xludf.DUMMYFUNCTION("""COMPUTED_VALUE"""),2.025070272E9)</f>
        <v>2025070272</v>
      </c>
      <c r="D39" s="48" t="str">
        <f>IFERROR(__xludf.DUMMYFUNCTION("""COMPUTED_VALUE"""),"AJI")</f>
        <v>AJI</v>
      </c>
      <c r="E39" s="48" t="str">
        <f>IFERROR(__xludf.DUMMYFUNCTION("""COMPUTED_VALUE"""),"SITI MAIMUNAH")</f>
        <v>SITI MAIMUNAH</v>
      </c>
      <c r="F39" s="48" t="str">
        <f>IFERROR(__xludf.DUMMYFUNCTION("""COMPUTED_VALUE"""),"TENGGULUN RT 001 RW 001 SOLOKURO LAMONGAN")</f>
        <v>TENGGULUN RT 001 RW 001 SOLOKURO LAMONGAN</v>
      </c>
      <c r="G39" s="50" t="str">
        <f>IFERROR(__xludf.DUMMYFUNCTION("""COMPUTED_VALUE"""),"MA-XI.2")</f>
        <v>MA-XI.2</v>
      </c>
      <c r="H39" s="47" t="str">
        <f>IFERROR(__xludf.DUMMYFUNCTION("""COMPUTED_VALUE"""),"A")</f>
        <v>A</v>
      </c>
      <c r="I39" s="53" t="str">
        <f>IFERROR(__xludf.DUMMYFUNCTION("""COMPUTED_VALUE"""),"A-4")</f>
        <v>A-4</v>
      </c>
      <c r="J39" s="51">
        <f>IFERROR(__xludf.DUMMYFUNCTION("""COMPUTED_VALUE"""),2.0)</f>
        <v>2</v>
      </c>
      <c r="K39" s="51" t="str">
        <f>IFERROR(__xludf.DUMMYFUNCTION("""COMPUTED_VALUE"""),"2 WUSTHO A PUTRA")</f>
        <v>2 WUSTHO A PUTRA</v>
      </c>
      <c r="L39" s="52" t="str">
        <f>IFERROR(__xludf.DUMMYFUNCTION("""COMPUTED_VALUE"""),"6285743392823")</f>
        <v>6285743392823</v>
      </c>
      <c r="M39" s="54"/>
      <c r="N39" s="53"/>
      <c r="O39" s="5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4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3"/>
      <c r="BH39" s="53"/>
      <c r="BI39" s="53"/>
      <c r="BJ39" s="45"/>
      <c r="BK39" s="45"/>
      <c r="BL39" s="45"/>
      <c r="BM39" s="45"/>
      <c r="BN39" s="45"/>
      <c r="BO39" s="46"/>
    </row>
    <row r="40">
      <c r="A40" s="36">
        <f>IFERROR(__xludf.DUMMYFUNCTION("""COMPUTED_VALUE"""),39.0)</f>
        <v>39</v>
      </c>
      <c r="B40" s="37" t="str">
        <f>IFERROR(__xludf.DUMMYFUNCTION("""COMPUTED_VALUE"""),"ALFIN FAIRUS AGATHA")</f>
        <v>ALFIN FAIRUS AGATHA</v>
      </c>
      <c r="C40" s="38">
        <f>IFERROR(__xludf.DUMMYFUNCTION("""COMPUTED_VALUE"""),2.025070558E9)</f>
        <v>2025070558</v>
      </c>
      <c r="D40" s="37" t="str">
        <f>IFERROR(__xludf.DUMMYFUNCTION("""COMPUTED_VALUE"""),"UJUD PRASETYO")</f>
        <v>UJUD PRASETYO</v>
      </c>
      <c r="E40" s="37" t="str">
        <f>IFERROR(__xludf.DUMMYFUNCTION("""COMPUTED_VALUE"""),"SRI ZULIANINGSIH")</f>
        <v>SRI ZULIANINGSIH</v>
      </c>
      <c r="F40" s="37" t="str">
        <f>IFERROR(__xludf.DUMMYFUNCTION("""COMPUTED_VALUE"""),"SUMURAN SEKARBAGUS RT 002 RW 004 SUGIO LAMONGAN")</f>
        <v>SUMURAN SEKARBAGUS RT 002 RW 004 SUGIO LAMONGAN</v>
      </c>
      <c r="G40" s="39" t="str">
        <f>IFERROR(__xludf.DUMMYFUNCTION("""COMPUTED_VALUE"""),"MTS-8 G")</f>
        <v>MTS-8 G</v>
      </c>
      <c r="H40" s="36" t="str">
        <f>IFERROR(__xludf.DUMMYFUNCTION("""COMPUTED_VALUE"""),"A")</f>
        <v>A</v>
      </c>
      <c r="I40" s="40" t="str">
        <f>IFERROR(__xludf.DUMMYFUNCTION("""COMPUTED_VALUE"""),"A-3")</f>
        <v>A-3</v>
      </c>
      <c r="J40" s="40">
        <f>IFERROR(__xludf.DUMMYFUNCTION("""COMPUTED_VALUE"""),2.0)</f>
        <v>2</v>
      </c>
      <c r="K40" s="40" t="str">
        <f>IFERROR(__xludf.DUMMYFUNCTION("""COMPUTED_VALUE"""),"2 ULA A PUTRA")</f>
        <v>2 ULA A PUTRA</v>
      </c>
      <c r="L40" s="39" t="str">
        <f>IFERROR(__xludf.DUMMYFUNCTION("""COMPUTED_VALUE"""),"6281615235302")</f>
        <v>6281615235302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>
        <f>IFERROR(__xludf.DUMMYFUNCTION("""COMPUTED_VALUE"""),500000.0)</f>
        <v>500000</v>
      </c>
      <c r="AC40" s="42"/>
      <c r="AD40" s="43"/>
      <c r="AE40" s="43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>
        <f>IFERROR(__xludf.DUMMYFUNCTION("""COMPUTED_VALUE"""),500000.0)</f>
        <v>500000</v>
      </c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IFERROR(__xludf.DUMMYFUNCTION("""COMPUTED_VALUE"""),0.0)</f>
        <v>0</v>
      </c>
      <c r="BD40" s="43">
        <f>IFERROR(__xludf.DUMMYFUNCTION("""COMPUTED_VALUE"""),1000000.0)</f>
        <v>1000000</v>
      </c>
      <c r="BE40" s="43">
        <f>IFERROR(__xludf.DUMMYFUNCTION("""COMPUTED_VALUE"""),0.0)</f>
        <v>0</v>
      </c>
      <c r="BF40" s="44">
        <f>IFERROR(__xludf.DUMMYFUNCTION("""COMPUTED_VALUE"""),1000000.0)</f>
        <v>1000000</v>
      </c>
      <c r="BG40" s="42"/>
      <c r="BH40" s="42"/>
      <c r="BI40" s="42"/>
      <c r="BJ40" s="45"/>
      <c r="BK40" s="45"/>
      <c r="BL40" s="45"/>
      <c r="BM40" s="45"/>
      <c r="BN40" s="45"/>
      <c r="BO40" s="46"/>
    </row>
    <row r="41">
      <c r="A41" s="47">
        <f>IFERROR(__xludf.DUMMYFUNCTION("""COMPUTED_VALUE"""),40.0)</f>
        <v>40</v>
      </c>
      <c r="B41" s="48" t="str">
        <f>IFERROR(__xludf.DUMMYFUNCTION("""COMPUTED_VALUE"""),"ANDREI ARSHAVIN ADITYA PRATAMA")</f>
        <v>ANDREI ARSHAVIN ADITYA PRATAMA</v>
      </c>
      <c r="C41" s="49">
        <f>IFERROR(__xludf.DUMMYFUNCTION("""COMPUTED_VALUE"""),2.025070174E9)</f>
        <v>2025070174</v>
      </c>
      <c r="D41" s="48" t="str">
        <f>IFERROR(__xludf.DUMMYFUNCTION("""COMPUTED_VALUE"""),"BENNY KARDYAWAN")</f>
        <v>BENNY KARDYAWAN</v>
      </c>
      <c r="E41" s="48" t="str">
        <f>IFERROR(__xludf.DUMMYFUNCTION("""COMPUTED_VALUE"""),"LULUK LUTFIA")</f>
        <v>LULUK LUTFIA</v>
      </c>
      <c r="F41" s="48" t="str">
        <f>IFERROR(__xludf.DUMMYFUNCTION("""COMPUTED_VALUE"""),"BUTUNGAN RT 002 RW 002 KALITENGAH LAMONGAN")</f>
        <v>BUTUNGAN RT 002 RW 002 KALITENGAH LAMONGAN</v>
      </c>
      <c r="G41" s="50" t="str">
        <f>IFERROR(__xludf.DUMMYFUNCTION("""COMPUTED_VALUE"""),"MA-XI.10")</f>
        <v>MA-XI.10</v>
      </c>
      <c r="H41" s="47" t="str">
        <f>IFERROR(__xludf.DUMMYFUNCTION("""COMPUTED_VALUE"""),"A")</f>
        <v>A</v>
      </c>
      <c r="I41" s="51" t="str">
        <f>IFERROR(__xludf.DUMMYFUNCTION("""COMPUTED_VALUE"""),"A-4")</f>
        <v>A-4</v>
      </c>
      <c r="J41" s="51">
        <f>IFERROR(__xludf.DUMMYFUNCTION("""COMPUTED_VALUE"""),2.0)</f>
        <v>2</v>
      </c>
      <c r="K41" s="51" t="str">
        <f>IFERROR(__xludf.DUMMYFUNCTION("""COMPUTED_VALUE"""),"2 WUSTHO A PUTRA")</f>
        <v>2 WUSTHO A PUTRA</v>
      </c>
      <c r="L41" s="52" t="str">
        <f>IFERROR(__xludf.DUMMYFUNCTION("""COMPUTED_VALUE"""),"6285853921007")</f>
        <v>6285853921007</v>
      </c>
      <c r="M41" s="53">
        <f>IFERROR(__xludf.DUMMYFUNCTION("""COMPUTED_VALUE"""),600000.0)</f>
        <v>600000</v>
      </c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>
        <f>IFERROR(__xludf.DUMMYFUNCTION("""COMPUTED_VALUE"""),500000.0)</f>
        <v>500000</v>
      </c>
      <c r="AC41" s="53"/>
      <c r="AD41" s="53"/>
      <c r="AE41" s="54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>
        <f>IFERROR(__xludf.DUMMYFUNCTION("""COMPUTED_VALUE"""),500000.0)</f>
        <v>500000</v>
      </c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IFERROR(__xludf.DUMMYFUNCTION("""COMPUTED_VALUE"""),1600000.0)</f>
        <v>1600000</v>
      </c>
      <c r="BE41" s="54">
        <f>IFERROR(__xludf.DUMMYFUNCTION("""COMPUTED_VALUE"""),0.0)</f>
        <v>0</v>
      </c>
      <c r="BF41" s="55">
        <f>IFERROR(__xludf.DUMMYFUNCTION("""COMPUTED_VALUE"""),1600000.0)</f>
        <v>1600000</v>
      </c>
      <c r="BG41" s="53"/>
      <c r="BH41" s="53"/>
      <c r="BI41" s="53"/>
      <c r="BJ41" s="45"/>
      <c r="BK41" s="45"/>
      <c r="BL41" s="45"/>
      <c r="BM41" s="45"/>
      <c r="BN41" s="45"/>
      <c r="BO41" s="46"/>
    </row>
    <row r="42">
      <c r="A42" s="36">
        <f>IFERROR(__xludf.DUMMYFUNCTION("""COMPUTED_VALUE"""),41.0)</f>
        <v>41</v>
      </c>
      <c r="B42" s="37" t="str">
        <f>IFERROR(__xludf.DUMMYFUNCTION("""COMPUTED_VALUE"""),"ANTADANNA MAULANA ALVINO")</f>
        <v>ANTADANNA MAULANA ALVINO</v>
      </c>
      <c r="C42" s="38">
        <f>IFERROR(__xludf.DUMMYFUNCTION("""COMPUTED_VALUE"""),2.025070437E9)</f>
        <v>2025070437</v>
      </c>
      <c r="D42" s="37" t="str">
        <f>IFERROR(__xludf.DUMMYFUNCTION("""COMPUTED_VALUE"""),"VITNARKO")</f>
        <v>VITNARKO</v>
      </c>
      <c r="E42" s="37" t="str">
        <f>IFERROR(__xludf.DUMMYFUNCTION("""COMPUTED_VALUE"""),"KATSIROTUN NI`MAH")</f>
        <v>KATSIROTUN NI`MAH</v>
      </c>
      <c r="F42" s="37" t="str">
        <f>IFERROR(__xludf.DUMMYFUNCTION("""COMPUTED_VALUE"""),"KARANGLANGIT RT 001 RW 002 LAMONGAN LAMONGAN")</f>
        <v>KARANGLANGIT RT 001 RW 002 LAMONGAN LAMONGAN</v>
      </c>
      <c r="G42" s="39" t="str">
        <f>IFERROR(__xludf.DUMMYFUNCTION("""COMPUTED_VALUE"""),"SMK-XI TKJ 2")</f>
        <v>SMK-XI TKJ 2</v>
      </c>
      <c r="H42" s="36" t="str">
        <f>IFERROR(__xludf.DUMMYFUNCTION("""COMPUTED_VALUE"""),"A")</f>
        <v>A</v>
      </c>
      <c r="I42" s="40" t="str">
        <f>IFERROR(__xludf.DUMMYFUNCTION("""COMPUTED_VALUE"""),"A-9")</f>
        <v>A-9</v>
      </c>
      <c r="J42" s="40">
        <f>IFERROR(__xludf.DUMMYFUNCTION("""COMPUTED_VALUE"""),2.0)</f>
        <v>2</v>
      </c>
      <c r="K42" s="40" t="str">
        <f>IFERROR(__xludf.DUMMYFUNCTION("""COMPUTED_VALUE"""),"2 WUSTHO A PUTRA")</f>
        <v>2 WUSTHO A PUTRA</v>
      </c>
      <c r="L42" s="41" t="str">
        <f>IFERROR(__xludf.DUMMYFUNCTION("""COMPUTED_VALUE"""),"6282243925015")</f>
        <v>6282243925015</v>
      </c>
      <c r="M42" s="4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3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42"/>
      <c r="BH42" s="42"/>
      <c r="BI42" s="42"/>
      <c r="BJ42" s="45"/>
      <c r="BK42" s="45"/>
      <c r="BL42" s="45"/>
      <c r="BM42" s="45"/>
      <c r="BN42" s="45"/>
      <c r="BO42" s="46"/>
    </row>
    <row r="43">
      <c r="A43" s="47">
        <f>IFERROR(__xludf.DUMMYFUNCTION("""COMPUTED_VALUE"""),42.0)</f>
        <v>42</v>
      </c>
      <c r="B43" s="48" t="str">
        <f>IFERROR(__xludf.DUMMYFUNCTION("""COMPUTED_VALUE"""),"APRIANSYAH BAYU ROBBANY")</f>
        <v>APRIANSYAH BAYU ROBBANY</v>
      </c>
      <c r="C43" s="49">
        <f>IFERROR(__xludf.DUMMYFUNCTION("""COMPUTED_VALUE"""),2.025070371E9)</f>
        <v>2025070371</v>
      </c>
      <c r="D43" s="48" t="str">
        <f>IFERROR(__xludf.DUMMYFUNCTION("""COMPUTED_VALUE"""),"SUPRIYANTO")</f>
        <v>SUPRIYANTO</v>
      </c>
      <c r="E43" s="48" t="str">
        <f>IFERROR(__xludf.DUMMYFUNCTION("""COMPUTED_VALUE"""),"BINTI KHOTIMAH")</f>
        <v>BINTI KHOTIMAH</v>
      </c>
      <c r="F43" s="48" t="str">
        <f>IFERROR(__xludf.DUMMYFUNCTION("""COMPUTED_VALUE"""),"TENGGER BLONGKO RT 004 RW 005 NGETOS NGANJUK")</f>
        <v>TENGGER BLONGKO RT 004 RW 005 NGETOS NGANJUK</v>
      </c>
      <c r="G43" s="50" t="str">
        <f>IFERROR(__xludf.DUMMYFUNCTION("""COMPUTED_VALUE"""),"MA-XI.13")</f>
        <v>MA-XI.13</v>
      </c>
      <c r="H43" s="47" t="str">
        <f>IFERROR(__xludf.DUMMYFUNCTION("""COMPUTED_VALUE"""),"A")</f>
        <v>A</v>
      </c>
      <c r="I43" s="51" t="str">
        <f>IFERROR(__xludf.DUMMYFUNCTION("""COMPUTED_VALUE"""),"A-4")</f>
        <v>A-4</v>
      </c>
      <c r="J43" s="51">
        <f>IFERROR(__xludf.DUMMYFUNCTION("""COMPUTED_VALUE"""),2.0)</f>
        <v>2</v>
      </c>
      <c r="K43" s="51" t="str">
        <f>IFERROR(__xludf.DUMMYFUNCTION("""COMPUTED_VALUE"""),"2 MAK PUTRA")</f>
        <v>2 MAK PUTRA</v>
      </c>
      <c r="L43" s="52" t="str">
        <f>IFERROR(__xludf.DUMMYFUNCTION("""COMPUTED_VALUE"""),"6282230736243")</f>
        <v>6282230736243</v>
      </c>
      <c r="M43" s="53">
        <f>IFERROR(__xludf.DUMMYFUNCTION("""COMPUTED_VALUE"""),600000.0)</f>
        <v>600000</v>
      </c>
      <c r="N43" s="53"/>
      <c r="O43" s="53"/>
      <c r="P43" s="53"/>
      <c r="Q43" s="53"/>
      <c r="R43" s="53"/>
      <c r="S43" s="53"/>
      <c r="T43" s="53"/>
      <c r="U43" s="53"/>
      <c r="V43" s="53"/>
      <c r="W43" s="53">
        <f>IFERROR(__xludf.DUMMYFUNCTION("""COMPUTED_VALUE"""),450000.0)</f>
        <v>450000</v>
      </c>
      <c r="X43" s="53">
        <f>IFERROR(__xludf.DUMMYFUNCTION("""COMPUTED_VALUE"""),450000.0)</f>
        <v>450000</v>
      </c>
      <c r="Y43" s="53">
        <f>IFERROR(__xludf.DUMMYFUNCTION("""COMPUTED_VALUE"""),450000.0)</f>
        <v>450000</v>
      </c>
      <c r="Z43" s="53">
        <f>IFERROR(__xludf.DUMMYFUNCTION("""COMPUTED_VALUE"""),450000.0)</f>
        <v>450000</v>
      </c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IFERROR(__xludf.DUMMYFUNCTION("""COMPUTED_VALUE"""),1800000.0)</f>
        <v>1800000</v>
      </c>
      <c r="BD43" s="54">
        <f>IFERROR(__xludf.DUMMYFUNCTION("""COMPUTED_VALUE"""),1600000.0)</f>
        <v>1600000</v>
      </c>
      <c r="BE43" s="54">
        <f>IFERROR(__xludf.DUMMYFUNCTION("""COMPUTED_VALUE"""),0.0)</f>
        <v>0</v>
      </c>
      <c r="BF43" s="55">
        <f>IFERROR(__xludf.DUMMYFUNCTION("""COMPUTED_VALUE"""),3400000.0)</f>
        <v>3400000</v>
      </c>
      <c r="BG43" s="53"/>
      <c r="BH43" s="53"/>
      <c r="BI43" s="53"/>
      <c r="BJ43" s="45"/>
      <c r="BK43" s="45"/>
      <c r="BL43" s="45"/>
      <c r="BM43" s="45"/>
      <c r="BN43" s="45"/>
      <c r="BO43" s="46"/>
    </row>
    <row r="44">
      <c r="A44" s="36">
        <f>IFERROR(__xludf.DUMMYFUNCTION("""COMPUTED_VALUE"""),43.0)</f>
        <v>43</v>
      </c>
      <c r="B44" s="37" t="str">
        <f>IFERROR(__xludf.DUMMYFUNCTION("""COMPUTED_VALUE"""),"AQILA AJI ILLIAN SYAH")</f>
        <v>AQILA AJI ILLIAN SYAH</v>
      </c>
      <c r="C44" s="38">
        <f>IFERROR(__xludf.DUMMYFUNCTION("""COMPUTED_VALUE"""),2.025070571E9)</f>
        <v>2025070571</v>
      </c>
      <c r="D44" s="37" t="str">
        <f>IFERROR(__xludf.DUMMYFUNCTION("""COMPUTED_VALUE"""),"SUTIAJI")</f>
        <v>SUTIAJI</v>
      </c>
      <c r="E44" s="37" t="str">
        <f>IFERROR(__xludf.DUMMYFUNCTION("""COMPUTED_VALUE"""),"ELLA TRI YUWANITA")</f>
        <v>ELLA TRI YUWANITA</v>
      </c>
      <c r="F44" s="37" t="str">
        <f>IFERROR(__xludf.DUMMYFUNCTION("""COMPUTED_VALUE"""),"JL. KH. AGUS SALIM NO. 11 KULURAN RT 002 RW 001 KALITENGAH LAMONGAN")</f>
        <v>JL. KH. AGUS SALIM NO. 11 KULURAN RT 002 RW 001 KALITENGAH LAMONGAN</v>
      </c>
      <c r="G44" s="39" t="str">
        <f>IFERROR(__xludf.DUMMYFUNCTION("""COMPUTED_VALUE"""),"MTS-8 D")</f>
        <v>MTS-8 D</v>
      </c>
      <c r="H44" s="36" t="str">
        <f>IFERROR(__xludf.DUMMYFUNCTION("""COMPUTED_VALUE"""),"A")</f>
        <v>A</v>
      </c>
      <c r="I44" s="40" t="str">
        <f>IFERROR(__xludf.DUMMYFUNCTION("""COMPUTED_VALUE"""),"A-1")</f>
        <v>A-1</v>
      </c>
      <c r="J44" s="40">
        <f>IFERROR(__xludf.DUMMYFUNCTION("""COMPUTED_VALUE"""),2.0)</f>
        <v>2</v>
      </c>
      <c r="K44" s="40" t="str">
        <f>IFERROR(__xludf.DUMMYFUNCTION("""COMPUTED_VALUE"""),"2 ULA A PUTRA")</f>
        <v>2 ULA A PUTRA</v>
      </c>
      <c r="L44" s="41" t="str">
        <f>IFERROR(__xludf.DUMMYFUNCTION("""COMPUTED_VALUE"""),"6285697039280")</f>
        <v>6285697039280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>
        <f>IFERROR(__xludf.DUMMYFUNCTION("""COMPUTED_VALUE"""),500000.0)</f>
        <v>500000</v>
      </c>
      <c r="AC44" s="42"/>
      <c r="AD44" s="42"/>
      <c r="AE44" s="43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>
        <f>IFERROR(__xludf.DUMMYFUNCTION("""COMPUTED_VALUE"""),500000.0)</f>
        <v>500000</v>
      </c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IFERROR(__xludf.DUMMYFUNCTION("""COMPUTED_VALUE"""),0.0)</f>
        <v>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IFERROR(__xludf.DUMMYFUNCTION("""COMPUTED_VALUE"""),1000000.0)</f>
        <v>1000000</v>
      </c>
      <c r="BG44" s="42"/>
      <c r="BH44" s="42"/>
      <c r="BI44" s="42"/>
      <c r="BJ44" s="45"/>
      <c r="BK44" s="45"/>
      <c r="BL44" s="45"/>
      <c r="BM44" s="45"/>
      <c r="BN44" s="45"/>
      <c r="BO44" s="46"/>
    </row>
    <row r="45">
      <c r="A45" s="47">
        <f>IFERROR(__xludf.DUMMYFUNCTION("""COMPUTED_VALUE"""),44.0)</f>
        <v>44</v>
      </c>
      <c r="B45" s="48" t="str">
        <f>IFERROR(__xludf.DUMMYFUNCTION("""COMPUTED_VALUE"""),"ARJUNA AUFAR FEBRIAN")</f>
        <v>ARJUNA AUFAR FEBRIAN</v>
      </c>
      <c r="C45" s="49">
        <f>IFERROR(__xludf.DUMMYFUNCTION("""COMPUTED_VALUE"""),2.025070474E9)</f>
        <v>2025070474</v>
      </c>
      <c r="D45" s="48" t="str">
        <f>IFERROR(__xludf.DUMMYFUNCTION("""COMPUTED_VALUE"""),"CANDRA PERWIRA WIBAWANTO")</f>
        <v>CANDRA PERWIRA WIBAWANTO</v>
      </c>
      <c r="E45" s="48" t="str">
        <f>IFERROR(__xludf.DUMMYFUNCTION("""COMPUTED_VALUE"""),"EVI KARTIKA SARI")</f>
        <v>EVI KARTIKA SARI</v>
      </c>
      <c r="F45" s="48" t="str">
        <f>IFERROR(__xludf.DUMMYFUNCTION("""COMPUTED_VALUE"""),"PERUM GRAHA INDAH BLOK M 12 A TAMBAKRIGADUNG RT 001 RW 010 TIKUNG LAMONGAN")</f>
        <v>PERUM GRAHA INDAH BLOK M 12 A TAMBAKRIGADUNG RT 001 RW 010 TIKUNG LAMONGAN</v>
      </c>
      <c r="G45" s="50" t="str">
        <f>IFERROR(__xludf.DUMMYFUNCTION("""COMPUTED_VALUE"""),"SMP-VIII A")</f>
        <v>SMP-VIII A</v>
      </c>
      <c r="H45" s="47" t="str">
        <f>IFERROR(__xludf.DUMMYFUNCTION("""COMPUTED_VALUE"""),"A")</f>
        <v>A</v>
      </c>
      <c r="I45" s="51" t="str">
        <f>IFERROR(__xludf.DUMMYFUNCTION("""COMPUTED_VALUE"""),"A-3")</f>
        <v>A-3</v>
      </c>
      <c r="J45" s="51">
        <f>IFERROR(__xludf.DUMMYFUNCTION("""COMPUTED_VALUE"""),2.0)</f>
        <v>2</v>
      </c>
      <c r="K45" s="51" t="str">
        <f>IFERROR(__xludf.DUMMYFUNCTION("""COMPUTED_VALUE"""),"2 ULA A PUTRA")</f>
        <v>2 ULA A PUTRA</v>
      </c>
      <c r="L45" s="52" t="str">
        <f>IFERROR(__xludf.DUMMYFUNCTION("""COMPUTED_VALUE"""),"6285748239151")</f>
        <v>6285748239151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>
        <f>IFERROR(__xludf.DUMMYFUNCTION("""COMPUTED_VALUE"""),500000.0)</f>
        <v>500000</v>
      </c>
      <c r="AC45" s="54"/>
      <c r="AD45" s="54"/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4">
        <f>IFERROR(__xludf.DUMMYFUNCTION("""COMPUTED_VALUE"""),500000.0)</f>
        <v>500000</v>
      </c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IFERROR(__xludf.DUMMYFUNCTION("""COMPUTED_VALUE"""),0.0)</f>
        <v>0</v>
      </c>
      <c r="BD45" s="54">
        <f>IFERROR(__xludf.DUMMYFUNCTION("""COMPUTED_VALUE"""),1000000.0)</f>
        <v>1000000</v>
      </c>
      <c r="BE45" s="54">
        <f>IFERROR(__xludf.DUMMYFUNCTION("""COMPUTED_VALUE"""),0.0)</f>
        <v>0</v>
      </c>
      <c r="BF45" s="55">
        <f>IFERROR(__xludf.DUMMYFUNCTION("""COMPUTED_VALUE"""),1000000.0)</f>
        <v>1000000</v>
      </c>
      <c r="BG45" s="53"/>
      <c r="BH45" s="53"/>
      <c r="BI45" s="53"/>
      <c r="BJ45" s="45"/>
      <c r="BK45" s="45"/>
      <c r="BL45" s="45"/>
      <c r="BM45" s="45"/>
      <c r="BN45" s="45"/>
      <c r="BO45" s="46"/>
    </row>
    <row r="46">
      <c r="A46" s="36">
        <f>IFERROR(__xludf.DUMMYFUNCTION("""COMPUTED_VALUE"""),45.0)</f>
        <v>45</v>
      </c>
      <c r="B46" s="37" t="str">
        <f>IFERROR(__xludf.DUMMYFUNCTION("""COMPUTED_VALUE"""),"AZKA ATHFAL AL IMRON")</f>
        <v>AZKA ATHFAL AL IMRON</v>
      </c>
      <c r="C46" s="38">
        <f>IFERROR(__xludf.DUMMYFUNCTION("""COMPUTED_VALUE"""),2.025070619E9)</f>
        <v>2025070619</v>
      </c>
      <c r="D46" s="37" t="str">
        <f>IFERROR(__xludf.DUMMYFUNCTION("""COMPUTED_VALUE"""),"MUHAMMAD IMRON")</f>
        <v>MUHAMMAD IMRON</v>
      </c>
      <c r="E46" s="37" t="str">
        <f>IFERROR(__xludf.DUMMYFUNCTION("""COMPUTED_VALUE"""),"ANIS SHOLIKHAH")</f>
        <v>ANIS SHOLIKHAH</v>
      </c>
      <c r="F46" s="37" t="str">
        <f>IFERROR(__xludf.DUMMYFUNCTION("""COMPUTED_VALUE"""),"KARANGWUNGU RT 005 RW 001 KARANGGENENG LAMONGAN")</f>
        <v>KARANGWUNGU RT 005 RW 001 KARANGGENENG LAMONGAN</v>
      </c>
      <c r="G46" s="39" t="str">
        <f>IFERROR(__xludf.DUMMYFUNCTION("""COMPUTED_VALUE"""),"MTS-8 B")</f>
        <v>MTS-8 B</v>
      </c>
      <c r="H46" s="36" t="str">
        <f>IFERROR(__xludf.DUMMYFUNCTION("""COMPUTED_VALUE"""),"A")</f>
        <v>A</v>
      </c>
      <c r="I46" s="40" t="str">
        <f>IFERROR(__xludf.DUMMYFUNCTION("""COMPUTED_VALUE"""),"A-3")</f>
        <v>A-3</v>
      </c>
      <c r="J46" s="40">
        <f>IFERROR(__xludf.DUMMYFUNCTION("""COMPUTED_VALUE"""),2.0)</f>
        <v>2</v>
      </c>
      <c r="K46" s="40" t="str">
        <f>IFERROR(__xludf.DUMMYFUNCTION("""COMPUTED_VALUE"""),"2 ULA A PUTRA")</f>
        <v>2 ULA A PUTRA</v>
      </c>
      <c r="L46" s="39" t="str">
        <f>IFERROR(__xludf.DUMMYFUNCTION("""COMPUTED_VALUE"""),"6289509221082")</f>
        <v>6289509221082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>
        <f>IFERROR(__xludf.DUMMYFUNCTION("""COMPUTED_VALUE"""),500000.0)</f>
        <v>500000</v>
      </c>
      <c r="AC46" s="42"/>
      <c r="AD46" s="42"/>
      <c r="AE46" s="43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>
        <f>IFERROR(__xludf.DUMMYFUNCTION("""COMPUTED_VALUE"""),500000.0)</f>
        <v>500000</v>
      </c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IFERROR(__xludf.DUMMYFUNCTION("""COMPUTED_VALUE"""),1000000.0)</f>
        <v>1000000</v>
      </c>
      <c r="BE46" s="43">
        <f>IFERROR(__xludf.DUMMYFUNCTION("""COMPUTED_VALUE"""),0.0)</f>
        <v>0</v>
      </c>
      <c r="BF46" s="44">
        <f>IFERROR(__xludf.DUMMYFUNCTION("""COMPUTED_VALUE"""),1000000.0)</f>
        <v>1000000</v>
      </c>
      <c r="BG46" s="42"/>
      <c r="BH46" s="42"/>
      <c r="BI46" s="42"/>
      <c r="BJ46" s="45"/>
      <c r="BK46" s="45"/>
      <c r="BL46" s="45"/>
      <c r="BM46" s="45"/>
      <c r="BN46" s="45"/>
      <c r="BO46" s="46"/>
    </row>
    <row r="47">
      <c r="A47" s="47">
        <f>IFERROR(__xludf.DUMMYFUNCTION("""COMPUTED_VALUE"""),46.0)</f>
        <v>46</v>
      </c>
      <c r="B47" s="48" t="str">
        <f>IFERROR(__xludf.DUMMYFUNCTION("""COMPUTED_VALUE"""),"BILFAQIH REY ALTEZA")</f>
        <v>BILFAQIH REY ALTEZA</v>
      </c>
      <c r="C47" s="49">
        <f>IFERROR(__xludf.DUMMYFUNCTION("""COMPUTED_VALUE"""),2.025070486E9)</f>
        <v>2025070486</v>
      </c>
      <c r="D47" s="48" t="str">
        <f>IFERROR(__xludf.DUMMYFUNCTION("""COMPUTED_VALUE"""),"ARIFIN")</f>
        <v>ARIFIN</v>
      </c>
      <c r="E47" s="48" t="str">
        <f>IFERROR(__xludf.DUMMYFUNCTION("""COMPUTED_VALUE"""),"KHADHIROTUL KUDSIYA")</f>
        <v>KHADHIROTUL KUDSIYA</v>
      </c>
      <c r="F47" s="48" t="str">
        <f>IFERROR(__xludf.DUMMYFUNCTION("""COMPUTED_VALUE"""),"BESI TLOGOAGUNG RT 002 RW 002 KEMBANGBAHU LAMONGAN")</f>
        <v>BESI TLOGOAGUNG RT 002 RW 002 KEMBANGBAHU LAMONGAN</v>
      </c>
      <c r="G47" s="50" t="str">
        <f>IFERROR(__xludf.DUMMYFUNCTION("""COMPUTED_VALUE"""),"SMP-VIII C")</f>
        <v>SMP-VIII C</v>
      </c>
      <c r="H47" s="47" t="str">
        <f>IFERROR(__xludf.DUMMYFUNCTION("""COMPUTED_VALUE"""),"A")</f>
        <v>A</v>
      </c>
      <c r="I47" s="51" t="str">
        <f>IFERROR(__xludf.DUMMYFUNCTION("""COMPUTED_VALUE"""),"A-1")</f>
        <v>A-1</v>
      </c>
      <c r="J47" s="51">
        <f>IFERROR(__xludf.DUMMYFUNCTION("""COMPUTED_VALUE"""),2.0)</f>
        <v>2</v>
      </c>
      <c r="K47" s="51" t="str">
        <f>IFERROR(__xludf.DUMMYFUNCTION("""COMPUTED_VALUE"""),"2 ULA A PUTRA")</f>
        <v>2 ULA A PUTRA</v>
      </c>
      <c r="L47" s="52" t="str">
        <f>IFERROR(__xludf.DUMMYFUNCTION("""COMPUTED_VALUE"""),"6285748773131")</f>
        <v>6285748773131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>
        <f>IFERROR(__xludf.DUMMYFUNCTION("""COMPUTED_VALUE"""),500000.0)</f>
        <v>500000</v>
      </c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IFERROR(__xludf.DUMMYFUNCTION("""COMPUTED_VALUE"""),500000.0)</f>
        <v>500000</v>
      </c>
      <c r="BE47" s="54">
        <f>IFERROR(__xludf.DUMMYFUNCTION("""COMPUTED_VALUE"""),0.0)</f>
        <v>0</v>
      </c>
      <c r="BF47" s="55">
        <f>IFERROR(__xludf.DUMMYFUNCTION("""COMPUTED_VALUE"""),500000.0)</f>
        <v>500000</v>
      </c>
      <c r="BG47" s="53"/>
      <c r="BH47" s="53"/>
      <c r="BI47" s="53"/>
      <c r="BJ47" s="45"/>
      <c r="BK47" s="45"/>
      <c r="BL47" s="45"/>
      <c r="BM47" s="45"/>
      <c r="BN47" s="45"/>
      <c r="BO47" s="46"/>
    </row>
    <row r="48">
      <c r="A48" s="36">
        <f>IFERROR(__xludf.DUMMYFUNCTION("""COMPUTED_VALUE"""),47.0)</f>
        <v>47</v>
      </c>
      <c r="B48" s="37" t="str">
        <f>IFERROR(__xludf.DUMMYFUNCTION("""COMPUTED_VALUE"""),"BRIAN BILLIY ZADAH")</f>
        <v>BRIAN BILLIY ZADAH</v>
      </c>
      <c r="C48" s="38">
        <f>IFERROR(__xludf.DUMMYFUNCTION("""COMPUTED_VALUE"""),2.025070624E9)</f>
        <v>2025070624</v>
      </c>
      <c r="D48" s="37" t="str">
        <f>IFERROR(__xludf.DUMMYFUNCTION("""COMPUTED_VALUE"""),"EFAN ISWANDI")</f>
        <v>EFAN ISWANDI</v>
      </c>
      <c r="E48" s="37" t="str">
        <f>IFERROR(__xludf.DUMMYFUNCTION("""COMPUTED_VALUE"""),"LISMA DWI PRASASTI")</f>
        <v>LISMA DWI PRASASTI</v>
      </c>
      <c r="F48" s="37" t="str">
        <f>IFERROR(__xludf.DUMMYFUNCTION("""COMPUTED_VALUE"""),"PADENGANPLOSO RT 012 RW 001 PUCUK LAMONGAN")</f>
        <v>PADENGANPLOSO RT 012 RW 001 PUCUK LAMONGAN</v>
      </c>
      <c r="G48" s="39" t="str">
        <f>IFERROR(__xludf.DUMMYFUNCTION("""COMPUTED_VALUE"""),"MTS-8 E")</f>
        <v>MTS-8 E</v>
      </c>
      <c r="H48" s="36" t="str">
        <f>IFERROR(__xludf.DUMMYFUNCTION("""COMPUTED_VALUE"""),"A")</f>
        <v>A</v>
      </c>
      <c r="I48" s="40" t="str">
        <f>IFERROR(__xludf.DUMMYFUNCTION("""COMPUTED_VALUE"""),"A-3")</f>
        <v>A-3</v>
      </c>
      <c r="J48" s="40">
        <f>IFERROR(__xludf.DUMMYFUNCTION("""COMPUTED_VALUE"""),2.0)</f>
        <v>2</v>
      </c>
      <c r="K48" s="40" t="str">
        <f>IFERROR(__xludf.DUMMYFUNCTION("""COMPUTED_VALUE"""),"2 ULA A PUTRA")</f>
        <v>2 ULA A PUTRA</v>
      </c>
      <c r="L48" s="41" t="str">
        <f>IFERROR(__xludf.DUMMYFUNCTION("""COMPUTED_VALUE"""),"6281333533845")</f>
        <v>6281333533845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42"/>
      <c r="AD48" s="42"/>
      <c r="AE48" s="43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3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42"/>
      <c r="BH48" s="42"/>
      <c r="BI48" s="42"/>
      <c r="BJ48" s="45"/>
      <c r="BK48" s="45"/>
      <c r="BL48" s="45"/>
      <c r="BM48" s="45"/>
      <c r="BN48" s="45"/>
      <c r="BO48" s="46"/>
    </row>
    <row r="49">
      <c r="A49" s="47">
        <f>IFERROR(__xludf.DUMMYFUNCTION("""COMPUTED_VALUE"""),48.0)</f>
        <v>48</v>
      </c>
      <c r="B49" s="48" t="str">
        <f>IFERROR(__xludf.DUMMYFUNCTION("""COMPUTED_VALUE"""),"DAVID ELBERTA PRAKASA")</f>
        <v>DAVID ELBERTA PRAKASA</v>
      </c>
      <c r="C49" s="49">
        <f>IFERROR(__xludf.DUMMYFUNCTION("""COMPUTED_VALUE"""),2.025070603E9)</f>
        <v>2025070603</v>
      </c>
      <c r="D49" s="48" t="str">
        <f>IFERROR(__xludf.DUMMYFUNCTION("""COMPUTED_VALUE"""),"ROCHMAN")</f>
        <v>ROCHMAN</v>
      </c>
      <c r="E49" s="48" t="str">
        <f>IFERROR(__xludf.DUMMYFUNCTION("""COMPUTED_VALUE"""),"SUMIATI")</f>
        <v>SUMIATI</v>
      </c>
      <c r="F49" s="48" t="str">
        <f>IFERROR(__xludf.DUMMYFUNCTION("""COMPUTED_VALUE"""),"MOROGO PUTATKUMPUL RT 006 RW 005 TURI LAMONGAN")</f>
        <v>MOROGO PUTATKUMPUL RT 006 RW 005 TURI LAMONGAN</v>
      </c>
      <c r="G49" s="50" t="str">
        <f>IFERROR(__xludf.DUMMYFUNCTION("""COMPUTED_VALUE"""),"MTS-8 F")</f>
        <v>MTS-8 F</v>
      </c>
      <c r="H49" s="47" t="str">
        <f>IFERROR(__xludf.DUMMYFUNCTION("""COMPUTED_VALUE"""),"A")</f>
        <v>A</v>
      </c>
      <c r="I49" s="51" t="str">
        <f>IFERROR(__xludf.DUMMYFUNCTION("""COMPUTED_VALUE"""),"A-3")</f>
        <v>A-3</v>
      </c>
      <c r="J49" s="51">
        <f>IFERROR(__xludf.DUMMYFUNCTION("""COMPUTED_VALUE"""),2.0)</f>
        <v>2</v>
      </c>
      <c r="K49" s="51" t="str">
        <f>IFERROR(__xludf.DUMMYFUNCTION("""COMPUTED_VALUE"""),"2 ULA A PUTRA")</f>
        <v>2 ULA A PUTRA</v>
      </c>
      <c r="L49" s="52" t="str">
        <f>IFERROR(__xludf.DUMMYFUNCTION("""COMPUTED_VALUE"""),"6285150634655")</f>
        <v>6285150634655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4"/>
      <c r="X49" s="54"/>
      <c r="Y49" s="54"/>
      <c r="Z49" s="54"/>
      <c r="AA49" s="54"/>
      <c r="AB49" s="54">
        <f>IFERROR(__xludf.DUMMYFUNCTION("""COMPUTED_VALUE"""),500000.0)</f>
        <v>500000</v>
      </c>
      <c r="AC49" s="54"/>
      <c r="AD49" s="54"/>
      <c r="AE49" s="54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4">
        <f>IFERROR(__xludf.DUMMYFUNCTION("""COMPUTED_VALUE"""),500000.0)</f>
        <v>500000</v>
      </c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IFERROR(__xludf.DUMMYFUNCTION("""COMPUTED_VALUE"""),0.0)</f>
        <v>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IFERROR(__xludf.DUMMYFUNCTION("""COMPUTED_VALUE"""),1000000.0)</f>
        <v>1000000</v>
      </c>
      <c r="BG49" s="53"/>
      <c r="BH49" s="53"/>
      <c r="BI49" s="53"/>
      <c r="BJ49" s="45"/>
      <c r="BK49" s="45"/>
      <c r="BL49" s="45"/>
      <c r="BM49" s="45"/>
      <c r="BN49" s="45"/>
      <c r="BO49" s="46"/>
    </row>
    <row r="50">
      <c r="A50" s="36">
        <f>IFERROR(__xludf.DUMMYFUNCTION("""COMPUTED_VALUE"""),49.0)</f>
        <v>49</v>
      </c>
      <c r="B50" s="37" t="str">
        <f>IFERROR(__xludf.DUMMYFUNCTION("""COMPUTED_VALUE"""),"FAIRUS ALFIAN ALBAIHAQI")</f>
        <v>FAIRUS ALFIAN ALBAIHAQI</v>
      </c>
      <c r="C50" s="38">
        <f>IFERROR(__xludf.DUMMYFUNCTION("""COMPUTED_VALUE"""),2.025070594E9)</f>
        <v>2025070594</v>
      </c>
      <c r="D50" s="37" t="str">
        <f>IFERROR(__xludf.DUMMYFUNCTION("""COMPUTED_VALUE"""),"ANDIS EKO IRAWAN")</f>
        <v>ANDIS EKO IRAWAN</v>
      </c>
      <c r="E50" s="37" t="str">
        <f>IFERROR(__xludf.DUMMYFUNCTION("""COMPUTED_VALUE"""),"UMANI WULANDARI")</f>
        <v>UMANI WULANDARI</v>
      </c>
      <c r="F50" s="37" t="str">
        <f>IFERROR(__xludf.DUMMYFUNCTION("""COMPUTED_VALUE"""),"KLAMPIS BANJAREJO RT 001 RW 006 KARANGBINANGUN LAMONGAN")</f>
        <v>KLAMPIS BANJAREJO RT 001 RW 006 KARANGBINANGUN LAMONGAN</v>
      </c>
      <c r="G50" s="39" t="str">
        <f>IFERROR(__xludf.DUMMYFUNCTION("""COMPUTED_VALUE"""),"MTS-8 A")</f>
        <v>MTS-8 A</v>
      </c>
      <c r="H50" s="36" t="str">
        <f>IFERROR(__xludf.DUMMYFUNCTION("""COMPUTED_VALUE"""),"A")</f>
        <v>A</v>
      </c>
      <c r="I50" s="40" t="str">
        <f>IFERROR(__xludf.DUMMYFUNCTION("""COMPUTED_VALUE"""),"A-13")</f>
        <v>A-13</v>
      </c>
      <c r="J50" s="40">
        <f>IFERROR(__xludf.DUMMYFUNCTION("""COMPUTED_VALUE"""),2.0)</f>
        <v>2</v>
      </c>
      <c r="K50" s="40" t="str">
        <f>IFERROR(__xludf.DUMMYFUNCTION("""COMPUTED_VALUE"""),"2 ULA A PUTRA")</f>
        <v>2 ULA A PUTRA</v>
      </c>
      <c r="L50" s="41" t="str">
        <f>IFERROR(__xludf.DUMMYFUNCTION("""COMPUTED_VALUE"""),"6283161806155")</f>
        <v>6283161806155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>
        <f>IFERROR(__xludf.DUMMYFUNCTION("""COMPUTED_VALUE"""),500000.0)</f>
        <v>500000</v>
      </c>
      <c r="AC50" s="42"/>
      <c r="AD50" s="42"/>
      <c r="AE50" s="43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IFERROR(__xludf.DUMMYFUNCTION("""COMPUTED_VALUE"""),1000000.0)</f>
        <v>1000000</v>
      </c>
      <c r="BE50" s="43">
        <f>IFERROR(__xludf.DUMMYFUNCTION("""COMPUTED_VALUE"""),0.0)</f>
        <v>0</v>
      </c>
      <c r="BF50" s="44">
        <f>IFERROR(__xludf.DUMMYFUNCTION("""COMPUTED_VALUE"""),1000000.0)</f>
        <v>1000000</v>
      </c>
      <c r="BG50" s="42"/>
      <c r="BH50" s="42"/>
      <c r="BI50" s="42"/>
      <c r="BJ50" s="45"/>
      <c r="BK50" s="45"/>
      <c r="BL50" s="45"/>
      <c r="BM50" s="45"/>
      <c r="BN50" s="45"/>
      <c r="BO50" s="46"/>
    </row>
    <row r="51">
      <c r="A51" s="47">
        <f>IFERROR(__xludf.DUMMYFUNCTION("""COMPUTED_VALUE"""),50.0)</f>
        <v>50</v>
      </c>
      <c r="B51" s="48" t="str">
        <f>IFERROR(__xludf.DUMMYFUNCTION("""COMPUTED_VALUE"""),"FAREL YOGI MAHARDIKA")</f>
        <v>FAREL YOGI MAHARDIKA</v>
      </c>
      <c r="C51" s="49">
        <f>IFERROR(__xludf.DUMMYFUNCTION("""COMPUTED_VALUE"""),2.025070499E9)</f>
        <v>2025070499</v>
      </c>
      <c r="D51" s="48" t="str">
        <f>IFERROR(__xludf.DUMMYFUNCTION("""COMPUTED_VALUE"""),"HERU SUSANTO")</f>
        <v>HERU SUSANTO</v>
      </c>
      <c r="E51" s="48" t="str">
        <f>IFERROR(__xludf.DUMMYFUNCTION("""COMPUTED_VALUE"""),"RINI ASTUTIK")</f>
        <v>RINI ASTUTIK</v>
      </c>
      <c r="F51" s="48" t="str">
        <f>IFERROR(__xludf.DUMMYFUNCTION("""COMPUTED_VALUE"""),"GENTING TAMBAK DALAM NO. 200 RT 004 RW 002 ASEMROWO SURABAYA")</f>
        <v>GENTING TAMBAK DALAM NO. 200 RT 004 RW 002 ASEMROWO SURABAYA</v>
      </c>
      <c r="G51" s="50" t="str">
        <f>IFERROR(__xludf.DUMMYFUNCTION("""COMPUTED_VALUE"""),"MTS-8 B")</f>
        <v>MTS-8 B</v>
      </c>
      <c r="H51" s="47" t="str">
        <f>IFERROR(__xludf.DUMMYFUNCTION("""COMPUTED_VALUE"""),"A")</f>
        <v>A</v>
      </c>
      <c r="I51" s="51" t="str">
        <f>IFERROR(__xludf.DUMMYFUNCTION("""COMPUTED_VALUE"""),"A-3")</f>
        <v>A-3</v>
      </c>
      <c r="J51" s="51">
        <f>IFERROR(__xludf.DUMMYFUNCTION("""COMPUTED_VALUE"""),2.0)</f>
        <v>2</v>
      </c>
      <c r="K51" s="51" t="str">
        <f>IFERROR(__xludf.DUMMYFUNCTION("""COMPUTED_VALUE"""),"2 ULA A PUTRA")</f>
        <v>2 ULA A PUTRA</v>
      </c>
      <c r="L51" s="52" t="str">
        <f>IFERROR(__xludf.DUMMYFUNCTION("""COMPUTED_VALUE"""),"6281333110186")</f>
        <v>6281333110186</v>
      </c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4"/>
      <c r="AB51" s="54"/>
      <c r="AC51" s="53"/>
      <c r="AD51" s="53"/>
      <c r="AE51" s="54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4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IFERROR(__xludf.DUMMYFUNCTION("""COMPUTED_VALUE"""),0.0)</f>
        <v>0</v>
      </c>
      <c r="BD51" s="54">
        <f>IFERROR(__xludf.DUMMYFUNCTION("""COMPUTED_VALUE"""),0.0)</f>
        <v>0</v>
      </c>
      <c r="BE51" s="54">
        <f>IFERROR(__xludf.DUMMYFUNCTION("""COMPUTED_VALUE"""),0.0)</f>
        <v>0</v>
      </c>
      <c r="BF51" s="55">
        <f>IFERROR(__xludf.DUMMYFUNCTION("""COMPUTED_VALUE"""),0.0)</f>
        <v>0</v>
      </c>
      <c r="BG51" s="53"/>
      <c r="BH51" s="53"/>
      <c r="BI51" s="53"/>
      <c r="BJ51" s="45"/>
      <c r="BK51" s="45"/>
      <c r="BL51" s="45"/>
      <c r="BM51" s="45"/>
      <c r="BN51" s="45"/>
      <c r="BO51" s="46"/>
    </row>
    <row r="52">
      <c r="A52" s="36">
        <f>IFERROR(__xludf.DUMMYFUNCTION("""COMPUTED_VALUE"""),51.0)</f>
        <v>51</v>
      </c>
      <c r="B52" s="37" t="str">
        <f>IFERROR(__xludf.DUMMYFUNCTION("""COMPUTED_VALUE"""),"FARIEL DWI NUGROHO")</f>
        <v>FARIEL DWI NUGROHO</v>
      </c>
      <c r="C52" s="38">
        <f>IFERROR(__xludf.DUMMYFUNCTION("""COMPUTED_VALUE"""),2.025070648E9)</f>
        <v>2025070648</v>
      </c>
      <c r="D52" s="37" t="str">
        <f>IFERROR(__xludf.DUMMYFUNCTION("""COMPUTED_VALUE"""),"MUASAN")</f>
        <v>MUASAN</v>
      </c>
      <c r="E52" s="37" t="str">
        <f>IFERROR(__xludf.DUMMYFUNCTION("""COMPUTED_VALUE"""),"SAMSIATUR ROCHMI")</f>
        <v>SAMSIATUR ROCHMI</v>
      </c>
      <c r="F52" s="37" t="str">
        <f>IFERROR(__xludf.DUMMYFUNCTION("""COMPUTED_VALUE"""),"APEL TUNJUNGMEKAR RT 001 RW 003 KALITENGAH LAMONGAN")</f>
        <v>APEL TUNJUNGMEKAR RT 001 RW 003 KALITENGAH LAMONGAN</v>
      </c>
      <c r="G52" s="39" t="str">
        <f>IFERROR(__xludf.DUMMYFUNCTION("""COMPUTED_VALUE"""),"MTS-8 F")</f>
        <v>MTS-8 F</v>
      </c>
      <c r="H52" s="36" t="str">
        <f>IFERROR(__xludf.DUMMYFUNCTION("""COMPUTED_VALUE"""),"A")</f>
        <v>A</v>
      </c>
      <c r="I52" s="40" t="str">
        <f>IFERROR(__xludf.DUMMYFUNCTION("""COMPUTED_VALUE"""),"A-1")</f>
        <v>A-1</v>
      </c>
      <c r="J52" s="40">
        <f>IFERROR(__xludf.DUMMYFUNCTION("""COMPUTED_VALUE"""),2.0)</f>
        <v>2</v>
      </c>
      <c r="K52" s="40" t="str">
        <f>IFERROR(__xludf.DUMMYFUNCTION("""COMPUTED_VALUE"""),"2 ULA B PUTRA")</f>
        <v>2 ULA B PUTRA</v>
      </c>
      <c r="L52" s="41" t="str">
        <f>IFERROR(__xludf.DUMMYFUNCTION("""COMPUTED_VALUE"""),"6281532827112")</f>
        <v>6281532827112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3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3">
        <f>IFERROR(__xludf.DUMMYFUNCTION("""COMPUTED_VALUE"""),500000.0)</f>
        <v>500000</v>
      </c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IFERROR(__xludf.DUMMYFUNCTION("""COMPUTED_VALUE"""),500000.0)</f>
        <v>500000</v>
      </c>
      <c r="BE52" s="43">
        <f>IFERROR(__xludf.DUMMYFUNCTION("""COMPUTED_VALUE"""),0.0)</f>
        <v>0</v>
      </c>
      <c r="BF52" s="44">
        <f>IFERROR(__xludf.DUMMYFUNCTION("""COMPUTED_VALUE"""),500000.0)</f>
        <v>500000</v>
      </c>
      <c r="BG52" s="42"/>
      <c r="BH52" s="42"/>
      <c r="BI52" s="42"/>
      <c r="BJ52" s="45"/>
      <c r="BK52" s="45"/>
      <c r="BL52" s="45"/>
      <c r="BM52" s="45"/>
      <c r="BN52" s="45"/>
      <c r="BO52" s="46"/>
    </row>
    <row r="53">
      <c r="A53" s="47">
        <f>IFERROR(__xludf.DUMMYFUNCTION("""COMPUTED_VALUE"""),52.0)</f>
        <v>52</v>
      </c>
      <c r="B53" s="48" t="str">
        <f>IFERROR(__xludf.DUMMYFUNCTION("""COMPUTED_VALUE"""),"FAUZAN ZAKARIA FIRDAUS")</f>
        <v>FAUZAN ZAKARIA FIRDAUS</v>
      </c>
      <c r="C53" s="49">
        <f>IFERROR(__xludf.DUMMYFUNCTION("""COMPUTED_VALUE"""),2.02507035E9)</f>
        <v>2025070350</v>
      </c>
      <c r="D53" s="48" t="str">
        <f>IFERROR(__xludf.DUMMYFUNCTION("""COMPUTED_VALUE"""),"KAMAT")</f>
        <v>KAMAT</v>
      </c>
      <c r="E53" s="48" t="str">
        <f>IFERROR(__xludf.DUMMYFUNCTION("""COMPUTED_VALUE"""),"TAMBIYAH")</f>
        <v>TAMBIYAH</v>
      </c>
      <c r="F53" s="48" t="str">
        <f>IFERROR(__xludf.DUMMYFUNCTION("""COMPUTED_VALUE"""),"PELABUHAN RT 001 RW 005 JETIS MOJOKERTO")</f>
        <v>PELABUHAN RT 001 RW 005 JETIS MOJOKERTO</v>
      </c>
      <c r="G53" s="50" t="str">
        <f>IFERROR(__xludf.DUMMYFUNCTION("""COMPUTED_VALUE"""),"MA-XI.13")</f>
        <v>MA-XI.13</v>
      </c>
      <c r="H53" s="47" t="str">
        <f>IFERROR(__xludf.DUMMYFUNCTION("""COMPUTED_VALUE"""),"A")</f>
        <v>A</v>
      </c>
      <c r="I53" s="51" t="str">
        <f>IFERROR(__xludf.DUMMYFUNCTION("""COMPUTED_VALUE"""),"A-2")</f>
        <v>A-2</v>
      </c>
      <c r="J53" s="51">
        <f>IFERROR(__xludf.DUMMYFUNCTION("""COMPUTED_VALUE"""),2.0)</f>
        <v>2</v>
      </c>
      <c r="K53" s="51" t="str">
        <f>IFERROR(__xludf.DUMMYFUNCTION("""COMPUTED_VALUE"""),"2 MAK PUTRA")</f>
        <v>2 MAK PUTRA</v>
      </c>
      <c r="L53" s="52" t="str">
        <f>IFERROR(__xludf.DUMMYFUNCTION("""COMPUTED_VALUE"""),"6285649576786")</f>
        <v>6285649576786</v>
      </c>
      <c r="M53" s="53"/>
      <c r="N53" s="53">
        <f>IFERROR(__xludf.DUMMYFUNCTION("""COMPUTED_VALUE"""),200000.0)</f>
        <v>200000</v>
      </c>
      <c r="O53" s="53">
        <f>IFERROR(__xludf.DUMMYFUNCTION("""COMPUTED_VALUE"""),450000.0)</f>
        <v>450000</v>
      </c>
      <c r="P53" s="53">
        <f>IFERROR(__xludf.DUMMYFUNCTION("""COMPUTED_VALUE"""),450000.0)</f>
        <v>450000</v>
      </c>
      <c r="Q53" s="53">
        <f>IFERROR(__xludf.DUMMYFUNCTION("""COMPUTED_VALUE"""),450000.0)</f>
        <v>450000</v>
      </c>
      <c r="R53" s="53">
        <f>IFERROR(__xludf.DUMMYFUNCTION("""COMPUTED_VALUE"""),450000.0)</f>
        <v>450000</v>
      </c>
      <c r="S53" s="53">
        <f>IFERROR(__xludf.DUMMYFUNCTION("""COMPUTED_VALUE"""),450000.0)</f>
        <v>450000</v>
      </c>
      <c r="T53" s="53">
        <f>IFERROR(__xludf.DUMMYFUNCTION("""COMPUTED_VALUE"""),450000.0)</f>
        <v>450000</v>
      </c>
      <c r="U53" s="53">
        <f>IFERROR(__xludf.DUMMYFUNCTION("""COMPUTED_VALUE"""),450000.0)</f>
        <v>450000</v>
      </c>
      <c r="V53" s="53">
        <f>IFERROR(__xludf.DUMMYFUNCTION("""COMPUTED_VALUE"""),450000.0)</f>
        <v>450000</v>
      </c>
      <c r="W53" s="53">
        <f>IFERROR(__xludf.DUMMYFUNCTION("""COMPUTED_VALUE"""),450000.0)</f>
        <v>450000</v>
      </c>
      <c r="X53" s="53">
        <f>IFERROR(__xludf.DUMMYFUNCTION("""COMPUTED_VALUE"""),450000.0)</f>
        <v>450000</v>
      </c>
      <c r="Y53" s="53">
        <f>IFERROR(__xludf.DUMMYFUNCTION("""COMPUTED_VALUE"""),450000.0)</f>
        <v>450000</v>
      </c>
      <c r="Z53" s="53">
        <f>IFERROR(__xludf.DUMMYFUNCTION("""COMPUTED_VALUE"""),450000.0)</f>
        <v>450000</v>
      </c>
      <c r="AA53" s="53"/>
      <c r="AB53" s="53"/>
      <c r="AC53" s="53"/>
      <c r="AD53" s="53"/>
      <c r="AE53" s="54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IFERROR(__xludf.DUMMYFUNCTION("""COMPUTED_VALUE"""),5400000.0)</f>
        <v>5400000</v>
      </c>
      <c r="BD53" s="54">
        <f>IFERROR(__xludf.DUMMYFUNCTION("""COMPUTED_VALUE"""),0.0)</f>
        <v>0</v>
      </c>
      <c r="BE53" s="54">
        <f>IFERROR(__xludf.DUMMYFUNCTION("""COMPUTED_VALUE"""),0.0)</f>
        <v>0</v>
      </c>
      <c r="BF53" s="55">
        <f>IFERROR(__xludf.DUMMYFUNCTION("""COMPUTED_VALUE"""),5400000.0)</f>
        <v>5400000</v>
      </c>
      <c r="BG53" s="53"/>
      <c r="BH53" s="53"/>
      <c r="BI53" s="53"/>
      <c r="BJ53" s="45"/>
      <c r="BK53" s="45"/>
      <c r="BL53" s="45"/>
      <c r="BM53" s="45"/>
      <c r="BN53" s="45"/>
      <c r="BO53" s="46"/>
    </row>
    <row r="54">
      <c r="A54" s="36">
        <f>IFERROR(__xludf.DUMMYFUNCTION("""COMPUTED_VALUE"""),53.0)</f>
        <v>53</v>
      </c>
      <c r="B54" s="37" t="str">
        <f>IFERROR(__xludf.DUMMYFUNCTION("""COMPUTED_VALUE"""),"GALVIN UNA ROMAN SANDI")</f>
        <v>GALVIN UNA ROMAN SANDI</v>
      </c>
      <c r="C54" s="38">
        <f>IFERROR(__xludf.DUMMYFUNCTION("""COMPUTED_VALUE"""),2.025070646E9)</f>
        <v>2025070646</v>
      </c>
      <c r="D54" s="37" t="str">
        <f>IFERROR(__xludf.DUMMYFUNCTION("""COMPUTED_VALUE"""),"SUWANDI")</f>
        <v>SUWANDI</v>
      </c>
      <c r="E54" s="37" t="str">
        <f>IFERROR(__xludf.DUMMYFUNCTION("""COMPUTED_VALUE"""),"SRINI ROKAYAH")</f>
        <v>SRINI ROKAYAH</v>
      </c>
      <c r="F54" s="37" t="str">
        <f>IFERROR(__xludf.DUMMYFUNCTION("""COMPUTED_VALUE"""),"PENGANGSALAN RT 001 RW 002 KALITENGAH LAMONGAN")</f>
        <v>PENGANGSALAN RT 001 RW 002 KALITENGAH LAMONGAN</v>
      </c>
      <c r="G54" s="39" t="str">
        <f>IFERROR(__xludf.DUMMYFUNCTION("""COMPUTED_VALUE"""),"MTS-8 D")</f>
        <v>MTS-8 D</v>
      </c>
      <c r="H54" s="36" t="str">
        <f>IFERROR(__xludf.DUMMYFUNCTION("""COMPUTED_VALUE"""),"A")</f>
        <v>A</v>
      </c>
      <c r="I54" s="40" t="str">
        <f>IFERROR(__xludf.DUMMYFUNCTION("""COMPUTED_VALUE"""),"A-3")</f>
        <v>A-3</v>
      </c>
      <c r="J54" s="40">
        <f>IFERROR(__xludf.DUMMYFUNCTION("""COMPUTED_VALUE"""),2.0)</f>
        <v>2</v>
      </c>
      <c r="K54" s="40" t="str">
        <f>IFERROR(__xludf.DUMMYFUNCTION("""COMPUTED_VALUE"""),"2 ULA B PUTRA")</f>
        <v>2 ULA B PUTRA</v>
      </c>
      <c r="L54" s="41" t="str">
        <f>IFERROR(__xludf.DUMMYFUNCTION("""COMPUTED_VALUE"""),"6285648208817")</f>
        <v>6285648208817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>
        <f>IFERROR(__xludf.DUMMYFUNCTION("""COMPUTED_VALUE"""),450000.0)</f>
        <v>450000</v>
      </c>
      <c r="Z54" s="42">
        <f>IFERROR(__xludf.DUMMYFUNCTION("""COMPUTED_VALUE"""),450000.0)</f>
        <v>450000</v>
      </c>
      <c r="AA54" s="42"/>
      <c r="AB54" s="43">
        <f>IFERROR(__xludf.DUMMYFUNCTION("""COMPUTED_VALUE"""),500000.0)</f>
        <v>500000</v>
      </c>
      <c r="AC54" s="42"/>
      <c r="AD54" s="42"/>
      <c r="AE54" s="43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3">
        <f>IFERROR(__xludf.DUMMYFUNCTION("""COMPUTED_VALUE"""),500000.0)</f>
        <v>500000</v>
      </c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IFERROR(__xludf.DUMMYFUNCTION("""COMPUTED_VALUE"""),900000.0)</f>
        <v>900000</v>
      </c>
      <c r="BD54" s="43">
        <f>IFERROR(__xludf.DUMMYFUNCTION("""COMPUTED_VALUE"""),1000000.0)</f>
        <v>1000000</v>
      </c>
      <c r="BE54" s="43">
        <f>IFERROR(__xludf.DUMMYFUNCTION("""COMPUTED_VALUE"""),0.0)</f>
        <v>0</v>
      </c>
      <c r="BF54" s="44">
        <f>IFERROR(__xludf.DUMMYFUNCTION("""COMPUTED_VALUE"""),1900000.0)</f>
        <v>1900000</v>
      </c>
      <c r="BG54" s="42"/>
      <c r="BH54" s="42"/>
      <c r="BI54" s="42"/>
      <c r="BJ54" s="45"/>
      <c r="BK54" s="45"/>
      <c r="BL54" s="45"/>
      <c r="BM54" s="45"/>
      <c r="BN54" s="45"/>
      <c r="BO54" s="46"/>
    </row>
    <row r="55">
      <c r="A55" s="47">
        <f>IFERROR(__xludf.DUMMYFUNCTION("""COMPUTED_VALUE"""),54.0)</f>
        <v>54</v>
      </c>
      <c r="B55" s="48" t="str">
        <f>IFERROR(__xludf.DUMMYFUNCTION("""COMPUTED_VALUE"""),"GAVIN DARREL ZYWANTA")</f>
        <v>GAVIN DARREL ZYWANTA</v>
      </c>
      <c r="C55" s="49">
        <f>IFERROR(__xludf.DUMMYFUNCTION("""COMPUTED_VALUE"""),2.025070528E9)</f>
        <v>2025070528</v>
      </c>
      <c r="D55" s="48" t="str">
        <f>IFERROR(__xludf.DUMMYFUNCTION("""COMPUTED_VALUE"""),"HERU SETIYAWAN")</f>
        <v>HERU SETIYAWAN</v>
      </c>
      <c r="E55" s="48" t="str">
        <f>IFERROR(__xludf.DUMMYFUNCTION("""COMPUTED_VALUE"""),"UMZILAH")</f>
        <v>UMZILAH</v>
      </c>
      <c r="F55" s="48" t="str">
        <f>IFERROR(__xludf.DUMMYFUNCTION("""COMPUTED_VALUE"""),"WATANGAN WATANGPANJANG RT 002 RW 002 KARANGBINANGUN LAMONGAN")</f>
        <v>WATANGAN WATANGPANJANG RT 002 RW 002 KARANGBINANGUN LAMONGAN</v>
      </c>
      <c r="G55" s="50" t="str">
        <f>IFERROR(__xludf.DUMMYFUNCTION("""COMPUTED_VALUE"""),"MTS-8 C")</f>
        <v>MTS-8 C</v>
      </c>
      <c r="H55" s="47" t="str">
        <f>IFERROR(__xludf.DUMMYFUNCTION("""COMPUTED_VALUE"""),"A")</f>
        <v>A</v>
      </c>
      <c r="I55" s="51" t="str">
        <f>IFERROR(__xludf.DUMMYFUNCTION("""COMPUTED_VALUE"""),"A-1")</f>
        <v>A-1</v>
      </c>
      <c r="J55" s="51">
        <f>IFERROR(__xludf.DUMMYFUNCTION("""COMPUTED_VALUE"""),2.0)</f>
        <v>2</v>
      </c>
      <c r="K55" s="51" t="str">
        <f>IFERROR(__xludf.DUMMYFUNCTION("""COMPUTED_VALUE"""),"2 ULA B PUTRA")</f>
        <v>2 ULA B PUTRA</v>
      </c>
      <c r="L55" s="52" t="str">
        <f>IFERROR(__xludf.DUMMYFUNCTION("""COMPUTED_VALUE"""),"6281515528147")</f>
        <v>6281515528147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4">
        <f>IFERROR(__xludf.DUMMYFUNCTION("""COMPUTED_VALUE"""),500000.0)</f>
        <v>500000</v>
      </c>
      <c r="AC55" s="53"/>
      <c r="AD55" s="54"/>
      <c r="AE55" s="54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4">
        <f>IFERROR(__xludf.DUMMYFUNCTION("""COMPUTED_VALUE"""),500000.0)</f>
        <v>500000</v>
      </c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IFERROR(__xludf.DUMMYFUNCTION("""COMPUTED_VALUE"""),0.0)</f>
        <v>0</v>
      </c>
      <c r="BD55" s="54">
        <f>IFERROR(__xludf.DUMMYFUNCTION("""COMPUTED_VALUE"""),1000000.0)</f>
        <v>1000000</v>
      </c>
      <c r="BE55" s="54">
        <f>IFERROR(__xludf.DUMMYFUNCTION("""COMPUTED_VALUE"""),0.0)</f>
        <v>0</v>
      </c>
      <c r="BF55" s="55">
        <f>IFERROR(__xludf.DUMMYFUNCTION("""COMPUTED_VALUE"""),1000000.0)</f>
        <v>1000000</v>
      </c>
      <c r="BG55" s="53"/>
      <c r="BH55" s="53"/>
      <c r="BI55" s="53"/>
      <c r="BJ55" s="45"/>
      <c r="BK55" s="45"/>
      <c r="BL55" s="45"/>
      <c r="BM55" s="45"/>
      <c r="BN55" s="45"/>
      <c r="BO55" s="46"/>
    </row>
    <row r="56">
      <c r="A56" s="36">
        <f>IFERROR(__xludf.DUMMYFUNCTION("""COMPUTED_VALUE"""),55.0)</f>
        <v>55</v>
      </c>
      <c r="B56" s="37" t="str">
        <f>IFERROR(__xludf.DUMMYFUNCTION("""COMPUTED_VALUE"""),"GHULAM AURELIO BHADRIKA")</f>
        <v>GHULAM AURELIO BHADRIKA</v>
      </c>
      <c r="C56" s="38">
        <f>IFERROR(__xludf.DUMMYFUNCTION("""COMPUTED_VALUE"""),2.025070553E9)</f>
        <v>2025070553</v>
      </c>
      <c r="D56" s="37" t="str">
        <f>IFERROR(__xludf.DUMMYFUNCTION("""COMPUTED_VALUE"""),"HAMID ARIF")</f>
        <v>HAMID ARIF</v>
      </c>
      <c r="E56" s="37" t="str">
        <f>IFERROR(__xludf.DUMMYFUNCTION("""COMPUTED_VALUE"""),"SEPTINING WULANDARI")</f>
        <v>SEPTINING WULANDARI</v>
      </c>
      <c r="F56" s="37" t="str">
        <f>IFERROR(__xludf.DUMMYFUNCTION("""COMPUTED_VALUE"""),"TANJUNG RT 001 RW 002 LAMONGAN LAMONGAN")</f>
        <v>TANJUNG RT 001 RW 002 LAMONGAN LAMONGAN</v>
      </c>
      <c r="G56" s="39" t="str">
        <f>IFERROR(__xludf.DUMMYFUNCTION("""COMPUTED_VALUE"""),"MTS-8 F")</f>
        <v>MTS-8 F</v>
      </c>
      <c r="H56" s="36" t="str">
        <f>IFERROR(__xludf.DUMMYFUNCTION("""COMPUTED_VALUE"""),"A")</f>
        <v>A</v>
      </c>
      <c r="I56" s="40" t="str">
        <f>IFERROR(__xludf.DUMMYFUNCTION("""COMPUTED_VALUE"""),"A-1")</f>
        <v>A-1</v>
      </c>
      <c r="J56" s="40">
        <f>IFERROR(__xludf.DUMMYFUNCTION("""COMPUTED_VALUE"""),2.0)</f>
        <v>2</v>
      </c>
      <c r="K56" s="40" t="str">
        <f>IFERROR(__xludf.DUMMYFUNCTION("""COMPUTED_VALUE"""),"2 ULA B PUTRA")</f>
        <v>2 ULA B PUTRA</v>
      </c>
      <c r="L56" s="41" t="str">
        <f>IFERROR(__xludf.DUMMYFUNCTION("""COMPUTED_VALUE"""),"628561750784")</f>
        <v>628561750784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>
        <f>IFERROR(__xludf.DUMMYFUNCTION("""COMPUTED_VALUE"""),500000.0)</f>
        <v>500000</v>
      </c>
      <c r="AC56" s="42"/>
      <c r="AD56" s="42"/>
      <c r="AE56" s="43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3">
        <f>IFERROR(__xludf.DUMMYFUNCTION("""COMPUTED_VALUE"""),500000.0)</f>
        <v>500000</v>
      </c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IFERROR(__xludf.DUMMYFUNCTION("""COMPUTED_VALUE"""),0.0)</f>
        <v>0</v>
      </c>
      <c r="BD56" s="43">
        <f>IFERROR(__xludf.DUMMYFUNCTION("""COMPUTED_VALUE"""),1000000.0)</f>
        <v>1000000</v>
      </c>
      <c r="BE56" s="43">
        <f>IFERROR(__xludf.DUMMYFUNCTION("""COMPUTED_VALUE"""),0.0)</f>
        <v>0</v>
      </c>
      <c r="BF56" s="44">
        <f>IFERROR(__xludf.DUMMYFUNCTION("""COMPUTED_VALUE"""),1000000.0)</f>
        <v>1000000</v>
      </c>
      <c r="BG56" s="42"/>
      <c r="BH56" s="42"/>
      <c r="BI56" s="42"/>
      <c r="BJ56" s="45"/>
      <c r="BK56" s="45"/>
      <c r="BL56" s="45"/>
      <c r="BM56" s="45"/>
      <c r="BN56" s="45"/>
      <c r="BO56" s="46"/>
    </row>
    <row r="57">
      <c r="A57" s="47">
        <f>IFERROR(__xludf.DUMMYFUNCTION("""COMPUTED_VALUE"""),56.0)</f>
        <v>56</v>
      </c>
      <c r="B57" s="48" t="str">
        <f>IFERROR(__xludf.DUMMYFUNCTION("""COMPUTED_VALUE"""),"HABIBAULLAH ZADAH VARIAN")</f>
        <v>HABIBAULLAH ZADAH VARIAN</v>
      </c>
      <c r="C57" s="49">
        <f>IFERROR(__xludf.DUMMYFUNCTION("""COMPUTED_VALUE"""),2.025070652E9)</f>
        <v>2025070652</v>
      </c>
      <c r="D57" s="48" t="str">
        <f>IFERROR(__xludf.DUMMYFUNCTION("""COMPUTED_VALUE"""),"A. KHARIS. R")</f>
        <v>A. KHARIS. R</v>
      </c>
      <c r="E57" s="48" t="str">
        <f>IFERROR(__xludf.DUMMYFUNCTION("""COMPUTED_VALUE"""),"INTAN DWI SATRIYA")</f>
        <v>INTAN DWI SATRIYA</v>
      </c>
      <c r="F57" s="48" t="str">
        <f>IFERROR(__xludf.DUMMYFUNCTION("""COMPUTED_VALUE"""),"PADENGANPLOSO RT 013 RW 002 PUCUK LAMONGAN")</f>
        <v>PADENGANPLOSO RT 013 RW 002 PUCUK LAMONGAN</v>
      </c>
      <c r="G57" s="50" t="str">
        <f>IFERROR(__xludf.DUMMYFUNCTION("""COMPUTED_VALUE"""),"MTS-8 E")</f>
        <v>MTS-8 E</v>
      </c>
      <c r="H57" s="47" t="str">
        <f>IFERROR(__xludf.DUMMYFUNCTION("""COMPUTED_VALUE"""),"A")</f>
        <v>A</v>
      </c>
      <c r="I57" s="51" t="str">
        <f>IFERROR(__xludf.DUMMYFUNCTION("""COMPUTED_VALUE"""),"A-3")</f>
        <v>A-3</v>
      </c>
      <c r="J57" s="51">
        <f>IFERROR(__xludf.DUMMYFUNCTION("""COMPUTED_VALUE"""),2.0)</f>
        <v>2</v>
      </c>
      <c r="K57" s="51" t="str">
        <f>IFERROR(__xludf.DUMMYFUNCTION("""COMPUTED_VALUE"""),"2 ULA B PUTRA")</f>
        <v>2 ULA B PUTRA</v>
      </c>
      <c r="L57" s="52" t="str">
        <f>IFERROR(__xludf.DUMMYFUNCTION("""COMPUTED_VALUE"""),"6285645225607")</f>
        <v>6285645225607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  <c r="AB57" s="54">
        <f>IFERROR(__xludf.DUMMYFUNCTION("""COMPUTED_VALUE"""),500000.0)</f>
        <v>500000</v>
      </c>
      <c r="AC57" s="54"/>
      <c r="AD57" s="54"/>
      <c r="AE57" s="54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4">
        <f>IFERROR(__xludf.DUMMYFUNCTION("""COMPUTED_VALUE"""),500000.0)</f>
        <v>500000</v>
      </c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IFERROR(__xludf.DUMMYFUNCTION("""COMPUTED_VALUE"""),1000000.0)</f>
        <v>1000000</v>
      </c>
      <c r="BE57" s="54">
        <f>IFERROR(__xludf.DUMMYFUNCTION("""COMPUTED_VALUE"""),0.0)</f>
        <v>0</v>
      </c>
      <c r="BF57" s="55">
        <f>IFERROR(__xludf.DUMMYFUNCTION("""COMPUTED_VALUE"""),1000000.0)</f>
        <v>1000000</v>
      </c>
      <c r="BG57" s="53"/>
      <c r="BH57" s="53"/>
      <c r="BI57" s="53"/>
      <c r="BJ57" s="45"/>
      <c r="BK57" s="45"/>
      <c r="BL57" s="45"/>
      <c r="BM57" s="45"/>
      <c r="BN57" s="45"/>
      <c r="BO57" s="46"/>
    </row>
    <row r="58">
      <c r="A58" s="36">
        <f>IFERROR(__xludf.DUMMYFUNCTION("""COMPUTED_VALUE"""),57.0)</f>
        <v>57</v>
      </c>
      <c r="B58" s="37" t="str">
        <f>IFERROR(__xludf.DUMMYFUNCTION("""COMPUTED_VALUE"""),"HALLI SALAKHUDIN")</f>
        <v>HALLI SALAKHUDIN</v>
      </c>
      <c r="C58" s="38">
        <f>IFERROR(__xludf.DUMMYFUNCTION("""COMPUTED_VALUE"""),2.025070459E9)</f>
        <v>2025070459</v>
      </c>
      <c r="D58" s="37" t="str">
        <f>IFERROR(__xludf.DUMMYFUNCTION("""COMPUTED_VALUE"""),"KHAFIDLUM MUJIB")</f>
        <v>KHAFIDLUM MUJIB</v>
      </c>
      <c r="E58" s="37" t="str">
        <f>IFERROR(__xludf.DUMMYFUNCTION("""COMPUTED_VALUE"""),"SUMILAH")</f>
        <v>SUMILAH</v>
      </c>
      <c r="F58" s="37" t="str">
        <f>IFERROR(__xludf.DUMMYFUNCTION("""COMPUTED_VALUE"""),"RINGIN PAYAMAN RT 001 RW 007 SOLOKURO LAMONGAN")</f>
        <v>RINGIN PAYAMAN RT 001 RW 007 SOLOKURO LAMONGAN</v>
      </c>
      <c r="G58" s="39" t="str">
        <f>IFERROR(__xludf.DUMMYFUNCTION("""COMPUTED_VALUE"""),"SMK-XI TKJ 2")</f>
        <v>SMK-XI TKJ 2</v>
      </c>
      <c r="H58" s="36" t="str">
        <f>IFERROR(__xludf.DUMMYFUNCTION("""COMPUTED_VALUE"""),"A")</f>
        <v>A</v>
      </c>
      <c r="I58" s="40" t="str">
        <f>IFERROR(__xludf.DUMMYFUNCTION("""COMPUTED_VALUE"""),"A-9")</f>
        <v>A-9</v>
      </c>
      <c r="J58" s="40">
        <f>IFERROR(__xludf.DUMMYFUNCTION("""COMPUTED_VALUE"""),2.0)</f>
        <v>2</v>
      </c>
      <c r="K58" s="40" t="str">
        <f>IFERROR(__xludf.DUMMYFUNCTION("""COMPUTED_VALUE"""),"2 WUSTHO A PUTRA")</f>
        <v>2 WUSTHO A PUTRA</v>
      </c>
      <c r="L58" s="41" t="str">
        <f>IFERROR(__xludf.DUMMYFUNCTION("""COMPUTED_VALUE"""),"6281357414185")</f>
        <v>6281357414185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>
        <f>IFERROR(__xludf.DUMMYFUNCTION("""COMPUTED_VALUE"""),450000.0)</f>
        <v>450000</v>
      </c>
      <c r="AA58" s="42"/>
      <c r="AB58" s="42"/>
      <c r="AC58" s="42"/>
      <c r="AD58" s="42"/>
      <c r="AE58" s="43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IFERROR(__xludf.DUMMYFUNCTION("""COMPUTED_VALUE"""),450000.0)</f>
        <v>450000</v>
      </c>
      <c r="BD58" s="43">
        <f>IFERROR(__xludf.DUMMYFUNCTION("""COMPUTED_VALUE"""),0.0)</f>
        <v>0</v>
      </c>
      <c r="BE58" s="43">
        <f>IFERROR(__xludf.DUMMYFUNCTION("""COMPUTED_VALUE"""),0.0)</f>
        <v>0</v>
      </c>
      <c r="BF58" s="44">
        <f>IFERROR(__xludf.DUMMYFUNCTION("""COMPUTED_VALUE"""),450000.0)</f>
        <v>450000</v>
      </c>
      <c r="BG58" s="42"/>
      <c r="BH58" s="42"/>
      <c r="BI58" s="42"/>
      <c r="BJ58" s="45"/>
      <c r="BK58" s="45"/>
      <c r="BL58" s="45"/>
      <c r="BM58" s="45"/>
      <c r="BN58" s="45"/>
      <c r="BO58" s="46"/>
    </row>
    <row r="59">
      <c r="A59" s="47">
        <f>IFERROR(__xludf.DUMMYFUNCTION("""COMPUTED_VALUE"""),58.0)</f>
        <v>58</v>
      </c>
      <c r="B59" s="48" t="str">
        <f>IFERROR(__xludf.DUMMYFUNCTION("""COMPUTED_VALUE"""),"JABHAL ARZAD AL HUSAIN")</f>
        <v>JABHAL ARZAD AL HUSAIN</v>
      </c>
      <c r="C59" s="49">
        <f>IFERROR(__xludf.DUMMYFUNCTION("""COMPUTED_VALUE"""),2.025070583E9)</f>
        <v>2025070583</v>
      </c>
      <c r="D59" s="48" t="str">
        <f>IFERROR(__xludf.DUMMYFUNCTION("""COMPUTED_VALUE"""),"SUWANDI")</f>
        <v>SUWANDI</v>
      </c>
      <c r="E59" s="48" t="str">
        <f>IFERROR(__xludf.DUMMYFUNCTION("""COMPUTED_VALUE"""),"SUNARTI")</f>
        <v>SUNARTI</v>
      </c>
      <c r="F59" s="48" t="str">
        <f>IFERROR(__xludf.DUMMYFUNCTION("""COMPUTED_VALUE"""),"KEBONANANOM RT 003 RW 002 GEDANGAN SIDOARJO")</f>
        <v>KEBONANANOM RT 003 RW 002 GEDANGAN SIDOARJO</v>
      </c>
      <c r="G59" s="50" t="str">
        <f>IFERROR(__xludf.DUMMYFUNCTION("""COMPUTED_VALUE"""),"MTS-8 E")</f>
        <v>MTS-8 E</v>
      </c>
      <c r="H59" s="47" t="str">
        <f>IFERROR(__xludf.DUMMYFUNCTION("""COMPUTED_VALUE"""),"A")</f>
        <v>A</v>
      </c>
      <c r="I59" s="51" t="str">
        <f>IFERROR(__xludf.DUMMYFUNCTION("""COMPUTED_VALUE"""),"A-1")</f>
        <v>A-1</v>
      </c>
      <c r="J59" s="51">
        <f>IFERROR(__xludf.DUMMYFUNCTION("""COMPUTED_VALUE"""),2.0)</f>
        <v>2</v>
      </c>
      <c r="K59" s="51" t="str">
        <f>IFERROR(__xludf.DUMMYFUNCTION("""COMPUTED_VALUE"""),"2 ULA B PUTRA")</f>
        <v>2 ULA B PUTRA</v>
      </c>
      <c r="L59" s="52" t="str">
        <f>IFERROR(__xludf.DUMMYFUNCTION("""COMPUTED_VALUE"""),"6281286606782")</f>
        <v>6281286606782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>
        <f>IFERROR(__xludf.DUMMYFUNCTION("""COMPUTED_VALUE"""),500000.0)</f>
        <v>500000</v>
      </c>
      <c r="AC59" s="53"/>
      <c r="AD59" s="53"/>
      <c r="AE59" s="54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4">
        <f>IFERROR(__xludf.DUMMYFUNCTION("""COMPUTED_VALUE"""),500000.0)</f>
        <v>500000</v>
      </c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IFERROR(__xludf.DUMMYFUNCTION("""COMPUTED_VALUE"""),1000000.0)</f>
        <v>1000000</v>
      </c>
      <c r="BE59" s="54">
        <f>IFERROR(__xludf.DUMMYFUNCTION("""COMPUTED_VALUE"""),0.0)</f>
        <v>0</v>
      </c>
      <c r="BF59" s="55">
        <f>IFERROR(__xludf.DUMMYFUNCTION("""COMPUTED_VALUE"""),1000000.0)</f>
        <v>1000000</v>
      </c>
      <c r="BG59" s="53"/>
      <c r="BH59" s="53"/>
      <c r="BI59" s="53"/>
      <c r="BJ59" s="45"/>
      <c r="BK59" s="45"/>
      <c r="BL59" s="45"/>
      <c r="BM59" s="45"/>
      <c r="BN59" s="45"/>
      <c r="BO59" s="46"/>
    </row>
    <row r="60">
      <c r="A60" s="36">
        <f>IFERROR(__xludf.DUMMYFUNCTION("""COMPUTED_VALUE"""),59.0)</f>
        <v>59</v>
      </c>
      <c r="B60" s="37" t="str">
        <f>IFERROR(__xludf.DUMMYFUNCTION("""COMPUTED_VALUE"""),"KAKA MAULANA AHMAD AL KAHFI")</f>
        <v>KAKA MAULANA AHMAD AL KAHFI</v>
      </c>
      <c r="C60" s="38">
        <f>IFERROR(__xludf.DUMMYFUNCTION("""COMPUTED_VALUE"""),2.025070639E9)</f>
        <v>2025070639</v>
      </c>
      <c r="D60" s="37" t="str">
        <f>IFERROR(__xludf.DUMMYFUNCTION("""COMPUTED_VALUE"""),"SHOKHIBUL KAHFI")</f>
        <v>SHOKHIBUL KAHFI</v>
      </c>
      <c r="E60" s="37" t="str">
        <f>IFERROR(__xludf.DUMMYFUNCTION("""COMPUTED_VALUE"""),"I`ANATUS SA`ADAH")</f>
        <v>I`ANATUS SA`ADAH</v>
      </c>
      <c r="F60" s="37" t="str">
        <f>IFERROR(__xludf.DUMMYFUNCTION("""COMPUTED_VALUE"""),"PADENGANPLOSO RT 006 RW 001 PUCUK LAMONGAN")</f>
        <v>PADENGANPLOSO RT 006 RW 001 PUCUK LAMONGAN</v>
      </c>
      <c r="G60" s="39" t="str">
        <f>IFERROR(__xludf.DUMMYFUNCTION("""COMPUTED_VALUE"""),"MTS-8 B")</f>
        <v>MTS-8 B</v>
      </c>
      <c r="H60" s="36" t="str">
        <f>IFERROR(__xludf.DUMMYFUNCTION("""COMPUTED_VALUE"""),"A")</f>
        <v>A</v>
      </c>
      <c r="I60" s="40" t="str">
        <f>IFERROR(__xludf.DUMMYFUNCTION("""COMPUTED_VALUE"""),"A-1")</f>
        <v>A-1</v>
      </c>
      <c r="J60" s="40">
        <f>IFERROR(__xludf.DUMMYFUNCTION("""COMPUTED_VALUE"""),2.0)</f>
        <v>2</v>
      </c>
      <c r="K60" s="40" t="str">
        <f>IFERROR(__xludf.DUMMYFUNCTION("""COMPUTED_VALUE"""),"2 ULA B PUTRA")</f>
        <v>2 ULA B PUTRA</v>
      </c>
      <c r="L60" s="41" t="str">
        <f>IFERROR(__xludf.DUMMYFUNCTION("""COMPUTED_VALUE"""),"6285854881555")</f>
        <v>6285854881555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>
        <f>IFERROR(__xludf.DUMMYFUNCTION("""COMPUTED_VALUE"""),450000.0)</f>
        <v>450000</v>
      </c>
      <c r="Z60" s="42">
        <f>IFERROR(__xludf.DUMMYFUNCTION("""COMPUTED_VALUE"""),450000.0)</f>
        <v>450000</v>
      </c>
      <c r="AA60" s="42"/>
      <c r="AB60" s="42">
        <f>IFERROR(__xludf.DUMMYFUNCTION("""COMPUTED_VALUE"""),500000.0)</f>
        <v>500000</v>
      </c>
      <c r="AC60" s="42"/>
      <c r="AD60" s="42"/>
      <c r="AE60" s="43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>
        <f>IFERROR(__xludf.DUMMYFUNCTION("""COMPUTED_VALUE"""),500000.0)</f>
        <v>500000</v>
      </c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IFERROR(__xludf.DUMMYFUNCTION("""COMPUTED_VALUE"""),900000.0)</f>
        <v>900000</v>
      </c>
      <c r="BD60" s="43">
        <f>IFERROR(__xludf.DUMMYFUNCTION("""COMPUTED_VALUE"""),1000000.0)</f>
        <v>1000000</v>
      </c>
      <c r="BE60" s="43">
        <f>IFERROR(__xludf.DUMMYFUNCTION("""COMPUTED_VALUE"""),0.0)</f>
        <v>0</v>
      </c>
      <c r="BF60" s="44">
        <f>IFERROR(__xludf.DUMMYFUNCTION("""COMPUTED_VALUE"""),1900000.0)</f>
        <v>1900000</v>
      </c>
      <c r="BG60" s="42"/>
      <c r="BH60" s="42"/>
      <c r="BI60" s="42"/>
      <c r="BJ60" s="45"/>
      <c r="BK60" s="45"/>
      <c r="BL60" s="45"/>
      <c r="BM60" s="45"/>
      <c r="BN60" s="45"/>
      <c r="BO60" s="46"/>
    </row>
    <row r="61">
      <c r="A61" s="47">
        <f>IFERROR(__xludf.DUMMYFUNCTION("""COMPUTED_VALUE"""),60.0)</f>
        <v>60</v>
      </c>
      <c r="B61" s="48" t="str">
        <f>IFERROR(__xludf.DUMMYFUNCTION("""COMPUTED_VALUE"""),"M. FARHAN FRANANDA RADITYA")</f>
        <v>M. FARHAN FRANANDA RADITYA</v>
      </c>
      <c r="C61" s="49">
        <f>IFERROR(__xludf.DUMMYFUNCTION("""COMPUTED_VALUE"""),2.025070541E9)</f>
        <v>2025070541</v>
      </c>
      <c r="D61" s="48" t="str">
        <f>IFERROR(__xludf.DUMMYFUNCTION("""COMPUTED_VALUE"""),"KASNADI")</f>
        <v>KASNADI</v>
      </c>
      <c r="E61" s="48" t="str">
        <f>IFERROR(__xludf.DUMMYFUNCTION("""COMPUTED_VALUE"""),"LULUK MAF`ULLAH")</f>
        <v>LULUK MAF`ULLAH</v>
      </c>
      <c r="F61" s="48" t="str">
        <f>IFERROR(__xludf.DUMMYFUNCTION("""COMPUTED_VALUE"""),"NGUJUNG NGUJUNGREJO RT 002 RW 001 TURI LAMONGAN")</f>
        <v>NGUJUNG NGUJUNGREJO RT 002 RW 001 TURI LAMONGAN</v>
      </c>
      <c r="G61" s="50" t="str">
        <f>IFERROR(__xludf.DUMMYFUNCTION("""COMPUTED_VALUE"""),"MTS-8 G")</f>
        <v>MTS-8 G</v>
      </c>
      <c r="H61" s="47" t="str">
        <f>IFERROR(__xludf.DUMMYFUNCTION("""COMPUTED_VALUE"""),"A")</f>
        <v>A</v>
      </c>
      <c r="I61" s="51" t="str">
        <f>IFERROR(__xludf.DUMMYFUNCTION("""COMPUTED_VALUE"""),"A-3")</f>
        <v>A-3</v>
      </c>
      <c r="J61" s="51">
        <f>IFERROR(__xludf.DUMMYFUNCTION("""COMPUTED_VALUE"""),2.0)</f>
        <v>2</v>
      </c>
      <c r="K61" s="51" t="str">
        <f>IFERROR(__xludf.DUMMYFUNCTION("""COMPUTED_VALUE"""),"2 ULA B PUTRA")</f>
        <v>2 ULA B PUTRA</v>
      </c>
      <c r="L61" s="52" t="str">
        <f>IFERROR(__xludf.DUMMYFUNCTION("""COMPUTED_VALUE"""),"6285850274729")</f>
        <v>6285850274729</v>
      </c>
      <c r="M61" s="54"/>
      <c r="N61" s="54"/>
      <c r="O61" s="53"/>
      <c r="P61" s="53"/>
      <c r="Q61" s="53"/>
      <c r="R61" s="53"/>
      <c r="S61" s="53"/>
      <c r="T61" s="53"/>
      <c r="U61" s="54"/>
      <c r="V61" s="54"/>
      <c r="W61" s="54"/>
      <c r="X61" s="54"/>
      <c r="Y61" s="54"/>
      <c r="Z61" s="54"/>
      <c r="AA61" s="53"/>
      <c r="AB61" s="54">
        <f>IFERROR(__xludf.DUMMYFUNCTION("""COMPUTED_VALUE"""),500000.0)</f>
        <v>500000</v>
      </c>
      <c r="AC61" s="54"/>
      <c r="AD61" s="54"/>
      <c r="AE61" s="54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4">
        <f>IFERROR(__xludf.DUMMYFUNCTION("""COMPUTED_VALUE"""),500000.0)</f>
        <v>500000</v>
      </c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IFERROR(__xludf.DUMMYFUNCTION("""COMPUTED_VALUE"""),1000000.0)</f>
        <v>1000000</v>
      </c>
      <c r="BE61" s="54">
        <f>IFERROR(__xludf.DUMMYFUNCTION("""COMPUTED_VALUE"""),0.0)</f>
        <v>0</v>
      </c>
      <c r="BF61" s="55">
        <f>IFERROR(__xludf.DUMMYFUNCTION("""COMPUTED_VALUE"""),1000000.0)</f>
        <v>1000000</v>
      </c>
      <c r="BG61" s="53"/>
      <c r="BH61" s="53"/>
      <c r="BI61" s="53"/>
      <c r="BJ61" s="45"/>
      <c r="BK61" s="45"/>
      <c r="BL61" s="45"/>
      <c r="BM61" s="45"/>
      <c r="BN61" s="45"/>
      <c r="BO61" s="46"/>
    </row>
    <row r="62">
      <c r="A62" s="36">
        <f>IFERROR(__xludf.DUMMYFUNCTION("""COMPUTED_VALUE"""),61.0)</f>
        <v>61</v>
      </c>
      <c r="B62" s="37" t="str">
        <f>IFERROR(__xludf.DUMMYFUNCTION("""COMPUTED_VALUE"""),"M. FATIHU AHSANI TAQWIM")</f>
        <v>M. FATIHU AHSANI TAQWIM</v>
      </c>
      <c r="C62" s="38">
        <f>IFERROR(__xludf.DUMMYFUNCTION("""COMPUTED_VALUE"""),2.02507022E9)</f>
        <v>2025070220</v>
      </c>
      <c r="D62" s="37" t="str">
        <f>IFERROR(__xludf.DUMMYFUNCTION("""COMPUTED_VALUE"""),"MUDHOFAR")</f>
        <v>MUDHOFAR</v>
      </c>
      <c r="E62" s="37" t="str">
        <f>IFERROR(__xludf.DUMMYFUNCTION("""COMPUTED_VALUE"""),"KARYATI")</f>
        <v>KARYATI</v>
      </c>
      <c r="F62" s="37" t="str">
        <f>IFERROR(__xludf.DUMMYFUNCTION("""COMPUTED_VALUE"""),"MENGAI SUKOREJO RT 002 RW 005 KARANGBINANGUN LAMONGAN")</f>
        <v>MENGAI SUKOREJO RT 002 RW 005 KARANGBINANGUN LAMONGAN</v>
      </c>
      <c r="G62" s="39" t="str">
        <f>IFERROR(__xludf.DUMMYFUNCTION("""COMPUTED_VALUE"""),"MA-XI.8")</f>
        <v>MA-XI.8</v>
      </c>
      <c r="H62" s="36" t="str">
        <f>IFERROR(__xludf.DUMMYFUNCTION("""COMPUTED_VALUE"""),"A")</f>
        <v>A</v>
      </c>
      <c r="I62" s="42" t="str">
        <f>IFERROR(__xludf.DUMMYFUNCTION("""COMPUTED_VALUE"""),"A-9")</f>
        <v>A-9</v>
      </c>
      <c r="J62" s="40">
        <f>IFERROR(__xludf.DUMMYFUNCTION("""COMPUTED_VALUE"""),2.0)</f>
        <v>2</v>
      </c>
      <c r="K62" s="40" t="str">
        <f>IFERROR(__xludf.DUMMYFUNCTION("""COMPUTED_VALUE"""),"2 WUSTHO A PUTRA")</f>
        <v>2 WUSTHO A PUTRA</v>
      </c>
      <c r="L62" s="41" t="str">
        <f>IFERROR(__xludf.DUMMYFUNCTION("""COMPUTED_VALUE"""),"6285607890133")</f>
        <v>6285607890133</v>
      </c>
      <c r="M62" s="43"/>
      <c r="N62" s="42"/>
      <c r="O62" s="42"/>
      <c r="P62" s="42"/>
      <c r="Q62" s="42">
        <f>IFERROR(__xludf.DUMMYFUNCTION("""COMPUTED_VALUE"""),450000.0)</f>
        <v>450000</v>
      </c>
      <c r="R62" s="42">
        <f>IFERROR(__xludf.DUMMYFUNCTION("""COMPUTED_VALUE"""),450000.0)</f>
        <v>450000</v>
      </c>
      <c r="S62" s="42">
        <f>IFERROR(__xludf.DUMMYFUNCTION("""COMPUTED_VALUE"""),450000.0)</f>
        <v>450000</v>
      </c>
      <c r="T62" s="42">
        <f>IFERROR(__xludf.DUMMYFUNCTION("""COMPUTED_VALUE"""),450000.0)</f>
        <v>450000</v>
      </c>
      <c r="U62" s="42">
        <f>IFERROR(__xludf.DUMMYFUNCTION("""COMPUTED_VALUE"""),450000.0)</f>
        <v>450000</v>
      </c>
      <c r="V62" s="42">
        <f>IFERROR(__xludf.DUMMYFUNCTION("""COMPUTED_VALUE"""),450000.0)</f>
        <v>450000</v>
      </c>
      <c r="W62" s="42">
        <f>IFERROR(__xludf.DUMMYFUNCTION("""COMPUTED_VALUE"""),450000.0)</f>
        <v>450000</v>
      </c>
      <c r="X62" s="42">
        <f>IFERROR(__xludf.DUMMYFUNCTION("""COMPUTED_VALUE"""),450000.0)</f>
        <v>450000</v>
      </c>
      <c r="Y62" s="42">
        <f>IFERROR(__xludf.DUMMYFUNCTION("""COMPUTED_VALUE"""),450000.0)</f>
        <v>450000</v>
      </c>
      <c r="Z62" s="42">
        <f>IFERROR(__xludf.DUMMYFUNCTION("""COMPUTED_VALUE"""),450000.0)</f>
        <v>450000</v>
      </c>
      <c r="AA62" s="43"/>
      <c r="AB62" s="43"/>
      <c r="AC62" s="43"/>
      <c r="AD62" s="43"/>
      <c r="AE62" s="43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3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IFERROR(__xludf.DUMMYFUNCTION("""COMPUTED_VALUE"""),4500000.0)</f>
        <v>4500000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IFERROR(__xludf.DUMMYFUNCTION("""COMPUTED_VALUE"""),4500000.0)</f>
        <v>4500000</v>
      </c>
      <c r="BG62" s="42"/>
      <c r="BH62" s="42"/>
      <c r="BI62" s="42"/>
      <c r="BJ62" s="45"/>
      <c r="BK62" s="45"/>
      <c r="BL62" s="45"/>
      <c r="BM62" s="45"/>
      <c r="BN62" s="45"/>
      <c r="BO62" s="46"/>
    </row>
    <row r="63">
      <c r="A63" s="47">
        <f>IFERROR(__xludf.DUMMYFUNCTION("""COMPUTED_VALUE"""),62.0)</f>
        <v>62</v>
      </c>
      <c r="B63" s="48" t="str">
        <f>IFERROR(__xludf.DUMMYFUNCTION("""COMPUTED_VALUE"""),"M. MARCEL AULIA WICAKSANA")</f>
        <v>M. MARCEL AULIA WICAKSANA</v>
      </c>
      <c r="C63" s="49">
        <f>IFERROR(__xludf.DUMMYFUNCTION("""COMPUTED_VALUE"""),2.02507028E9)</f>
        <v>2025070280</v>
      </c>
      <c r="D63" s="48" t="str">
        <f>IFERROR(__xludf.DUMMYFUNCTION("""COMPUTED_VALUE"""),"ROHMAD")</f>
        <v>ROHMAD</v>
      </c>
      <c r="E63" s="48" t="str">
        <f>IFERROR(__xludf.DUMMYFUNCTION("""COMPUTED_VALUE"""),"FENI SUSANTI")</f>
        <v>FENI SUSANTI</v>
      </c>
      <c r="F63" s="48" t="str">
        <f>IFERROR(__xludf.DUMMYFUNCTION("""COMPUTED_VALUE"""),"BAMBANG RT 005 RW 002 TURI LAMONGAN")</f>
        <v>BAMBANG RT 005 RW 002 TURI LAMONGAN</v>
      </c>
      <c r="G63" s="50" t="str">
        <f>IFERROR(__xludf.DUMMYFUNCTION("""COMPUTED_VALUE"""),"MA-XI.2")</f>
        <v>MA-XI.2</v>
      </c>
      <c r="H63" s="47" t="str">
        <f>IFERROR(__xludf.DUMMYFUNCTION("""COMPUTED_VALUE"""),"A")</f>
        <v>A</v>
      </c>
      <c r="I63" s="51" t="str">
        <f>IFERROR(__xludf.DUMMYFUNCTION("""COMPUTED_VALUE"""),"A-9")</f>
        <v>A-9</v>
      </c>
      <c r="J63" s="51">
        <f>IFERROR(__xludf.DUMMYFUNCTION("""COMPUTED_VALUE"""),2.0)</f>
        <v>2</v>
      </c>
      <c r="K63" s="51" t="str">
        <f>IFERROR(__xludf.DUMMYFUNCTION("""COMPUTED_VALUE"""),"2 WUSTHO B PUTRA")</f>
        <v>2 WUSTHO B PUTRA</v>
      </c>
      <c r="L63" s="52" t="str">
        <f>IFERROR(__xludf.DUMMYFUNCTION("""COMPUTED_VALUE"""),"6285692959785")</f>
        <v>6285692959785</v>
      </c>
      <c r="M63" s="53"/>
      <c r="N63" s="53"/>
      <c r="O63" s="53"/>
      <c r="P63" s="53"/>
      <c r="Q63" s="53">
        <f>IFERROR(__xludf.DUMMYFUNCTION("""COMPUTED_VALUE"""),450000.0)</f>
        <v>450000</v>
      </c>
      <c r="R63" s="53">
        <f>IFERROR(__xludf.DUMMYFUNCTION("""COMPUTED_VALUE"""),450000.0)</f>
        <v>450000</v>
      </c>
      <c r="S63" s="53">
        <f>IFERROR(__xludf.DUMMYFUNCTION("""COMPUTED_VALUE"""),450000.0)</f>
        <v>450000</v>
      </c>
      <c r="T63" s="53">
        <f>IFERROR(__xludf.DUMMYFUNCTION("""COMPUTED_VALUE"""),450000.0)</f>
        <v>450000</v>
      </c>
      <c r="U63" s="53">
        <f>IFERROR(__xludf.DUMMYFUNCTION("""COMPUTED_VALUE"""),450000.0)</f>
        <v>450000</v>
      </c>
      <c r="V63" s="53">
        <f>IFERROR(__xludf.DUMMYFUNCTION("""COMPUTED_VALUE"""),450000.0)</f>
        <v>450000</v>
      </c>
      <c r="W63" s="53">
        <f>IFERROR(__xludf.DUMMYFUNCTION("""COMPUTED_VALUE"""),450000.0)</f>
        <v>450000</v>
      </c>
      <c r="X63" s="53">
        <f>IFERROR(__xludf.DUMMYFUNCTION("""COMPUTED_VALUE"""),450000.0)</f>
        <v>450000</v>
      </c>
      <c r="Y63" s="53">
        <f>IFERROR(__xludf.DUMMYFUNCTION("""COMPUTED_VALUE"""),450000.0)</f>
        <v>450000</v>
      </c>
      <c r="Z63" s="53">
        <f>IFERROR(__xludf.DUMMYFUNCTION("""COMPUTED_VALUE"""),450000.0)</f>
        <v>450000</v>
      </c>
      <c r="AA63" s="53"/>
      <c r="AB63" s="53"/>
      <c r="AC63" s="53"/>
      <c r="AD63" s="54"/>
      <c r="AE63" s="54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4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IFERROR(__xludf.DUMMYFUNCTION("""COMPUTED_VALUE"""),4500000.0)</f>
        <v>4500000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IFERROR(__xludf.DUMMYFUNCTION("""COMPUTED_VALUE"""),4500000.0)</f>
        <v>4500000</v>
      </c>
      <c r="BG63" s="53"/>
      <c r="BH63" s="53"/>
      <c r="BI63" s="53"/>
      <c r="BJ63" s="45"/>
      <c r="BK63" s="45"/>
      <c r="BL63" s="45"/>
      <c r="BM63" s="45"/>
      <c r="BN63" s="45"/>
      <c r="BO63" s="46"/>
    </row>
    <row r="64">
      <c r="A64" s="36">
        <f>IFERROR(__xludf.DUMMYFUNCTION("""COMPUTED_VALUE"""),63.0)</f>
        <v>63</v>
      </c>
      <c r="B64" s="37" t="str">
        <f>IFERROR(__xludf.DUMMYFUNCTION("""COMPUTED_VALUE"""),"M. SHEVA AL ABID")</f>
        <v>M. SHEVA AL ABID</v>
      </c>
      <c r="C64" s="38">
        <f>IFERROR(__xludf.DUMMYFUNCTION("""COMPUTED_VALUE"""),2.025070445E9)</f>
        <v>2025070445</v>
      </c>
      <c r="D64" s="37" t="str">
        <f>IFERROR(__xludf.DUMMYFUNCTION("""COMPUTED_VALUE"""),"M. AFIFUDDIN")</f>
        <v>M. AFIFUDDIN</v>
      </c>
      <c r="E64" s="37" t="str">
        <f>IFERROR(__xludf.DUMMYFUNCTION("""COMPUTED_VALUE"""),"SITI MUBAROKATUN NI'MAH")</f>
        <v>SITI MUBAROKATUN NI'MAH</v>
      </c>
      <c r="F64" s="37" t="str">
        <f>IFERROR(__xludf.DUMMYFUNCTION("""COMPUTED_VALUE"""),"KANUGRAHAN RT 004 RW 001 MADURAN LAMONGAN")</f>
        <v>KANUGRAHAN RT 004 RW 001 MADURAN LAMONGAN</v>
      </c>
      <c r="G64" s="39" t="str">
        <f>IFERROR(__xludf.DUMMYFUNCTION("""COMPUTED_VALUE"""),"SMK-XI TKR 2")</f>
        <v>SMK-XI TKR 2</v>
      </c>
      <c r="H64" s="36" t="str">
        <f>IFERROR(__xludf.DUMMYFUNCTION("""COMPUTED_VALUE"""),"A")</f>
        <v>A</v>
      </c>
      <c r="I64" s="40" t="str">
        <f>IFERROR(__xludf.DUMMYFUNCTION("""COMPUTED_VALUE"""),"A-11")</f>
        <v>A-11</v>
      </c>
      <c r="J64" s="40">
        <f>IFERROR(__xludf.DUMMYFUNCTION("""COMPUTED_VALUE"""),2.0)</f>
        <v>2</v>
      </c>
      <c r="K64" s="40" t="str">
        <f>IFERROR(__xludf.DUMMYFUNCTION("""COMPUTED_VALUE"""),"2 WUSTHO A PUTRA")</f>
        <v>2 WUSTHO A PUTRA</v>
      </c>
      <c r="L64" s="41" t="str">
        <f>IFERROR(__xludf.DUMMYFUNCTION("""COMPUTED_VALUE"""),"6285637331175")</f>
        <v>6285637331175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>
        <f>IFERROR(__xludf.DUMMYFUNCTION("""COMPUTED_VALUE"""),450000.0)</f>
        <v>450000</v>
      </c>
      <c r="X64" s="42">
        <f>IFERROR(__xludf.DUMMYFUNCTION("""COMPUTED_VALUE"""),450000.0)</f>
        <v>450000</v>
      </c>
      <c r="Y64" s="42">
        <f>IFERROR(__xludf.DUMMYFUNCTION("""COMPUTED_VALUE"""),450000.0)</f>
        <v>450000</v>
      </c>
      <c r="Z64" s="42">
        <f>IFERROR(__xludf.DUMMYFUNCTION("""COMPUTED_VALUE"""),450000.0)</f>
        <v>450000</v>
      </c>
      <c r="AA64" s="42"/>
      <c r="AB64" s="42"/>
      <c r="AC64" s="42"/>
      <c r="AD64" s="42"/>
      <c r="AE64" s="43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IFERROR(__xludf.DUMMYFUNCTION("""COMPUTED_VALUE"""),1800000.0)</f>
        <v>1800000</v>
      </c>
      <c r="BD64" s="43">
        <f>IFERROR(__xludf.DUMMYFUNCTION("""COMPUTED_VALUE"""),0.0)</f>
        <v>0</v>
      </c>
      <c r="BE64" s="43">
        <f>IFERROR(__xludf.DUMMYFUNCTION("""COMPUTED_VALUE"""),0.0)</f>
        <v>0</v>
      </c>
      <c r="BF64" s="44">
        <f>IFERROR(__xludf.DUMMYFUNCTION("""COMPUTED_VALUE"""),1800000.0)</f>
        <v>1800000</v>
      </c>
      <c r="BG64" s="42"/>
      <c r="BH64" s="42"/>
      <c r="BI64" s="42"/>
      <c r="BJ64" s="45"/>
      <c r="BK64" s="45"/>
      <c r="BL64" s="45"/>
      <c r="BM64" s="45"/>
      <c r="BN64" s="45"/>
      <c r="BO64" s="46"/>
    </row>
    <row r="65">
      <c r="A65" s="47">
        <f>IFERROR(__xludf.DUMMYFUNCTION("""COMPUTED_VALUE"""),64.0)</f>
        <v>64</v>
      </c>
      <c r="B65" s="48" t="str">
        <f>IFERROR(__xludf.DUMMYFUNCTION("""COMPUTED_VALUE"""),"MALLAHUL JAYYIDI ALITSNAN")</f>
        <v>MALLAHUL JAYYIDI ALITSNAN</v>
      </c>
      <c r="C65" s="49">
        <f>IFERROR(__xludf.DUMMYFUNCTION("""COMPUTED_VALUE"""),2.025070273E9)</f>
        <v>2025070273</v>
      </c>
      <c r="D65" s="48" t="str">
        <f>IFERROR(__xludf.DUMMYFUNCTION("""COMPUTED_VALUE"""),"SUHAJIR")</f>
        <v>SUHAJIR</v>
      </c>
      <c r="E65" s="48" t="str">
        <f>IFERROR(__xludf.DUMMYFUNCTION("""COMPUTED_VALUE"""),"ISLAMIYATI")</f>
        <v>ISLAMIYATI</v>
      </c>
      <c r="F65" s="48" t="str">
        <f>IFERROR(__xludf.DUMMYFUNCTION("""COMPUTED_VALUE"""),"JETAK RT 001 RW 002 PACIRAN LAMONGAN")</f>
        <v>JETAK RT 001 RW 002 PACIRAN LAMONGAN</v>
      </c>
      <c r="G65" s="50" t="str">
        <f>IFERROR(__xludf.DUMMYFUNCTION("""COMPUTED_VALUE"""),"MA-XI.2")</f>
        <v>MA-XI.2</v>
      </c>
      <c r="H65" s="47" t="str">
        <f>IFERROR(__xludf.DUMMYFUNCTION("""COMPUTED_VALUE"""),"A")</f>
        <v>A</v>
      </c>
      <c r="I65" s="51" t="str">
        <f>IFERROR(__xludf.DUMMYFUNCTION("""COMPUTED_VALUE"""),"A-4")</f>
        <v>A-4</v>
      </c>
      <c r="J65" s="51">
        <f>IFERROR(__xludf.DUMMYFUNCTION("""COMPUTED_VALUE"""),2.0)</f>
        <v>2</v>
      </c>
      <c r="K65" s="51" t="str">
        <f>IFERROR(__xludf.DUMMYFUNCTION("""COMPUTED_VALUE"""),"2 WUSTHO A PUTRA")</f>
        <v>2 WUSTHO A PUTRA</v>
      </c>
      <c r="L65" s="52" t="str">
        <f>IFERROR(__xludf.DUMMYFUNCTION("""COMPUTED_VALUE"""),"6285232394315")</f>
        <v>6285232394315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4"/>
      <c r="AB65" s="54">
        <f>IFERROR(__xludf.DUMMYFUNCTION("""COMPUTED_VALUE"""),500000.0)</f>
        <v>500000</v>
      </c>
      <c r="AC65" s="54"/>
      <c r="AD65" s="54"/>
      <c r="AE65" s="54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4">
        <f>IFERROR(__xludf.DUMMYFUNCTION("""COMPUTED_VALUE"""),500000.0)</f>
        <v>500000</v>
      </c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IFERROR(__xludf.DUMMYFUNCTION("""COMPUTED_VALUE"""),1000000.0)</f>
        <v>1000000</v>
      </c>
      <c r="BE65" s="54">
        <f>IFERROR(__xludf.DUMMYFUNCTION("""COMPUTED_VALUE"""),0.0)</f>
        <v>0</v>
      </c>
      <c r="BF65" s="55">
        <f>IFERROR(__xludf.DUMMYFUNCTION("""COMPUTED_VALUE"""),1000000.0)</f>
        <v>1000000</v>
      </c>
      <c r="BG65" s="53"/>
      <c r="BH65" s="53"/>
      <c r="BI65" s="53"/>
      <c r="BJ65" s="45"/>
      <c r="BK65" s="45"/>
      <c r="BL65" s="45"/>
      <c r="BM65" s="45"/>
      <c r="BN65" s="45"/>
      <c r="BO65" s="46"/>
    </row>
    <row r="66">
      <c r="A66" s="36">
        <f>IFERROR(__xludf.DUMMYFUNCTION("""COMPUTED_VALUE"""),65.0)</f>
        <v>65</v>
      </c>
      <c r="B66" s="37" t="str">
        <f>IFERROR(__xludf.DUMMYFUNCTION("""COMPUTED_VALUE"""),"MICKAIL JALU JAGAD")</f>
        <v>MICKAIL JALU JAGAD</v>
      </c>
      <c r="C66" s="38">
        <f>IFERROR(__xludf.DUMMYFUNCTION("""COMPUTED_VALUE"""),2.02507044E9)</f>
        <v>2025070440</v>
      </c>
      <c r="D66" s="37" t="str">
        <f>IFERROR(__xludf.DUMMYFUNCTION("""COMPUTED_VALUE"""),"PITONO")</f>
        <v>PITONO</v>
      </c>
      <c r="E66" s="37" t="str">
        <f>IFERROR(__xludf.DUMMYFUNCTION("""COMPUTED_VALUE"""),"MARDHIYATUS SHOLIKHAH")</f>
        <v>MARDHIYATUS SHOLIKHAH</v>
      </c>
      <c r="F66" s="37" t="str">
        <f>IFERROR(__xludf.DUMMYFUNCTION("""COMPUTED_VALUE"""),"TULUNG WANAR RT 001 RW 004 PUCUK LAMONGAN")</f>
        <v>TULUNG WANAR RT 001 RW 004 PUCUK LAMONGAN</v>
      </c>
      <c r="G66" s="39" t="str">
        <f>IFERROR(__xludf.DUMMYFUNCTION("""COMPUTED_VALUE"""),"SMK-XI DKV")</f>
        <v>SMK-XI DKV</v>
      </c>
      <c r="H66" s="36" t="str">
        <f>IFERROR(__xludf.DUMMYFUNCTION("""COMPUTED_VALUE"""),"A")</f>
        <v>A</v>
      </c>
      <c r="I66" s="40" t="str">
        <f>IFERROR(__xludf.DUMMYFUNCTION("""COMPUTED_VALUE"""),"A-9")</f>
        <v>A-9</v>
      </c>
      <c r="J66" s="40">
        <f>IFERROR(__xludf.DUMMYFUNCTION("""COMPUTED_VALUE"""),2.0)</f>
        <v>2</v>
      </c>
      <c r="K66" s="40" t="str">
        <f>IFERROR(__xludf.DUMMYFUNCTION("""COMPUTED_VALUE"""),"2 WUSTHO B PUTRA")</f>
        <v>2 WUSTHO B PUTRA</v>
      </c>
      <c r="L66" s="41" t="str">
        <f>IFERROR(__xludf.DUMMYFUNCTION("""COMPUTED_VALUE"""),"6281357162725")</f>
        <v>6281357162725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>
        <f>IFERROR(__xludf.DUMMYFUNCTION("""COMPUTED_VALUE"""),450000.0)</f>
        <v>450000</v>
      </c>
      <c r="AA66" s="42"/>
      <c r="AB66" s="42"/>
      <c r="AC66" s="42"/>
      <c r="AD66" s="43"/>
      <c r="AE66" s="43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3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IFERROR(__xludf.DUMMYFUNCTION("""COMPUTED_VALUE"""),450000.0)</f>
        <v>450000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IFERROR(__xludf.DUMMYFUNCTION("""COMPUTED_VALUE"""),450000.0)</f>
        <v>450000</v>
      </c>
      <c r="BG66" s="42"/>
      <c r="BH66" s="42"/>
      <c r="BI66" s="42"/>
      <c r="BJ66" s="45"/>
      <c r="BK66" s="45"/>
      <c r="BL66" s="45"/>
      <c r="BM66" s="45"/>
      <c r="BN66" s="45"/>
      <c r="BO66" s="46"/>
    </row>
    <row r="67">
      <c r="A67" s="47">
        <f>IFERROR(__xludf.DUMMYFUNCTION("""COMPUTED_VALUE"""),66.0)</f>
        <v>66</v>
      </c>
      <c r="B67" s="48" t="str">
        <f>IFERROR(__xludf.DUMMYFUNCTION("""COMPUTED_VALUE"""),"MOCH. DANISH IRFAN NUSHFIANTO WAHID")</f>
        <v>MOCH. DANISH IRFAN NUSHFIANTO WAHID</v>
      </c>
      <c r="C67" s="49">
        <f>IFERROR(__xludf.DUMMYFUNCTION("""COMPUTED_VALUE"""),2.025070066E9)</f>
        <v>2025070066</v>
      </c>
      <c r="D67" s="48" t="str">
        <f>IFERROR(__xludf.DUMMYFUNCTION("""COMPUTED_VALUE"""),"ULUM FIYANTO")</f>
        <v>ULUM FIYANTO</v>
      </c>
      <c r="E67" s="48" t="str">
        <f>IFERROR(__xludf.DUMMYFUNCTION("""COMPUTED_VALUE"""),"LILIK SUDARWATI")</f>
        <v>LILIK SUDARWATI</v>
      </c>
      <c r="F67" s="48" t="str">
        <f>IFERROR(__xludf.DUMMYFUNCTION("""COMPUTED_VALUE"""),"BLURI RT 004 RW 003 SOLOKURO LAMONGAN")</f>
        <v>BLURI RT 004 RW 003 SOLOKURO LAMONGAN</v>
      </c>
      <c r="G67" s="50" t="str">
        <f>IFERROR(__xludf.DUMMYFUNCTION("""COMPUTED_VALUE"""),"MA-XI.10")</f>
        <v>MA-XI.10</v>
      </c>
      <c r="H67" s="47" t="str">
        <f>IFERROR(__xludf.DUMMYFUNCTION("""COMPUTED_VALUE"""),"A")</f>
        <v>A</v>
      </c>
      <c r="I67" s="51" t="str">
        <f>IFERROR(__xludf.DUMMYFUNCTION("""COMPUTED_VALUE"""),"A-4")</f>
        <v>A-4</v>
      </c>
      <c r="J67" s="51">
        <f>IFERROR(__xludf.DUMMYFUNCTION("""COMPUTED_VALUE"""),2.0)</f>
        <v>2</v>
      </c>
      <c r="K67" s="51" t="str">
        <f>IFERROR(__xludf.DUMMYFUNCTION("""COMPUTED_VALUE"""),"WUSTHO")</f>
        <v>WUSTHO</v>
      </c>
      <c r="L67" s="52" t="str">
        <f>IFERROR(__xludf.DUMMYFUNCTION("""COMPUTED_VALUE"""),"6282333978889")</f>
        <v>6282333978889</v>
      </c>
      <c r="M67" s="53"/>
      <c r="N67" s="53"/>
      <c r="O67" s="53"/>
      <c r="P67" s="53">
        <f>IFERROR(__xludf.DUMMYFUNCTION("""COMPUTED_VALUE"""),450000.0)</f>
        <v>450000</v>
      </c>
      <c r="Q67" s="53">
        <f>IFERROR(__xludf.DUMMYFUNCTION("""COMPUTED_VALUE"""),450000.0)</f>
        <v>450000</v>
      </c>
      <c r="R67" s="53">
        <f>IFERROR(__xludf.DUMMYFUNCTION("""COMPUTED_VALUE"""),450000.0)</f>
        <v>450000</v>
      </c>
      <c r="S67" s="53">
        <f>IFERROR(__xludf.DUMMYFUNCTION("""COMPUTED_VALUE"""),450000.0)</f>
        <v>450000</v>
      </c>
      <c r="T67" s="53">
        <f>IFERROR(__xludf.DUMMYFUNCTION("""COMPUTED_VALUE"""),450000.0)</f>
        <v>450000</v>
      </c>
      <c r="U67" s="53">
        <f>IFERROR(__xludf.DUMMYFUNCTION("""COMPUTED_VALUE"""),450000.0)</f>
        <v>450000</v>
      </c>
      <c r="V67" s="53">
        <f>IFERROR(__xludf.DUMMYFUNCTION("""COMPUTED_VALUE"""),450000.0)</f>
        <v>450000</v>
      </c>
      <c r="W67" s="53">
        <f>IFERROR(__xludf.DUMMYFUNCTION("""COMPUTED_VALUE"""),450000.0)</f>
        <v>450000</v>
      </c>
      <c r="X67" s="53">
        <f>IFERROR(__xludf.DUMMYFUNCTION("""COMPUTED_VALUE"""),450000.0)</f>
        <v>450000</v>
      </c>
      <c r="Y67" s="53">
        <f>IFERROR(__xludf.DUMMYFUNCTION("""COMPUTED_VALUE"""),450000.0)</f>
        <v>450000</v>
      </c>
      <c r="Z67" s="53">
        <f>IFERROR(__xludf.DUMMYFUNCTION("""COMPUTED_VALUE"""),450000.0)</f>
        <v>450000</v>
      </c>
      <c r="AA67" s="53"/>
      <c r="AB67" s="54">
        <f>IFERROR(__xludf.DUMMYFUNCTION("""COMPUTED_VALUE"""),500000.0)</f>
        <v>500000</v>
      </c>
      <c r="AC67" s="53"/>
      <c r="AD67" s="53"/>
      <c r="AE67" s="54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4">
        <f>IFERROR(__xludf.DUMMYFUNCTION("""COMPUTED_VALUE"""),500000.0)</f>
        <v>500000</v>
      </c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IFERROR(__xludf.DUMMYFUNCTION("""COMPUTED_VALUE"""),4950000.0)</f>
        <v>4950000</v>
      </c>
      <c r="BD67" s="54">
        <f>IFERROR(__xludf.DUMMYFUNCTION("""COMPUTED_VALUE"""),1000000.0)</f>
        <v>1000000</v>
      </c>
      <c r="BE67" s="54">
        <f>IFERROR(__xludf.DUMMYFUNCTION("""COMPUTED_VALUE"""),0.0)</f>
        <v>0</v>
      </c>
      <c r="BF67" s="55">
        <f>IFERROR(__xludf.DUMMYFUNCTION("""COMPUTED_VALUE"""),5950000.0)</f>
        <v>5950000</v>
      </c>
      <c r="BG67" s="53"/>
      <c r="BH67" s="53"/>
      <c r="BI67" s="53"/>
      <c r="BJ67" s="45"/>
      <c r="BK67" s="45"/>
      <c r="BL67" s="45"/>
      <c r="BM67" s="45"/>
      <c r="BN67" s="45"/>
      <c r="BO67" s="46"/>
    </row>
    <row r="68">
      <c r="A68" s="36">
        <f>IFERROR(__xludf.DUMMYFUNCTION("""COMPUTED_VALUE"""),67.0)</f>
        <v>67</v>
      </c>
      <c r="B68" s="37" t="str">
        <f>IFERROR(__xludf.DUMMYFUNCTION("""COMPUTED_VALUE"""),"MOCH. FEBRIZANSYAH SAPUTRA")</f>
        <v>MOCH. FEBRIZANSYAH SAPUTRA</v>
      </c>
      <c r="C68" s="38">
        <f>IFERROR(__xludf.DUMMYFUNCTION("""COMPUTED_VALUE"""),2.025070343E9)</f>
        <v>2025070343</v>
      </c>
      <c r="D68" s="37" t="str">
        <f>IFERROR(__xludf.DUMMYFUNCTION("""COMPUTED_VALUE"""),"MOH. SYAIFUDIN")</f>
        <v>MOH. SYAIFUDIN</v>
      </c>
      <c r="E68" s="37" t="str">
        <f>IFERROR(__xludf.DUMMYFUNCTION("""COMPUTED_VALUE"""),"ALIYA")</f>
        <v>ALIYA</v>
      </c>
      <c r="F68" s="37" t="str">
        <f>IFERROR(__xludf.DUMMYFUNCTION("""COMPUTED_VALUE"""),"PLANDI SUMBEREJO RT 001 RW 003 LAMONGAN LAMONGAN")</f>
        <v>PLANDI SUMBEREJO RT 001 RW 003 LAMONGAN LAMONGAN</v>
      </c>
      <c r="G68" s="39" t="str">
        <f>IFERROR(__xludf.DUMMYFUNCTION("""COMPUTED_VALUE"""),"MA-XI.8")</f>
        <v>MA-XI.8</v>
      </c>
      <c r="H68" s="36" t="str">
        <f>IFERROR(__xludf.DUMMYFUNCTION("""COMPUTED_VALUE"""),"A")</f>
        <v>A</v>
      </c>
      <c r="I68" s="40" t="str">
        <f>IFERROR(__xludf.DUMMYFUNCTION("""COMPUTED_VALUE"""),"A-4")</f>
        <v>A-4</v>
      </c>
      <c r="J68" s="40">
        <f>IFERROR(__xludf.DUMMYFUNCTION("""COMPUTED_VALUE"""),2.0)</f>
        <v>2</v>
      </c>
      <c r="K68" s="40" t="str">
        <f>IFERROR(__xludf.DUMMYFUNCTION("""COMPUTED_VALUE"""),"2 MAK PUTRA")</f>
        <v>2 MAK PUTRA</v>
      </c>
      <c r="L68" s="41" t="str">
        <f>IFERROR(__xludf.DUMMYFUNCTION("""COMPUTED_VALUE"""),"6285857260015")</f>
        <v>6285857260015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>
        <f>IFERROR(__xludf.DUMMYFUNCTION("""COMPUTED_VALUE"""),500000.0)</f>
        <v>500000</v>
      </c>
      <c r="AC68" s="42"/>
      <c r="AD68" s="43"/>
      <c r="AE68" s="43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>
        <f>IFERROR(__xludf.DUMMYFUNCTION("""COMPUTED_VALUE"""),500000.0)</f>
        <v>500000</v>
      </c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IFERROR(__xludf.DUMMYFUNCTION("""COMPUTED_VALUE"""),0.0)</f>
        <v>0</v>
      </c>
      <c r="BD68" s="43">
        <f>IFERROR(__xludf.DUMMYFUNCTION("""COMPUTED_VALUE"""),1000000.0)</f>
        <v>1000000</v>
      </c>
      <c r="BE68" s="43">
        <f>IFERROR(__xludf.DUMMYFUNCTION("""COMPUTED_VALUE"""),0.0)</f>
        <v>0</v>
      </c>
      <c r="BF68" s="44">
        <f>IFERROR(__xludf.DUMMYFUNCTION("""COMPUTED_VALUE"""),1000000.0)</f>
        <v>1000000</v>
      </c>
      <c r="BG68" s="42"/>
      <c r="BH68" s="42"/>
      <c r="BI68" s="42"/>
      <c r="BJ68" s="45"/>
      <c r="BK68" s="45"/>
      <c r="BL68" s="45"/>
      <c r="BM68" s="45"/>
      <c r="BN68" s="45"/>
      <c r="BO68" s="46"/>
    </row>
    <row r="69">
      <c r="A69" s="47">
        <f>IFERROR(__xludf.DUMMYFUNCTION("""COMPUTED_VALUE"""),68.0)</f>
        <v>68</v>
      </c>
      <c r="B69" s="48" t="str">
        <f>IFERROR(__xludf.DUMMYFUNCTION("""COMPUTED_VALUE"""),"MOH. AQIL MUBAROK")</f>
        <v>MOH. AQIL MUBAROK</v>
      </c>
      <c r="C69" s="49">
        <f>IFERROR(__xludf.DUMMYFUNCTION("""COMPUTED_VALUE"""),2.025070219E9)</f>
        <v>2025070219</v>
      </c>
      <c r="D69" s="48" t="str">
        <f>IFERROR(__xludf.DUMMYFUNCTION("""COMPUTED_VALUE"""),"SUTAMAT")</f>
        <v>SUTAMAT</v>
      </c>
      <c r="E69" s="48" t="str">
        <f>IFERROR(__xludf.DUMMYFUNCTION("""COMPUTED_VALUE"""),"SITI ISMAROH")</f>
        <v>SITI ISMAROH</v>
      </c>
      <c r="F69" s="48" t="str">
        <f>IFERROR(__xludf.DUMMYFUNCTION("""COMPUTED_VALUE"""),"TALE BLURI RT 001 RW 001 SOLOKURO LAMONGAN")</f>
        <v>TALE BLURI RT 001 RW 001 SOLOKURO LAMONGAN</v>
      </c>
      <c r="G69" s="50" t="str">
        <f>IFERROR(__xludf.DUMMYFUNCTION("""COMPUTED_VALUE"""),"MA-XI.9")</f>
        <v>MA-XI.9</v>
      </c>
      <c r="H69" s="47" t="str">
        <f>IFERROR(__xludf.DUMMYFUNCTION("""COMPUTED_VALUE"""),"A")</f>
        <v>A</v>
      </c>
      <c r="I69" s="51" t="str">
        <f>IFERROR(__xludf.DUMMYFUNCTION("""COMPUTED_VALUE"""),"A-4")</f>
        <v>A-4</v>
      </c>
      <c r="J69" s="51">
        <f>IFERROR(__xludf.DUMMYFUNCTION("""COMPUTED_VALUE"""),2.0)</f>
        <v>2</v>
      </c>
      <c r="K69" s="51" t="str">
        <f>IFERROR(__xludf.DUMMYFUNCTION("""COMPUTED_VALUE"""),"2 WUSTHO A PUTRA")</f>
        <v>2 WUSTHO A PUTRA</v>
      </c>
      <c r="L69" s="52" t="str">
        <f>IFERROR(__xludf.DUMMYFUNCTION("""COMPUTED_VALUE"""),"6283169854714")</f>
        <v>6283169854714</v>
      </c>
      <c r="M69" s="53"/>
      <c r="N69" s="53"/>
      <c r="O69" s="53"/>
      <c r="P69" s="53"/>
      <c r="Q69" s="53"/>
      <c r="R69" s="53"/>
      <c r="S69" s="53"/>
      <c r="T69" s="53">
        <f>IFERROR(__xludf.DUMMYFUNCTION("""COMPUTED_VALUE"""),450000.0)</f>
        <v>450000</v>
      </c>
      <c r="U69" s="53">
        <f>IFERROR(__xludf.DUMMYFUNCTION("""COMPUTED_VALUE"""),450000.0)</f>
        <v>450000</v>
      </c>
      <c r="V69" s="53">
        <f>IFERROR(__xludf.DUMMYFUNCTION("""COMPUTED_VALUE"""),450000.0)</f>
        <v>450000</v>
      </c>
      <c r="W69" s="53">
        <f>IFERROR(__xludf.DUMMYFUNCTION("""COMPUTED_VALUE"""),450000.0)</f>
        <v>450000</v>
      </c>
      <c r="X69" s="53">
        <f>IFERROR(__xludf.DUMMYFUNCTION("""COMPUTED_VALUE"""),450000.0)</f>
        <v>450000</v>
      </c>
      <c r="Y69" s="53">
        <f>IFERROR(__xludf.DUMMYFUNCTION("""COMPUTED_VALUE"""),450000.0)</f>
        <v>450000</v>
      </c>
      <c r="Z69" s="53">
        <f>IFERROR(__xludf.DUMMYFUNCTION("""COMPUTED_VALUE"""),450000.0)</f>
        <v>450000</v>
      </c>
      <c r="AA69" s="53"/>
      <c r="AB69" s="53">
        <f>IFERROR(__xludf.DUMMYFUNCTION("""COMPUTED_VALUE"""),500000.0)</f>
        <v>500000</v>
      </c>
      <c r="AC69" s="53"/>
      <c r="AD69" s="53"/>
      <c r="AE69" s="54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>
        <f>IFERROR(__xludf.DUMMYFUNCTION("""COMPUTED_VALUE"""),500000.0)</f>
        <v>500000</v>
      </c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3"/>
      <c r="BH69" s="53"/>
      <c r="BI69" s="53"/>
      <c r="BJ69" s="45"/>
      <c r="BK69" s="45"/>
      <c r="BL69" s="45"/>
      <c r="BM69" s="45"/>
      <c r="BN69" s="45"/>
      <c r="BO69" s="46"/>
    </row>
    <row r="70">
      <c r="A70" s="36">
        <f>IFERROR(__xludf.DUMMYFUNCTION("""COMPUTED_VALUE"""),69.0)</f>
        <v>69</v>
      </c>
      <c r="B70" s="37" t="str">
        <f>IFERROR(__xludf.DUMMYFUNCTION("""COMPUTED_VALUE"""),"MOH. ELMAR NAFARIL HANIS")</f>
        <v>MOH. ELMAR NAFARIL HANIS</v>
      </c>
      <c r="C70" s="38">
        <f>IFERROR(__xludf.DUMMYFUNCTION("""COMPUTED_VALUE"""),2.025070616E9)</f>
        <v>2025070616</v>
      </c>
      <c r="D70" s="37" t="str">
        <f>IFERROR(__xludf.DUMMYFUNCTION("""COMPUTED_VALUE"""),"IMRON HABIB")</f>
        <v>IMRON HABIB</v>
      </c>
      <c r="E70" s="37" t="str">
        <f>IFERROR(__xludf.DUMMYFUNCTION("""COMPUTED_VALUE"""),"SITI NISWATUN HASANAH")</f>
        <v>SITI NISWATUN HASANAH</v>
      </c>
      <c r="F70" s="37" t="str">
        <f>IFERROR(__xludf.DUMMYFUNCTION("""COMPUTED_VALUE"""),"DATINAWONG RT 001 RW 006 BABAT LAMONGAN")</f>
        <v>DATINAWONG RT 001 RW 006 BABAT LAMONGAN</v>
      </c>
      <c r="G70" s="39" t="str">
        <f>IFERROR(__xludf.DUMMYFUNCTION("""COMPUTED_VALUE"""),"MTS-8 E")</f>
        <v>MTS-8 E</v>
      </c>
      <c r="H70" s="36" t="str">
        <f>IFERROR(__xludf.DUMMYFUNCTION("""COMPUTED_VALUE"""),"A")</f>
        <v>A</v>
      </c>
      <c r="I70" s="40" t="str">
        <f>IFERROR(__xludf.DUMMYFUNCTION("""COMPUTED_VALUE"""),"A-1")</f>
        <v>A-1</v>
      </c>
      <c r="J70" s="40">
        <f>IFERROR(__xludf.DUMMYFUNCTION("""COMPUTED_VALUE"""),2.0)</f>
        <v>2</v>
      </c>
      <c r="K70" s="40" t="str">
        <f>IFERROR(__xludf.DUMMYFUNCTION("""COMPUTED_VALUE"""),"2 ULA B PUTRA")</f>
        <v>2 ULA B PUTRA</v>
      </c>
      <c r="L70" s="41" t="str">
        <f>IFERROR(__xludf.DUMMYFUNCTION("""COMPUTED_VALUE"""),"6281332384248")</f>
        <v>6281332384248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3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IFERROR(__xludf.DUMMYFUNCTION("""COMPUTED_VALUE"""),0.0)</f>
        <v>0</v>
      </c>
      <c r="BD70" s="43">
        <f>IFERROR(__xludf.DUMMYFUNCTION("""COMPUTED_VALUE"""),0.0)</f>
        <v>0</v>
      </c>
      <c r="BE70" s="43">
        <f>IFERROR(__xludf.DUMMYFUNCTION("""COMPUTED_VALUE"""),0.0)</f>
        <v>0</v>
      </c>
      <c r="BF70" s="44">
        <f>IFERROR(__xludf.DUMMYFUNCTION("""COMPUTED_VALUE"""),0.0)</f>
        <v>0</v>
      </c>
      <c r="BG70" s="42"/>
      <c r="BH70" s="42"/>
      <c r="BI70" s="42"/>
      <c r="BJ70" s="45"/>
      <c r="BK70" s="45"/>
      <c r="BL70" s="45"/>
      <c r="BM70" s="45"/>
      <c r="BN70" s="45"/>
      <c r="BO70" s="46"/>
    </row>
    <row r="71">
      <c r="A71" s="47">
        <f>IFERROR(__xludf.DUMMYFUNCTION("""COMPUTED_VALUE"""),70.0)</f>
        <v>70</v>
      </c>
      <c r="B71" s="48" t="str">
        <f>IFERROR(__xludf.DUMMYFUNCTION("""COMPUTED_VALUE"""),"MOH. FADLIL SAPUTRA")</f>
        <v>MOH. FADLIL SAPUTRA</v>
      </c>
      <c r="C71" s="49">
        <f>IFERROR(__xludf.DUMMYFUNCTION("""COMPUTED_VALUE"""),2.025070416E9)</f>
        <v>2025070416</v>
      </c>
      <c r="D71" s="48" t="str">
        <f>IFERROR(__xludf.DUMMYFUNCTION("""COMPUTED_VALUE"""),"AMARI")</f>
        <v>AMARI</v>
      </c>
      <c r="E71" s="48" t="str">
        <f>IFERROR(__xludf.DUMMYFUNCTION("""COMPUTED_VALUE"""),"TUMIASRI")</f>
        <v>TUMIASRI</v>
      </c>
      <c r="F71" s="48" t="str">
        <f>IFERROR(__xludf.DUMMYFUNCTION("""COMPUTED_VALUE"""),"KULURAN RT 002 RW 007 KALITENGAH LAMONGAN")</f>
        <v>KULURAN RT 002 RW 007 KALITENGAH LAMONGAN</v>
      </c>
      <c r="G71" s="50" t="str">
        <f>IFERROR(__xludf.DUMMYFUNCTION("""COMPUTED_VALUE"""),"MA-XI.13")</f>
        <v>MA-XI.13</v>
      </c>
      <c r="H71" s="47" t="str">
        <f>IFERROR(__xludf.DUMMYFUNCTION("""COMPUTED_VALUE"""),"A")</f>
        <v>A</v>
      </c>
      <c r="I71" s="51" t="str">
        <f>IFERROR(__xludf.DUMMYFUNCTION("""COMPUTED_VALUE"""),"A-2")</f>
        <v>A-2</v>
      </c>
      <c r="J71" s="51">
        <f>IFERROR(__xludf.DUMMYFUNCTION("""COMPUTED_VALUE"""),2.0)</f>
        <v>2</v>
      </c>
      <c r="K71" s="51" t="str">
        <f>IFERROR(__xludf.DUMMYFUNCTION("""COMPUTED_VALUE"""),"2 MAK PUTRA")</f>
        <v>2 MAK PUTRA</v>
      </c>
      <c r="L71" s="52" t="str">
        <f>IFERROR(__xludf.DUMMYFUNCTION("""COMPUTED_VALUE"""),"6285852082730")</f>
        <v>6285852082730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4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3"/>
      <c r="BH71" s="53"/>
      <c r="BI71" s="53"/>
      <c r="BJ71" s="45"/>
      <c r="BK71" s="45"/>
      <c r="BL71" s="45"/>
      <c r="BM71" s="45"/>
      <c r="BN71" s="45"/>
      <c r="BO71" s="46"/>
    </row>
    <row r="72">
      <c r="A72" s="36">
        <f>IFERROR(__xludf.DUMMYFUNCTION("""COMPUTED_VALUE"""),71.0)</f>
        <v>71</v>
      </c>
      <c r="B72" s="37" t="str">
        <f>IFERROR(__xludf.DUMMYFUNCTION("""COMPUTED_VALUE"""),"MOH. FAUQON HALWANI")</f>
        <v>MOH. FAUQON HALWANI</v>
      </c>
      <c r="C72" s="38">
        <f>IFERROR(__xludf.DUMMYFUNCTION("""COMPUTED_VALUE"""),2.025070564E9)</f>
        <v>2025070564</v>
      </c>
      <c r="D72" s="37" t="str">
        <f>IFERROR(__xludf.DUMMYFUNCTION("""COMPUTED_VALUE"""),"IHWAN HADI")</f>
        <v>IHWAN HADI</v>
      </c>
      <c r="E72" s="37" t="str">
        <f>IFERROR(__xludf.DUMMYFUNCTION("""COMPUTED_VALUE"""),"AMALIATIN")</f>
        <v>AMALIATIN</v>
      </c>
      <c r="F72" s="37" t="str">
        <f>IFERROR(__xludf.DUMMYFUNCTION("""COMPUTED_VALUE"""),"KIRINGAN BERASAN KEMLAGILOR RT 004 RW 003 TURI LAMONGAN")</f>
        <v>KIRINGAN BERASAN KEMLAGILOR RT 004 RW 003 TURI LAMONGAN</v>
      </c>
      <c r="G72" s="39" t="str">
        <f>IFERROR(__xludf.DUMMYFUNCTION("""COMPUTED_VALUE"""),"MTS-8 F")</f>
        <v>MTS-8 F</v>
      </c>
      <c r="H72" s="36" t="str">
        <f>IFERROR(__xludf.DUMMYFUNCTION("""COMPUTED_VALUE"""),"A")</f>
        <v>A</v>
      </c>
      <c r="I72" s="42" t="str">
        <f>IFERROR(__xludf.DUMMYFUNCTION("""COMPUTED_VALUE"""),"A-1")</f>
        <v>A-1</v>
      </c>
      <c r="J72" s="40">
        <f>IFERROR(__xludf.DUMMYFUNCTION("""COMPUTED_VALUE"""),2.0)</f>
        <v>2</v>
      </c>
      <c r="K72" s="40" t="str">
        <f>IFERROR(__xludf.DUMMYFUNCTION("""COMPUTED_VALUE"""),"2 ULA B PUTRA")</f>
        <v>2 ULA B PUTRA</v>
      </c>
      <c r="L72" s="41" t="str">
        <f>IFERROR(__xludf.DUMMYFUNCTION("""COMPUTED_VALUE"""),"6285806002627")</f>
        <v>6285806002627</v>
      </c>
      <c r="M72" s="42"/>
      <c r="N72" s="42"/>
      <c r="O72" s="42"/>
      <c r="P72" s="42"/>
      <c r="Q72" s="42"/>
      <c r="R72" s="42"/>
      <c r="S72" s="42"/>
      <c r="T72" s="42"/>
      <c r="U72" s="42"/>
      <c r="V72" s="42">
        <f>IFERROR(__xludf.DUMMYFUNCTION("""COMPUTED_VALUE"""),450000.0)</f>
        <v>450000</v>
      </c>
      <c r="W72" s="42">
        <f>IFERROR(__xludf.DUMMYFUNCTION("""COMPUTED_VALUE"""),450000.0)</f>
        <v>450000</v>
      </c>
      <c r="X72" s="43">
        <f>IFERROR(__xludf.DUMMYFUNCTION("""COMPUTED_VALUE"""),450000.0)</f>
        <v>450000</v>
      </c>
      <c r="Y72" s="43">
        <f>IFERROR(__xludf.DUMMYFUNCTION("""COMPUTED_VALUE"""),450000.0)</f>
        <v>450000</v>
      </c>
      <c r="Z72" s="43">
        <f>IFERROR(__xludf.DUMMYFUNCTION("""COMPUTED_VALUE"""),450000.0)</f>
        <v>450000</v>
      </c>
      <c r="AA72" s="43"/>
      <c r="AB72" s="43">
        <f>IFERROR(__xludf.DUMMYFUNCTION("""COMPUTED_VALUE"""),500000.0)</f>
        <v>500000</v>
      </c>
      <c r="AC72" s="43"/>
      <c r="AD72" s="43"/>
      <c r="AE72" s="43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3">
        <f>IFERROR(__xludf.DUMMYFUNCTION("""COMPUTED_VALUE"""),500000.0)</f>
        <v>500000</v>
      </c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IFERROR(__xludf.DUMMYFUNCTION("""COMPUTED_VALUE"""),2250000.0)</f>
        <v>2250000</v>
      </c>
      <c r="BD72" s="43">
        <f>IFERROR(__xludf.DUMMYFUNCTION("""COMPUTED_VALUE"""),1000000.0)</f>
        <v>1000000</v>
      </c>
      <c r="BE72" s="43">
        <f>IFERROR(__xludf.DUMMYFUNCTION("""COMPUTED_VALUE"""),0.0)</f>
        <v>0</v>
      </c>
      <c r="BF72" s="44">
        <f>IFERROR(__xludf.DUMMYFUNCTION("""COMPUTED_VALUE"""),3250000.0)</f>
        <v>3250000</v>
      </c>
      <c r="BG72" s="42"/>
      <c r="BH72" s="42"/>
      <c r="BI72" s="42"/>
      <c r="BJ72" s="45"/>
      <c r="BK72" s="45"/>
      <c r="BL72" s="45"/>
      <c r="BM72" s="45"/>
      <c r="BN72" s="45"/>
      <c r="BO72" s="46"/>
    </row>
    <row r="73">
      <c r="A73" s="47">
        <f>IFERROR(__xludf.DUMMYFUNCTION("""COMPUTED_VALUE"""),72.0)</f>
        <v>72</v>
      </c>
      <c r="B73" s="48" t="str">
        <f>IFERROR(__xludf.DUMMYFUNCTION("""COMPUTED_VALUE"""),"MOH. HAYKAL ZAHID AZZA")</f>
        <v>MOH. HAYKAL ZAHID AZZA</v>
      </c>
      <c r="C73" s="49">
        <f>IFERROR(__xludf.DUMMYFUNCTION("""COMPUTED_VALUE"""),2.025070435E9)</f>
        <v>2025070435</v>
      </c>
      <c r="D73" s="48" t="str">
        <f>IFERROR(__xludf.DUMMYFUNCTION("""COMPUTED_VALUE"""),"AHMAD ZUHDIANTO")</f>
        <v>AHMAD ZUHDIANTO</v>
      </c>
      <c r="E73" s="48" t="str">
        <f>IFERROR(__xludf.DUMMYFUNCTION("""COMPUTED_VALUE"""),"FITROTIN AZIZAH")</f>
        <v>FITROTIN AZIZAH</v>
      </c>
      <c r="F73" s="48" t="str">
        <f>IFERROR(__xludf.DUMMYFUNCTION("""COMPUTED_VALUE"""),"BANJARMADU RT 002 RW 001 KARANGGENENG LAMONGAN")</f>
        <v>BANJARMADU RT 002 RW 001 KARANGGENENG LAMONGAN</v>
      </c>
      <c r="G73" s="50" t="str">
        <f>IFERROR(__xludf.DUMMYFUNCTION("""COMPUTED_VALUE"""),"SMK-XI DKV")</f>
        <v>SMK-XI DKV</v>
      </c>
      <c r="H73" s="47" t="str">
        <f>IFERROR(__xludf.DUMMYFUNCTION("""COMPUTED_VALUE"""),"A")</f>
        <v>A</v>
      </c>
      <c r="I73" s="51" t="str">
        <f>IFERROR(__xludf.DUMMYFUNCTION("""COMPUTED_VALUE"""),"A-9")</f>
        <v>A-9</v>
      </c>
      <c r="J73" s="51">
        <f>IFERROR(__xludf.DUMMYFUNCTION("""COMPUTED_VALUE"""),2.0)</f>
        <v>2</v>
      </c>
      <c r="K73" s="51" t="str">
        <f>IFERROR(__xludf.DUMMYFUNCTION("""COMPUTED_VALUE"""),"2 WUSTHO B PUTRA")</f>
        <v>2 WUSTHO B PUTRA</v>
      </c>
      <c r="L73" s="52" t="str">
        <f>IFERROR(__xludf.DUMMYFUNCTION("""COMPUTED_VALUE"""),"6285655316184")</f>
        <v>6285655316184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4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4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IFERROR(__xludf.DUMMYFUNCTION("""COMPUTED_VALUE"""),0.0)</f>
        <v>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IFERROR(__xludf.DUMMYFUNCTION("""COMPUTED_VALUE"""),0.0)</f>
        <v>0</v>
      </c>
      <c r="BG73" s="53"/>
      <c r="BH73" s="53"/>
      <c r="BI73" s="53"/>
      <c r="BJ73" s="45"/>
      <c r="BK73" s="45"/>
      <c r="BL73" s="45"/>
      <c r="BM73" s="45"/>
      <c r="BN73" s="45"/>
      <c r="BO73" s="46"/>
    </row>
    <row r="74">
      <c r="A74" s="36">
        <f>IFERROR(__xludf.DUMMYFUNCTION("""COMPUTED_VALUE"""),73.0)</f>
        <v>73</v>
      </c>
      <c r="B74" s="37" t="str">
        <f>IFERROR(__xludf.DUMMYFUNCTION("""COMPUTED_VALUE"""),"MOHAMMAD BAGAS ARDIAN PUTRA")</f>
        <v>MOHAMMAD BAGAS ARDIAN PUTRA</v>
      </c>
      <c r="C74" s="38">
        <f>IFERROR(__xludf.DUMMYFUNCTION("""COMPUTED_VALUE"""),2.02507012E9)</f>
        <v>2025070120</v>
      </c>
      <c r="D74" s="37" t="str">
        <f>IFERROR(__xludf.DUMMYFUNCTION("""COMPUTED_VALUE"""),"NARDI")</f>
        <v>NARDI</v>
      </c>
      <c r="E74" s="37" t="str">
        <f>IFERROR(__xludf.DUMMYFUNCTION("""COMPUTED_VALUE"""),"FAJRIN KHOTIMA")</f>
        <v>FAJRIN KHOTIMA</v>
      </c>
      <c r="F74" s="37" t="str">
        <f>IFERROR(__xludf.DUMMYFUNCTION("""COMPUTED_VALUE"""),"KLATING TAKERANKLATING RT 005 RW 001 TIKUNG LAMONGAN")</f>
        <v>KLATING TAKERANKLATING RT 005 RW 001 TIKUNG LAMONGAN</v>
      </c>
      <c r="G74" s="39" t="str">
        <f>IFERROR(__xludf.DUMMYFUNCTION("""COMPUTED_VALUE"""),"MA-XI.13")</f>
        <v>MA-XI.13</v>
      </c>
      <c r="H74" s="36" t="str">
        <f>IFERROR(__xludf.DUMMYFUNCTION("""COMPUTED_VALUE"""),"A")</f>
        <v>A</v>
      </c>
      <c r="I74" s="40" t="str">
        <f>IFERROR(__xludf.DUMMYFUNCTION("""COMPUTED_VALUE"""),"A-4")</f>
        <v>A-4</v>
      </c>
      <c r="J74" s="40">
        <f>IFERROR(__xludf.DUMMYFUNCTION("""COMPUTED_VALUE"""),2.0)</f>
        <v>2</v>
      </c>
      <c r="K74" s="40" t="str">
        <f>IFERROR(__xludf.DUMMYFUNCTION("""COMPUTED_VALUE"""),"2 MAK PUTRA")</f>
        <v>2 MAK PUTRA</v>
      </c>
      <c r="L74" s="41" t="str">
        <f>IFERROR(__xludf.DUMMYFUNCTION("""COMPUTED_VALUE"""),"6281235897606")</f>
        <v>6281235897606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>
        <f>IFERROR(__xludf.DUMMYFUNCTION("""COMPUTED_VALUE"""),450000.0)</f>
        <v>450000</v>
      </c>
      <c r="AA74" s="42"/>
      <c r="AB74" s="42">
        <f>IFERROR(__xludf.DUMMYFUNCTION("""COMPUTED_VALUE"""),500000.0)</f>
        <v>500000</v>
      </c>
      <c r="AC74" s="42"/>
      <c r="AD74" s="42"/>
      <c r="AE74" s="43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3">
        <f>IFERROR(__xludf.DUMMYFUNCTION("""COMPUTED_VALUE"""),500000.0)</f>
        <v>500000</v>
      </c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IFERROR(__xludf.DUMMYFUNCTION("""COMPUTED_VALUE"""),450000.0)</f>
        <v>450000</v>
      </c>
      <c r="BD74" s="43">
        <f>IFERROR(__xludf.DUMMYFUNCTION("""COMPUTED_VALUE"""),1000000.0)</f>
        <v>1000000</v>
      </c>
      <c r="BE74" s="43">
        <f>IFERROR(__xludf.DUMMYFUNCTION("""COMPUTED_VALUE"""),0.0)</f>
        <v>0</v>
      </c>
      <c r="BF74" s="44">
        <f>IFERROR(__xludf.DUMMYFUNCTION("""COMPUTED_VALUE"""),1450000.0)</f>
        <v>1450000</v>
      </c>
      <c r="BG74" s="42"/>
      <c r="BH74" s="42"/>
      <c r="BI74" s="42"/>
      <c r="BJ74" s="45"/>
      <c r="BK74" s="45"/>
      <c r="BL74" s="45"/>
      <c r="BM74" s="45"/>
      <c r="BN74" s="45"/>
      <c r="BO74" s="46"/>
    </row>
    <row r="75">
      <c r="A75" s="47">
        <f>IFERROR(__xludf.DUMMYFUNCTION("""COMPUTED_VALUE"""),74.0)</f>
        <v>74</v>
      </c>
      <c r="B75" s="48" t="str">
        <f>IFERROR(__xludf.DUMMYFUNCTION("""COMPUTED_VALUE"""),"MOHAMMAD MAKKI RAFIQNA ADABI")</f>
        <v>MOHAMMAD MAKKI RAFIQNA ADABI</v>
      </c>
      <c r="C75" s="49">
        <f>IFERROR(__xludf.DUMMYFUNCTION("""COMPUTED_VALUE"""),2.025070409E9)</f>
        <v>2025070409</v>
      </c>
      <c r="D75" s="48" t="str">
        <f>IFERROR(__xludf.DUMMYFUNCTION("""COMPUTED_VALUE"""),"MOH IMRON")</f>
        <v>MOH IMRON</v>
      </c>
      <c r="E75" s="48" t="str">
        <f>IFERROR(__xludf.DUMMYFUNCTION("""COMPUTED_VALUE"""),"IIS MAFIDAH")</f>
        <v>IIS MAFIDAH</v>
      </c>
      <c r="F75" s="48" t="str">
        <f>IFERROR(__xludf.DUMMYFUNCTION("""COMPUTED_VALUE"""),"GEDANGAN RT 002 RW 006 SIDAYU GRESIK")</f>
        <v>GEDANGAN RT 002 RW 006 SIDAYU GRESIK</v>
      </c>
      <c r="G75" s="50" t="str">
        <f>IFERROR(__xludf.DUMMYFUNCTION("""COMPUTED_VALUE"""),"MA-XI.13")</f>
        <v>MA-XI.13</v>
      </c>
      <c r="H75" s="47" t="str">
        <f>IFERROR(__xludf.DUMMYFUNCTION("""COMPUTED_VALUE"""),"A")</f>
        <v>A</v>
      </c>
      <c r="I75" s="53" t="str">
        <f>IFERROR(__xludf.DUMMYFUNCTION("""COMPUTED_VALUE"""),"A-4")</f>
        <v>A-4</v>
      </c>
      <c r="J75" s="51">
        <f>IFERROR(__xludf.DUMMYFUNCTION("""COMPUTED_VALUE"""),2.0)</f>
        <v>2</v>
      </c>
      <c r="K75" s="51" t="str">
        <f>IFERROR(__xludf.DUMMYFUNCTION("""COMPUTED_VALUE"""),"2 MAK PUTRA")</f>
        <v>2 MAK PUTRA</v>
      </c>
      <c r="L75" s="52" t="str">
        <f>IFERROR(__xludf.DUMMYFUNCTION("""COMPUTED_VALUE"""),"6285749696444")</f>
        <v>6285749696444</v>
      </c>
      <c r="M75" s="53"/>
      <c r="N75" s="53"/>
      <c r="O75" s="53"/>
      <c r="P75" s="53"/>
      <c r="Q75" s="53"/>
      <c r="R75" s="53"/>
      <c r="S75" s="53"/>
      <c r="T75" s="53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4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3"/>
      <c r="BH75" s="53"/>
      <c r="BI75" s="53"/>
      <c r="BJ75" s="45"/>
      <c r="BK75" s="45"/>
      <c r="BL75" s="45"/>
      <c r="BM75" s="45"/>
      <c r="BN75" s="45"/>
      <c r="BO75" s="46"/>
    </row>
    <row r="76">
      <c r="A76" s="36">
        <f>IFERROR(__xludf.DUMMYFUNCTION("""COMPUTED_VALUE"""),75.0)</f>
        <v>75</v>
      </c>
      <c r="B76" s="37" t="str">
        <f>IFERROR(__xludf.DUMMYFUNCTION("""COMPUTED_VALUE"""),"MOHAMMAD RIDHO")</f>
        <v>MOHAMMAD RIDHO</v>
      </c>
      <c r="C76" s="38">
        <f>IFERROR(__xludf.DUMMYFUNCTION("""COMPUTED_VALUE"""),2.025070376E9)</f>
        <v>2025070376</v>
      </c>
      <c r="D76" s="37" t="str">
        <f>IFERROR(__xludf.DUMMYFUNCTION("""COMPUTED_VALUE"""),"RAHMAT")</f>
        <v>RAHMAT</v>
      </c>
      <c r="E76" s="37" t="str">
        <f>IFERROR(__xludf.DUMMYFUNCTION("""COMPUTED_VALUE"""),"SITI MAHMUDAH")</f>
        <v>SITI MAHMUDAH</v>
      </c>
      <c r="F76" s="37" t="str">
        <f>IFERROR(__xludf.DUMMYFUNCTION("""COMPUTED_VALUE"""),"BAMBANG RT 004 RW 001 TURI LAMONGAN")</f>
        <v>BAMBANG RT 004 RW 001 TURI LAMONGAN</v>
      </c>
      <c r="G76" s="39" t="str">
        <f>IFERROR(__xludf.DUMMYFUNCTION("""COMPUTED_VALUE"""),"MA-XI.5")</f>
        <v>MA-XI.5</v>
      </c>
      <c r="H76" s="36" t="str">
        <f>IFERROR(__xludf.DUMMYFUNCTION("""COMPUTED_VALUE"""),"A")</f>
        <v>A</v>
      </c>
      <c r="I76" s="40" t="str">
        <f>IFERROR(__xludf.DUMMYFUNCTION("""COMPUTED_VALUE"""),"A-4")</f>
        <v>A-4</v>
      </c>
      <c r="J76" s="40">
        <f>IFERROR(__xludf.DUMMYFUNCTION("""COMPUTED_VALUE"""),2.0)</f>
        <v>2</v>
      </c>
      <c r="K76" s="40" t="str">
        <f>IFERROR(__xludf.DUMMYFUNCTION("""COMPUTED_VALUE"""),"2 WUSTHO B PUTRA")</f>
        <v>2 WUSTHO B PUTRA</v>
      </c>
      <c r="L76" s="41" t="str">
        <f>IFERROR(__xludf.DUMMYFUNCTION("""COMPUTED_VALUE"""),"6285718313441")</f>
        <v>6285718313441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>
        <f>IFERROR(__xludf.DUMMYFUNCTION("""COMPUTED_VALUE"""),500000.0)</f>
        <v>500000</v>
      </c>
      <c r="AC76" s="42"/>
      <c r="AD76" s="42"/>
      <c r="AE76" s="43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>
        <f>IFERROR(__xludf.DUMMYFUNCTION("""COMPUTED_VALUE"""),500000.0)</f>
        <v>500000</v>
      </c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IFERROR(__xludf.DUMMYFUNCTION("""COMPUTED_VALUE"""),1000000.0)</f>
        <v>1000000</v>
      </c>
      <c r="BE76" s="43">
        <f>IFERROR(__xludf.DUMMYFUNCTION("""COMPUTED_VALUE"""),0.0)</f>
        <v>0</v>
      </c>
      <c r="BF76" s="44">
        <f>IFERROR(__xludf.DUMMYFUNCTION("""COMPUTED_VALUE"""),1000000.0)</f>
        <v>1000000</v>
      </c>
      <c r="BG76" s="42"/>
      <c r="BH76" s="42"/>
      <c r="BI76" s="42"/>
      <c r="BJ76" s="45"/>
      <c r="BK76" s="45"/>
      <c r="BL76" s="45"/>
      <c r="BM76" s="45"/>
      <c r="BN76" s="45"/>
      <c r="BO76" s="46"/>
    </row>
    <row r="77">
      <c r="A77" s="47">
        <f>IFERROR(__xludf.DUMMYFUNCTION("""COMPUTED_VALUE"""),76.0)</f>
        <v>76</v>
      </c>
      <c r="B77" s="48" t="str">
        <f>IFERROR(__xludf.DUMMYFUNCTION("""COMPUTED_VALUE"""),"MOHAMMAD RISWANDA IMAWAN")</f>
        <v>MOHAMMAD RISWANDA IMAWAN</v>
      </c>
      <c r="C77" s="49">
        <f>IFERROR(__xludf.DUMMYFUNCTION("""COMPUTED_VALUE"""),2.025070623E9)</f>
        <v>2025070623</v>
      </c>
      <c r="D77" s="48" t="str">
        <f>IFERROR(__xludf.DUMMYFUNCTION("""COMPUTED_VALUE"""),"ZAINUL ARIFIN")</f>
        <v>ZAINUL ARIFIN</v>
      </c>
      <c r="E77" s="48" t="str">
        <f>IFERROR(__xludf.DUMMYFUNCTION("""COMPUTED_VALUE"""),"MUSANATUN")</f>
        <v>MUSANATUN</v>
      </c>
      <c r="F77" s="48" t="str">
        <f>IFERROR(__xludf.DUMMYFUNCTION("""COMPUTED_VALUE"""),"KULURAN RT 005 RW 001 KALITENGAH LAMONGAN")</f>
        <v>KULURAN RT 005 RW 001 KALITENGAH LAMONGAN</v>
      </c>
      <c r="G77" s="50" t="str">
        <f>IFERROR(__xludf.DUMMYFUNCTION("""COMPUTED_VALUE"""),"MTS-8 F")</f>
        <v>MTS-8 F</v>
      </c>
      <c r="H77" s="47" t="str">
        <f>IFERROR(__xludf.DUMMYFUNCTION("""COMPUTED_VALUE"""),"A")</f>
        <v>A</v>
      </c>
      <c r="I77" s="51" t="str">
        <f>IFERROR(__xludf.DUMMYFUNCTION("""COMPUTED_VALUE"""),"A-1")</f>
        <v>A-1</v>
      </c>
      <c r="J77" s="51">
        <f>IFERROR(__xludf.DUMMYFUNCTION("""COMPUTED_VALUE"""),2.0)</f>
        <v>2</v>
      </c>
      <c r="K77" s="51" t="str">
        <f>IFERROR(__xludf.DUMMYFUNCTION("""COMPUTED_VALUE"""),"2 ULA B PUTRA")</f>
        <v>2 ULA B PUTRA</v>
      </c>
      <c r="L77" s="52" t="str">
        <f>IFERROR(__xludf.DUMMYFUNCTION("""COMPUTED_VALUE"""),"6285604160825")</f>
        <v>6285604160825</v>
      </c>
      <c r="M77" s="53"/>
      <c r="N77" s="53"/>
      <c r="O77" s="53"/>
      <c r="P77" s="53"/>
      <c r="Q77" s="53"/>
      <c r="R77" s="53"/>
      <c r="S77" s="53">
        <f>IFERROR(__xludf.DUMMYFUNCTION("""COMPUTED_VALUE"""),450000.0)</f>
        <v>450000</v>
      </c>
      <c r="T77" s="53">
        <f>IFERROR(__xludf.DUMMYFUNCTION("""COMPUTED_VALUE"""),450000.0)</f>
        <v>450000</v>
      </c>
      <c r="U77" s="53">
        <f>IFERROR(__xludf.DUMMYFUNCTION("""COMPUTED_VALUE"""),450000.0)</f>
        <v>450000</v>
      </c>
      <c r="V77" s="53">
        <f>IFERROR(__xludf.DUMMYFUNCTION("""COMPUTED_VALUE"""),450000.0)</f>
        <v>450000</v>
      </c>
      <c r="W77" s="53">
        <f>IFERROR(__xludf.DUMMYFUNCTION("""COMPUTED_VALUE"""),450000.0)</f>
        <v>450000</v>
      </c>
      <c r="X77" s="53">
        <f>IFERROR(__xludf.DUMMYFUNCTION("""COMPUTED_VALUE"""),450000.0)</f>
        <v>450000</v>
      </c>
      <c r="Y77" s="53">
        <f>IFERROR(__xludf.DUMMYFUNCTION("""COMPUTED_VALUE"""),450000.0)</f>
        <v>450000</v>
      </c>
      <c r="Z77" s="53">
        <f>IFERROR(__xludf.DUMMYFUNCTION("""COMPUTED_VALUE"""),450000.0)</f>
        <v>450000</v>
      </c>
      <c r="AA77" s="53"/>
      <c r="AB77" s="53"/>
      <c r="AC77" s="53"/>
      <c r="AD77" s="53"/>
      <c r="AE77" s="54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>
        <f>IFERROR(__xludf.DUMMYFUNCTION("""COMPUTED_VALUE"""),500000.0)</f>
        <v>500000</v>
      </c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IFERROR(__xludf.DUMMYFUNCTION("""COMPUTED_VALUE"""),3600000.0)</f>
        <v>3600000</v>
      </c>
      <c r="BD77" s="54">
        <f>IFERROR(__xludf.DUMMYFUNCTION("""COMPUTED_VALUE"""),500000.0)</f>
        <v>500000</v>
      </c>
      <c r="BE77" s="54">
        <f>IFERROR(__xludf.DUMMYFUNCTION("""COMPUTED_VALUE"""),0.0)</f>
        <v>0</v>
      </c>
      <c r="BF77" s="55">
        <f>IFERROR(__xludf.DUMMYFUNCTION("""COMPUTED_VALUE"""),4100000.0)</f>
        <v>4100000</v>
      </c>
      <c r="BG77" s="53"/>
      <c r="BH77" s="53"/>
      <c r="BI77" s="53"/>
      <c r="BJ77" s="45"/>
      <c r="BK77" s="45"/>
      <c r="BL77" s="45"/>
      <c r="BM77" s="45"/>
      <c r="BN77" s="45"/>
      <c r="BO77" s="46"/>
    </row>
    <row r="78">
      <c r="A78" s="36">
        <f>IFERROR(__xludf.DUMMYFUNCTION("""COMPUTED_VALUE"""),77.0)</f>
        <v>77</v>
      </c>
      <c r="B78" s="37" t="str">
        <f>IFERROR(__xludf.DUMMYFUNCTION("""COMPUTED_VALUE"""),"MUHAMMAD AYUBI TRI NURIL AZZAMY")</f>
        <v>MUHAMMAD AYUBI TRI NURIL AZZAMY</v>
      </c>
      <c r="C78" s="38">
        <f>IFERROR(__xludf.DUMMYFUNCTION("""COMPUTED_VALUE"""),2.025070615E9)</f>
        <v>2025070615</v>
      </c>
      <c r="D78" s="37" t="str">
        <f>IFERROR(__xludf.DUMMYFUNCTION("""COMPUTED_VALUE"""),"KASTOPO")</f>
        <v>KASTOPO</v>
      </c>
      <c r="E78" s="37" t="str">
        <f>IFERROR(__xludf.DUMMYFUNCTION("""COMPUTED_VALUE"""),"SULASTRI")</f>
        <v>SULASTRI</v>
      </c>
      <c r="F78" s="37" t="str">
        <f>IFERROR(__xludf.DUMMYFUNCTION("""COMPUTED_VALUE"""),"CANDITUNGGAL RT 003 RW 001 KALITENGAH LAMONGAN")</f>
        <v>CANDITUNGGAL RT 003 RW 001 KALITENGAH LAMONGAN</v>
      </c>
      <c r="G78" s="39" t="str">
        <f>IFERROR(__xludf.DUMMYFUNCTION("""COMPUTED_VALUE"""),"MTS-8 D")</f>
        <v>MTS-8 D</v>
      </c>
      <c r="H78" s="36" t="str">
        <f>IFERROR(__xludf.DUMMYFUNCTION("""COMPUTED_VALUE"""),"A")</f>
        <v>A</v>
      </c>
      <c r="I78" s="42" t="str">
        <f>IFERROR(__xludf.DUMMYFUNCTION("""COMPUTED_VALUE"""),"A-3")</f>
        <v>A-3</v>
      </c>
      <c r="J78" s="40">
        <f>IFERROR(__xludf.DUMMYFUNCTION("""COMPUTED_VALUE"""),2.0)</f>
        <v>2</v>
      </c>
      <c r="K78" s="40" t="str">
        <f>IFERROR(__xludf.DUMMYFUNCTION("""COMPUTED_VALUE"""),"2 ULA B PUTRA")</f>
        <v>2 ULA B PUTRA</v>
      </c>
      <c r="L78" s="41" t="str">
        <f>IFERROR(__xludf.DUMMYFUNCTION("""COMPUTED_VALUE"""),"6285607247419")</f>
        <v>6285607247419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3"/>
      <c r="AD78" s="43"/>
      <c r="AE78" s="43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3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42"/>
      <c r="BH78" s="42"/>
      <c r="BI78" s="42"/>
      <c r="BJ78" s="45"/>
      <c r="BK78" s="45"/>
      <c r="BL78" s="45"/>
      <c r="BM78" s="45"/>
      <c r="BN78" s="45"/>
      <c r="BO78" s="46"/>
    </row>
    <row r="79">
      <c r="A79" s="47">
        <f>IFERROR(__xludf.DUMMYFUNCTION("""COMPUTED_VALUE"""),78.0)</f>
        <v>78</v>
      </c>
      <c r="B79" s="48" t="str">
        <f>IFERROR(__xludf.DUMMYFUNCTION("""COMPUTED_VALUE"""),"MUHAMMAD AZZAM AL BARIQ")</f>
        <v>MUHAMMAD AZZAM AL BARIQ</v>
      </c>
      <c r="C79" s="49">
        <f>IFERROR(__xludf.DUMMYFUNCTION("""COMPUTED_VALUE"""),2.025070538E9)</f>
        <v>2025070538</v>
      </c>
      <c r="D79" s="48" t="str">
        <f>IFERROR(__xludf.DUMMYFUNCTION("""COMPUTED_VALUE"""),"NANANG EFENDI")</f>
        <v>NANANG EFENDI</v>
      </c>
      <c r="E79" s="48" t="str">
        <f>IFERROR(__xludf.DUMMYFUNCTION("""COMPUTED_VALUE"""),"SOIMAH")</f>
        <v>SOIMAH</v>
      </c>
      <c r="F79" s="48" t="str">
        <f>IFERROR(__xludf.DUMMYFUNCTION("""COMPUTED_VALUE"""),"PERUM BHUMMI JATI PERMAI BLOK GG NO. 20 JATIREMBE RT 016 RW 002 BENJENG GRESIK")</f>
        <v>PERUM BHUMMI JATI PERMAI BLOK GG NO. 20 JATIREMBE RT 016 RW 002 BENJENG GRESIK</v>
      </c>
      <c r="G79" s="50" t="str">
        <f>IFERROR(__xludf.DUMMYFUNCTION("""COMPUTED_VALUE"""),"MTS-8 A")</f>
        <v>MTS-8 A</v>
      </c>
      <c r="H79" s="47" t="str">
        <f>IFERROR(__xludf.DUMMYFUNCTION("""COMPUTED_VALUE"""),"A")</f>
        <v>A</v>
      </c>
      <c r="I79" s="51" t="str">
        <f>IFERROR(__xludf.DUMMYFUNCTION("""COMPUTED_VALUE"""),"A-3")</f>
        <v>A-3</v>
      </c>
      <c r="J79" s="51">
        <f>IFERROR(__xludf.DUMMYFUNCTION("""COMPUTED_VALUE"""),2.0)</f>
        <v>2</v>
      </c>
      <c r="K79" s="51" t="str">
        <f>IFERROR(__xludf.DUMMYFUNCTION("""COMPUTED_VALUE"""),"2 ULA B PUTRA")</f>
        <v>2 ULA B PUTRA</v>
      </c>
      <c r="L79" s="52" t="str">
        <f>IFERROR(__xludf.DUMMYFUNCTION("""COMPUTED_VALUE"""),"6281334828231")</f>
        <v>6281334828231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>
        <f>IFERROR(__xludf.DUMMYFUNCTION("""COMPUTED_VALUE"""),500000.0)</f>
        <v>500000</v>
      </c>
      <c r="AC79" s="54"/>
      <c r="AD79" s="54"/>
      <c r="AE79" s="54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4">
        <f>IFERROR(__xludf.DUMMYFUNCTION("""COMPUTED_VALUE"""),500000.0)</f>
        <v>500000</v>
      </c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IFERROR(__xludf.DUMMYFUNCTION("""COMPUTED_VALUE"""),1000000.0)</f>
        <v>1000000</v>
      </c>
      <c r="BE79" s="54">
        <f>IFERROR(__xludf.DUMMYFUNCTION("""COMPUTED_VALUE"""),0.0)</f>
        <v>0</v>
      </c>
      <c r="BF79" s="55">
        <f>IFERROR(__xludf.DUMMYFUNCTION("""COMPUTED_VALUE"""),1000000.0)</f>
        <v>1000000</v>
      </c>
      <c r="BG79" s="53"/>
      <c r="BH79" s="53"/>
      <c r="BI79" s="53"/>
      <c r="BJ79" s="45"/>
      <c r="BK79" s="45"/>
      <c r="BL79" s="45"/>
      <c r="BM79" s="45"/>
      <c r="BN79" s="45"/>
      <c r="BO79" s="46"/>
    </row>
    <row r="80">
      <c r="A80" s="36">
        <f>IFERROR(__xludf.DUMMYFUNCTION("""COMPUTED_VALUE"""),79.0)</f>
        <v>79</v>
      </c>
      <c r="B80" s="37" t="str">
        <f>IFERROR(__xludf.DUMMYFUNCTION("""COMPUTED_VALUE"""),"MUHAMMAD BAHRU NADA")</f>
        <v>MUHAMMAD BAHRU NADA</v>
      </c>
      <c r="C80" s="38">
        <f>IFERROR(__xludf.DUMMYFUNCTION("""COMPUTED_VALUE"""),2.025070228E9)</f>
        <v>2025070228</v>
      </c>
      <c r="D80" s="37" t="str">
        <f>IFERROR(__xludf.DUMMYFUNCTION("""COMPUTED_VALUE"""),"MIFTAHUL HUDA")</f>
        <v>MIFTAHUL HUDA</v>
      </c>
      <c r="E80" s="37" t="str">
        <f>IFERROR(__xludf.DUMMYFUNCTION("""COMPUTED_VALUE"""),"JUWARMIN")</f>
        <v>JUWARMIN</v>
      </c>
      <c r="F80" s="37" t="str">
        <f>IFERROR(__xludf.DUMMYFUNCTION("""COMPUTED_VALUE"""),"TEJOASRI RT 003 RW 001 LAREN LAMONGAN")</f>
        <v>TEJOASRI RT 003 RW 001 LAREN LAMONGAN</v>
      </c>
      <c r="G80" s="39" t="str">
        <f>IFERROR(__xludf.DUMMYFUNCTION("""COMPUTED_VALUE"""),"MA-XI.6")</f>
        <v>MA-XI.6</v>
      </c>
      <c r="H80" s="36" t="str">
        <f>IFERROR(__xludf.DUMMYFUNCTION("""COMPUTED_VALUE"""),"A")</f>
        <v>A</v>
      </c>
      <c r="I80" s="40" t="str">
        <f>IFERROR(__xludf.DUMMYFUNCTION("""COMPUTED_VALUE"""),"A-4")</f>
        <v>A-4</v>
      </c>
      <c r="J80" s="40">
        <f>IFERROR(__xludf.DUMMYFUNCTION("""COMPUTED_VALUE"""),2.0)</f>
        <v>2</v>
      </c>
      <c r="K80" s="40" t="str">
        <f>IFERROR(__xludf.DUMMYFUNCTION("""COMPUTED_VALUE"""),"2 WUSTHO B PUTRA")</f>
        <v>2 WUSTHO B PUTRA</v>
      </c>
      <c r="L80" s="41" t="str">
        <f>IFERROR(__xludf.DUMMYFUNCTION("""COMPUTED_VALUE"""),"6281332375889")</f>
        <v>6281332375889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3">
        <f>IFERROR(__xludf.DUMMYFUNCTION("""COMPUTED_VALUE"""),500000.0)</f>
        <v>500000</v>
      </c>
      <c r="AC80" s="42"/>
      <c r="AD80" s="43"/>
      <c r="AE80" s="43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3">
        <f>IFERROR(__xludf.DUMMYFUNCTION("""COMPUTED_VALUE"""),500000.0)</f>
        <v>500000</v>
      </c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IFERROR(__xludf.DUMMYFUNCTION("""COMPUTED_VALUE"""),0.0)</f>
        <v>0</v>
      </c>
      <c r="BD80" s="43">
        <f>IFERROR(__xludf.DUMMYFUNCTION("""COMPUTED_VALUE"""),1000000.0)</f>
        <v>1000000</v>
      </c>
      <c r="BE80" s="43">
        <f>IFERROR(__xludf.DUMMYFUNCTION("""COMPUTED_VALUE"""),0.0)</f>
        <v>0</v>
      </c>
      <c r="BF80" s="44">
        <f>IFERROR(__xludf.DUMMYFUNCTION("""COMPUTED_VALUE"""),1000000.0)</f>
        <v>1000000</v>
      </c>
      <c r="BG80" s="42"/>
      <c r="BH80" s="42"/>
      <c r="BI80" s="42"/>
      <c r="BJ80" s="45"/>
      <c r="BK80" s="45"/>
      <c r="BL80" s="45"/>
      <c r="BM80" s="45"/>
      <c r="BN80" s="45"/>
      <c r="BO80" s="46"/>
    </row>
    <row r="81">
      <c r="A81" s="47">
        <f>IFERROR(__xludf.DUMMYFUNCTION("""COMPUTED_VALUE"""),80.0)</f>
        <v>80</v>
      </c>
      <c r="B81" s="48" t="str">
        <f>IFERROR(__xludf.DUMMYFUNCTION("""COMPUTED_VALUE"""),"MUHAMMAD DZAKY MUBARAK")</f>
        <v>MUHAMMAD DZAKY MUBARAK</v>
      </c>
      <c r="C81" s="49">
        <f>IFERROR(__xludf.DUMMYFUNCTION("""COMPUTED_VALUE"""),2.025070471E9)</f>
        <v>2025070471</v>
      </c>
      <c r="D81" s="48" t="str">
        <f>IFERROR(__xludf.DUMMYFUNCTION("""COMPUTED_VALUE"""),"MUCHAMAD SURADJI")</f>
        <v>MUCHAMAD SURADJI</v>
      </c>
      <c r="E81" s="48" t="str">
        <f>IFERROR(__xludf.DUMMYFUNCTION("""COMPUTED_VALUE"""),"NIHAYATUL KHIJJAH")</f>
        <v>NIHAYATUL KHIJJAH</v>
      </c>
      <c r="F81" s="48" t="str">
        <f>IFERROR(__xludf.DUMMYFUNCTION("""COMPUTED_VALUE"""),"KARANGAGUNG RT 003 RW 001 GLAGAH LAMONGAN")</f>
        <v>KARANGAGUNG RT 003 RW 001 GLAGAH LAMONGAN</v>
      </c>
      <c r="G81" s="49" t="str">
        <f>IFERROR(__xludf.DUMMYFUNCTION("""COMPUTED_VALUE"""),"SMP-VIII C")</f>
        <v>SMP-VIII C</v>
      </c>
      <c r="H81" s="47" t="str">
        <f>IFERROR(__xludf.DUMMYFUNCTION("""COMPUTED_VALUE"""),"A")</f>
        <v>A</v>
      </c>
      <c r="I81" s="51" t="str">
        <f>IFERROR(__xludf.DUMMYFUNCTION("""COMPUTED_VALUE"""),"A-1")</f>
        <v>A-1</v>
      </c>
      <c r="J81" s="51">
        <f>IFERROR(__xludf.DUMMYFUNCTION("""COMPUTED_VALUE"""),2.0)</f>
        <v>2</v>
      </c>
      <c r="K81" s="51" t="str">
        <f>IFERROR(__xludf.DUMMYFUNCTION("""COMPUTED_VALUE"""),"2 ULA B PUTRA")</f>
        <v>2 ULA B PUTRA</v>
      </c>
      <c r="L81" s="52" t="str">
        <f>IFERROR(__xludf.DUMMYFUNCTION("""COMPUTED_VALUE"""),"6281230649991")</f>
        <v>6281230649991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4"/>
      <c r="AC81" s="53"/>
      <c r="AD81" s="54"/>
      <c r="AE81" s="54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4">
        <f>IFERROR(__xludf.DUMMYFUNCTION("""COMPUTED_VALUE"""),500000.0)</f>
        <v>500000</v>
      </c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IFERROR(__xludf.DUMMYFUNCTION("""COMPUTED_VALUE"""),0.0)</f>
        <v>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IFERROR(__xludf.DUMMYFUNCTION("""COMPUTED_VALUE"""),500000.0)</f>
        <v>500000</v>
      </c>
      <c r="BG81" s="53"/>
      <c r="BH81" s="53"/>
      <c r="BI81" s="53"/>
      <c r="BJ81" s="45"/>
      <c r="BK81" s="45"/>
      <c r="BL81" s="45"/>
      <c r="BM81" s="45"/>
      <c r="BN81" s="45"/>
      <c r="BO81" s="46"/>
    </row>
    <row r="82">
      <c r="A82" s="36">
        <f>IFERROR(__xludf.DUMMYFUNCTION("""COMPUTED_VALUE"""),81.0)</f>
        <v>81</v>
      </c>
      <c r="B82" s="37" t="str">
        <f>IFERROR(__xludf.DUMMYFUNCTION("""COMPUTED_VALUE"""),"MUHAMMAD FAIRUS NADHIR AMRULLAH")</f>
        <v>MUHAMMAD FAIRUS NADHIR AMRULLAH</v>
      </c>
      <c r="C82" s="38">
        <f>IFERROR(__xludf.DUMMYFUNCTION("""COMPUTED_VALUE"""),2.025070555E9)</f>
        <v>2025070555</v>
      </c>
      <c r="D82" s="37" t="str">
        <f>IFERROR(__xludf.DUMMYFUNCTION("""COMPUTED_VALUE"""),"ABDUL SALAM")</f>
        <v>ABDUL SALAM</v>
      </c>
      <c r="E82" s="37" t="str">
        <f>IFERROR(__xludf.DUMMYFUNCTION("""COMPUTED_VALUE"""),"LAILATUL MUNAWAROH")</f>
        <v>LAILATUL MUNAWAROH</v>
      </c>
      <c r="F82" s="37" t="str">
        <f>IFERROR(__xludf.DUMMYFUNCTION("""COMPUTED_VALUE"""),"SAWO RT 008 RW 004 DUKUN GRESIK")</f>
        <v>SAWO RT 008 RW 004 DUKUN GRESIK</v>
      </c>
      <c r="G82" s="38" t="str">
        <f>IFERROR(__xludf.DUMMYFUNCTION("""COMPUTED_VALUE"""),"MTS-8 G")</f>
        <v>MTS-8 G</v>
      </c>
      <c r="H82" s="36" t="str">
        <f>IFERROR(__xludf.DUMMYFUNCTION("""COMPUTED_VALUE"""),"A")</f>
        <v>A</v>
      </c>
      <c r="I82" s="42" t="str">
        <f>IFERROR(__xludf.DUMMYFUNCTION("""COMPUTED_VALUE"""),"A-1")</f>
        <v>A-1</v>
      </c>
      <c r="J82" s="40">
        <f>IFERROR(__xludf.DUMMYFUNCTION("""COMPUTED_VALUE"""),2.0)</f>
        <v>2</v>
      </c>
      <c r="K82" s="40" t="str">
        <f>IFERROR(__xludf.DUMMYFUNCTION("""COMPUTED_VALUE"""),"2 ULA B PUTRA")</f>
        <v>2 ULA B PUTRA</v>
      </c>
      <c r="L82" s="41" t="str">
        <f>IFERROR(__xludf.DUMMYFUNCTION("""COMPUTED_VALUE"""),"6285733603080")</f>
        <v>6285733603080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3"/>
      <c r="AB82" s="43">
        <f>IFERROR(__xludf.DUMMYFUNCTION("""COMPUTED_VALUE"""),500000.0)</f>
        <v>500000</v>
      </c>
      <c r="AC82" s="43"/>
      <c r="AD82" s="43"/>
      <c r="AE82" s="43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3">
        <f>IFERROR(__xludf.DUMMYFUNCTION("""COMPUTED_VALUE"""),500000.0)</f>
        <v>500000</v>
      </c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IFERROR(__xludf.DUMMYFUNCTION("""COMPUTED_VALUE"""),0.0)</f>
        <v>0</v>
      </c>
      <c r="BD82" s="43">
        <f>IFERROR(__xludf.DUMMYFUNCTION("""COMPUTED_VALUE"""),1000000.0)</f>
        <v>1000000</v>
      </c>
      <c r="BE82" s="43">
        <f>IFERROR(__xludf.DUMMYFUNCTION("""COMPUTED_VALUE"""),0.0)</f>
        <v>0</v>
      </c>
      <c r="BF82" s="44">
        <f>IFERROR(__xludf.DUMMYFUNCTION("""COMPUTED_VALUE"""),1000000.0)</f>
        <v>1000000</v>
      </c>
      <c r="BG82" s="42"/>
      <c r="BH82" s="42"/>
      <c r="BI82" s="42"/>
      <c r="BJ82" s="45"/>
      <c r="BK82" s="45"/>
      <c r="BL82" s="45"/>
      <c r="BM82" s="45"/>
      <c r="BN82" s="45"/>
      <c r="BO82" s="46"/>
    </row>
    <row r="83">
      <c r="A83" s="47">
        <f>IFERROR(__xludf.DUMMYFUNCTION("""COMPUTED_VALUE"""),82.0)</f>
        <v>82</v>
      </c>
      <c r="B83" s="48" t="str">
        <f>IFERROR(__xludf.DUMMYFUNCTION("""COMPUTED_VALUE"""),"MUHAMMAD HISYAM")</f>
        <v>MUHAMMAD HISYAM</v>
      </c>
      <c r="C83" s="49">
        <f>IFERROR(__xludf.DUMMYFUNCTION("""COMPUTED_VALUE"""),2.02507048E9)</f>
        <v>2025070480</v>
      </c>
      <c r="D83" s="48" t="str">
        <f>IFERROR(__xludf.DUMMYFUNCTION("""COMPUTED_VALUE"""),"ABDUL QODIR")</f>
        <v>ABDUL QODIR</v>
      </c>
      <c r="E83" s="48" t="str">
        <f>IFERROR(__xludf.DUMMYFUNCTION("""COMPUTED_VALUE"""),"NASOKHATUL MUNAWAROH")</f>
        <v>NASOKHATUL MUNAWAROH</v>
      </c>
      <c r="F83" s="48" t="str">
        <f>IFERROR(__xludf.DUMMYFUNCTION("""COMPUTED_VALUE"""),"GUNUNGANYAR KIDUL RT 002 RW 003 GUNUNG ANYAR SURABAYA")</f>
        <v>GUNUNGANYAR KIDUL RT 002 RW 003 GUNUNG ANYAR SURABAYA</v>
      </c>
      <c r="G83" s="49" t="str">
        <f>IFERROR(__xludf.DUMMYFUNCTION("""COMPUTED_VALUE"""),"SMP-VIII A")</f>
        <v>SMP-VIII A</v>
      </c>
      <c r="H83" s="47" t="str">
        <f>IFERROR(__xludf.DUMMYFUNCTION("""COMPUTED_VALUE"""),"A")</f>
        <v>A</v>
      </c>
      <c r="I83" s="51" t="str">
        <f>IFERROR(__xludf.DUMMYFUNCTION("""COMPUTED_VALUE"""),"A-13")</f>
        <v>A-13</v>
      </c>
      <c r="J83" s="51">
        <f>IFERROR(__xludf.DUMMYFUNCTION("""COMPUTED_VALUE"""),2.0)</f>
        <v>2</v>
      </c>
      <c r="K83" s="51" t="str">
        <f>IFERROR(__xludf.DUMMYFUNCTION("""COMPUTED_VALUE"""),"ULA")</f>
        <v>ULA</v>
      </c>
      <c r="L83" s="52" t="str">
        <f>IFERROR(__xludf.DUMMYFUNCTION("""COMPUTED_VALUE"""),"628758704525")</f>
        <v>628758704525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4"/>
      <c r="AE83" s="54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4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3"/>
      <c r="BH83" s="53"/>
      <c r="BI83" s="53"/>
      <c r="BJ83" s="45"/>
      <c r="BK83" s="45"/>
      <c r="BL83" s="45"/>
      <c r="BM83" s="45"/>
      <c r="BN83" s="45"/>
      <c r="BO83" s="46"/>
    </row>
    <row r="84">
      <c r="A84" s="36">
        <f>IFERROR(__xludf.DUMMYFUNCTION("""COMPUTED_VALUE"""),83.0)</f>
        <v>83</v>
      </c>
      <c r="B84" s="37" t="str">
        <f>IFERROR(__xludf.DUMMYFUNCTION("""COMPUTED_VALUE"""),"MUHAMMAD KAVA RIZQI ADITYA")</f>
        <v>MUHAMMAD KAVA RIZQI ADITYA</v>
      </c>
      <c r="C84" s="38">
        <f>IFERROR(__xludf.DUMMYFUNCTION("""COMPUTED_VALUE"""),2.025070609E9)</f>
        <v>2025070609</v>
      </c>
      <c r="D84" s="37" t="str">
        <f>IFERROR(__xludf.DUMMYFUNCTION("""COMPUTED_VALUE"""),"AAN KHUNAIFI")</f>
        <v>AAN KHUNAIFI</v>
      </c>
      <c r="E84" s="37" t="str">
        <f>IFERROR(__xludf.DUMMYFUNCTION("""COMPUTED_VALUE"""),"MUALLIFATUL HISBIYAH")</f>
        <v>MUALLIFATUL HISBIYAH</v>
      </c>
      <c r="F84" s="37" t="str">
        <f>IFERROR(__xludf.DUMMYFUNCTION("""COMPUTED_VALUE"""),"MENGAI SUKOREJO RT 002 RW 006 KARANGBINANGUN LAMONGAN")</f>
        <v>MENGAI SUKOREJO RT 002 RW 006 KARANGBINANGUN LAMONGAN</v>
      </c>
      <c r="G84" s="39" t="str">
        <f>IFERROR(__xludf.DUMMYFUNCTION("""COMPUTED_VALUE"""),"MTS-8 A")</f>
        <v>MTS-8 A</v>
      </c>
      <c r="H84" s="36" t="str">
        <f>IFERROR(__xludf.DUMMYFUNCTION("""COMPUTED_VALUE"""),"A")</f>
        <v>A</v>
      </c>
      <c r="I84" s="42" t="str">
        <f>IFERROR(__xludf.DUMMYFUNCTION("""COMPUTED_VALUE"""),"A-13")</f>
        <v>A-13</v>
      </c>
      <c r="J84" s="40">
        <f>IFERROR(__xludf.DUMMYFUNCTION("""COMPUTED_VALUE"""),2.0)</f>
        <v>2</v>
      </c>
      <c r="K84" s="40" t="str">
        <f>IFERROR(__xludf.DUMMYFUNCTION("""COMPUTED_VALUE"""),"ULA")</f>
        <v>ULA</v>
      </c>
      <c r="L84" s="41" t="str">
        <f>IFERROR(__xludf.DUMMYFUNCTION("""COMPUTED_VALUE"""),"6285852514150")</f>
        <v>6285852514150</v>
      </c>
      <c r="M84" s="42"/>
      <c r="N84" s="42"/>
      <c r="O84" s="42"/>
      <c r="P84" s="42"/>
      <c r="Q84" s="42"/>
      <c r="R84" s="42"/>
      <c r="S84" s="42"/>
      <c r="T84" s="43">
        <f>IFERROR(__xludf.DUMMYFUNCTION("""COMPUTED_VALUE"""),450000.0)</f>
        <v>450000</v>
      </c>
      <c r="U84" s="43">
        <f>IFERROR(__xludf.DUMMYFUNCTION("""COMPUTED_VALUE"""),450000.0)</f>
        <v>450000</v>
      </c>
      <c r="V84" s="43">
        <f>IFERROR(__xludf.DUMMYFUNCTION("""COMPUTED_VALUE"""),450000.0)</f>
        <v>450000</v>
      </c>
      <c r="W84" s="43">
        <f>IFERROR(__xludf.DUMMYFUNCTION("""COMPUTED_VALUE"""),450000.0)</f>
        <v>450000</v>
      </c>
      <c r="X84" s="43">
        <f>IFERROR(__xludf.DUMMYFUNCTION("""COMPUTED_VALUE"""),450000.0)</f>
        <v>450000</v>
      </c>
      <c r="Y84" s="43">
        <f>IFERROR(__xludf.DUMMYFUNCTION("""COMPUTED_VALUE"""),450000.0)</f>
        <v>450000</v>
      </c>
      <c r="Z84" s="43">
        <f>IFERROR(__xludf.DUMMYFUNCTION("""COMPUTED_VALUE"""),450000.0)</f>
        <v>450000</v>
      </c>
      <c r="AA84" s="43"/>
      <c r="AB84" s="42">
        <f>IFERROR(__xludf.DUMMYFUNCTION("""COMPUTED_VALUE"""),500000.0)</f>
        <v>500000</v>
      </c>
      <c r="AC84" s="43"/>
      <c r="AD84" s="43"/>
      <c r="AE84" s="43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>
        <f>IFERROR(__xludf.DUMMYFUNCTION("""COMPUTED_VALUE"""),500000.0)</f>
        <v>500000</v>
      </c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IFERROR(__xludf.DUMMYFUNCTION("""COMPUTED_VALUE"""),3150000.0)</f>
        <v>3150000</v>
      </c>
      <c r="BD84" s="43">
        <f>IFERROR(__xludf.DUMMYFUNCTION("""COMPUTED_VALUE"""),1000000.0)</f>
        <v>1000000</v>
      </c>
      <c r="BE84" s="43">
        <f>IFERROR(__xludf.DUMMYFUNCTION("""COMPUTED_VALUE"""),0.0)</f>
        <v>0</v>
      </c>
      <c r="BF84" s="44">
        <f>IFERROR(__xludf.DUMMYFUNCTION("""COMPUTED_VALUE"""),4150000.0)</f>
        <v>4150000</v>
      </c>
      <c r="BG84" s="42"/>
      <c r="BH84" s="42"/>
      <c r="BI84" s="42"/>
      <c r="BJ84" s="45"/>
      <c r="BK84" s="45"/>
      <c r="BL84" s="45"/>
      <c r="BM84" s="45"/>
      <c r="BN84" s="45"/>
      <c r="BO84" s="46"/>
    </row>
    <row r="85">
      <c r="A85" s="47">
        <f>IFERROR(__xludf.DUMMYFUNCTION("""COMPUTED_VALUE"""),84.0)</f>
        <v>84</v>
      </c>
      <c r="B85" s="48" t="str">
        <f>IFERROR(__xludf.DUMMYFUNCTION("""COMPUTED_VALUE"""),"MUHAMMAD MAULIDI NURWAHID")</f>
        <v>MUHAMMAD MAULIDI NURWAHID</v>
      </c>
      <c r="C85" s="49">
        <f>IFERROR(__xludf.DUMMYFUNCTION("""COMPUTED_VALUE"""),2.02507007E9)</f>
        <v>2025070070</v>
      </c>
      <c r="D85" s="48" t="str">
        <f>IFERROR(__xludf.DUMMYFUNCTION("""COMPUTED_VALUE"""),"SUJARIONO")</f>
        <v>SUJARIONO</v>
      </c>
      <c r="E85" s="48" t="str">
        <f>IFERROR(__xludf.DUMMYFUNCTION("""COMPUTED_VALUE"""),"ZULAEMAH")</f>
        <v>ZULAEMAH</v>
      </c>
      <c r="F85" s="48" t="str">
        <f>IFERROR(__xludf.DUMMYFUNCTION("""COMPUTED_VALUE"""),"RAJAWALI TANGGUNGAN RT 003 RW 001 PUCUK LAMONGAN")</f>
        <v>RAJAWALI TANGGUNGAN RT 003 RW 001 PUCUK LAMONGAN</v>
      </c>
      <c r="G85" s="50" t="str">
        <f>IFERROR(__xludf.DUMMYFUNCTION("""COMPUTED_VALUE"""),"MA-XI.8")</f>
        <v>MA-XI.8</v>
      </c>
      <c r="H85" s="47" t="str">
        <f>IFERROR(__xludf.DUMMYFUNCTION("""COMPUTED_VALUE"""),"A")</f>
        <v>A</v>
      </c>
      <c r="I85" s="51" t="str">
        <f>IFERROR(__xludf.DUMMYFUNCTION("""COMPUTED_VALUE"""),"A-4")</f>
        <v>A-4</v>
      </c>
      <c r="J85" s="51">
        <f>IFERROR(__xludf.DUMMYFUNCTION("""COMPUTED_VALUE"""),2.0)</f>
        <v>2</v>
      </c>
      <c r="K85" s="51" t="str">
        <f>IFERROR(__xludf.DUMMYFUNCTION("""COMPUTED_VALUE"""),"2 WUSTHO B PUTRA")</f>
        <v>2 WUSTHO B PUTRA</v>
      </c>
      <c r="L85" s="52" t="str">
        <f>IFERROR(__xludf.DUMMYFUNCTION("""COMPUTED_VALUE"""),"62895391636106")</f>
        <v>62895391636106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>
        <f>IFERROR(__xludf.DUMMYFUNCTION("""COMPUTED_VALUE"""),450000.0)</f>
        <v>450000</v>
      </c>
      <c r="AA85" s="53"/>
      <c r="AB85" s="53">
        <f>IFERROR(__xludf.DUMMYFUNCTION("""COMPUTED_VALUE"""),500000.0)</f>
        <v>500000</v>
      </c>
      <c r="AC85" s="53"/>
      <c r="AD85" s="53"/>
      <c r="AE85" s="54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>
        <f>IFERROR(__xludf.DUMMYFUNCTION("""COMPUTED_VALUE"""),500000.0)</f>
        <v>500000</v>
      </c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IFERROR(__xludf.DUMMYFUNCTION("""COMPUTED_VALUE"""),450000.0)</f>
        <v>450000</v>
      </c>
      <c r="BD85" s="54">
        <f>IFERROR(__xludf.DUMMYFUNCTION("""COMPUTED_VALUE"""),1000000.0)</f>
        <v>1000000</v>
      </c>
      <c r="BE85" s="54">
        <f>IFERROR(__xludf.DUMMYFUNCTION("""COMPUTED_VALUE"""),0.0)</f>
        <v>0</v>
      </c>
      <c r="BF85" s="55">
        <f>IFERROR(__xludf.DUMMYFUNCTION("""COMPUTED_VALUE"""),1450000.0)</f>
        <v>1450000</v>
      </c>
      <c r="BG85" s="53"/>
      <c r="BH85" s="53"/>
      <c r="BI85" s="53"/>
      <c r="BJ85" s="45"/>
      <c r="BK85" s="45"/>
      <c r="BL85" s="45"/>
      <c r="BM85" s="45"/>
      <c r="BN85" s="45"/>
      <c r="BO85" s="46"/>
    </row>
    <row r="86">
      <c r="A86" s="36">
        <f>IFERROR(__xludf.DUMMYFUNCTION("""COMPUTED_VALUE"""),85.0)</f>
        <v>85</v>
      </c>
      <c r="B86" s="37" t="str">
        <f>IFERROR(__xludf.DUMMYFUNCTION("""COMPUTED_VALUE"""),"MUHAMMAD NABIL SALMAN")</f>
        <v>MUHAMMAD NABIL SALMAN</v>
      </c>
      <c r="C86" s="38">
        <f>IFERROR(__xludf.DUMMYFUNCTION("""COMPUTED_VALUE"""),2.025070429E9)</f>
        <v>2025070429</v>
      </c>
      <c r="D86" s="37" t="str">
        <f>IFERROR(__xludf.DUMMYFUNCTION("""COMPUTED_VALUE"""),"MUKHTAR")</f>
        <v>MUKHTAR</v>
      </c>
      <c r="E86" s="37" t="str">
        <f>IFERROR(__xludf.DUMMYFUNCTION("""COMPUTED_VALUE"""),"ASMAUL KHUSNAH")</f>
        <v>ASMAUL KHUSNAH</v>
      </c>
      <c r="F86" s="37" t="str">
        <f>IFERROR(__xludf.DUMMYFUNCTION("""COMPUTED_VALUE"""),"BLAWI RT 002 RW 003 KARANGBINANGUN LAMONGAN")</f>
        <v>BLAWI RT 002 RW 003 KARANGBINANGUN LAMONGAN</v>
      </c>
      <c r="G86" s="39" t="str">
        <f>IFERROR(__xludf.DUMMYFUNCTION("""COMPUTED_VALUE"""),"SMK-XI TSM")</f>
        <v>SMK-XI TSM</v>
      </c>
      <c r="H86" s="36" t="str">
        <f>IFERROR(__xludf.DUMMYFUNCTION("""COMPUTED_VALUE"""),"A")</f>
        <v>A</v>
      </c>
      <c r="I86" s="42" t="str">
        <f>IFERROR(__xludf.DUMMYFUNCTION("""COMPUTED_VALUE"""),"A-9")</f>
        <v>A-9</v>
      </c>
      <c r="J86" s="40">
        <f>IFERROR(__xludf.DUMMYFUNCTION("""COMPUTED_VALUE"""),2.0)</f>
        <v>2</v>
      </c>
      <c r="K86" s="40" t="str">
        <f>IFERROR(__xludf.DUMMYFUNCTION("""COMPUTED_VALUE"""),"2 WUSTHO B PUTRA")</f>
        <v>2 WUSTHO B PUTRA</v>
      </c>
      <c r="L86" s="41" t="str">
        <f>IFERROR(__xludf.DUMMYFUNCTION("""COMPUTED_VALUE"""),"6282334470986")</f>
        <v>6282334470986</v>
      </c>
      <c r="M86" s="42"/>
      <c r="N86" s="42"/>
      <c r="O86" s="42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>
        <f>IFERROR(__xludf.DUMMYFUNCTION("""COMPUTED_VALUE"""),450000.0)</f>
        <v>450000</v>
      </c>
      <c r="AA86" s="43"/>
      <c r="AB86" s="43"/>
      <c r="AC86" s="43"/>
      <c r="AD86" s="43"/>
      <c r="AE86" s="43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3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IFERROR(__xludf.DUMMYFUNCTION("""COMPUTED_VALUE"""),450000.0)</f>
        <v>450000</v>
      </c>
      <c r="BD86" s="43">
        <f>IFERROR(__xludf.DUMMYFUNCTION("""COMPUTED_VALUE"""),0.0)</f>
        <v>0</v>
      </c>
      <c r="BE86" s="43">
        <f>IFERROR(__xludf.DUMMYFUNCTION("""COMPUTED_VALUE"""),0.0)</f>
        <v>0</v>
      </c>
      <c r="BF86" s="44">
        <f>IFERROR(__xludf.DUMMYFUNCTION("""COMPUTED_VALUE"""),450000.0)</f>
        <v>450000</v>
      </c>
      <c r="BG86" s="42"/>
      <c r="BH86" s="42"/>
      <c r="BI86" s="42"/>
      <c r="BJ86" s="45"/>
      <c r="BK86" s="45"/>
      <c r="BL86" s="45"/>
      <c r="BM86" s="45"/>
      <c r="BN86" s="45"/>
      <c r="BO86" s="46"/>
    </row>
    <row r="87">
      <c r="A87" s="47">
        <f>IFERROR(__xludf.DUMMYFUNCTION("""COMPUTED_VALUE"""),86.0)</f>
        <v>86</v>
      </c>
      <c r="B87" s="48" t="str">
        <f>IFERROR(__xludf.DUMMYFUNCTION("""COMPUTED_VALUE"""),"MUHAMMAD RAFFA NUR RAMADHAN")</f>
        <v>MUHAMMAD RAFFA NUR RAMADHAN</v>
      </c>
      <c r="C87" s="49">
        <f>IFERROR(__xludf.DUMMYFUNCTION("""COMPUTED_VALUE"""),2.025070065E9)</f>
        <v>2025070065</v>
      </c>
      <c r="D87" s="48" t="str">
        <f>IFERROR(__xludf.DUMMYFUNCTION("""COMPUTED_VALUE"""),"RAMELAN")</f>
        <v>RAMELAN</v>
      </c>
      <c r="E87" s="48" t="str">
        <f>IFERROR(__xludf.DUMMYFUNCTION("""COMPUTED_VALUE"""),"MUYASIROTUL UMAH")</f>
        <v>MUYASIROTUL UMAH</v>
      </c>
      <c r="F87" s="48" t="str">
        <f>IFERROR(__xludf.DUMMYFUNCTION("""COMPUTED_VALUE"""),"BLURI RT 009 RW 002 SOLOKURO LAMONGAN")</f>
        <v>BLURI RT 009 RW 002 SOLOKURO LAMONGAN</v>
      </c>
      <c r="G87" s="49" t="str">
        <f>IFERROR(__xludf.DUMMYFUNCTION("""COMPUTED_VALUE"""),"MA-XI.8")</f>
        <v>MA-XI.8</v>
      </c>
      <c r="H87" s="47" t="str">
        <f>IFERROR(__xludf.DUMMYFUNCTION("""COMPUTED_VALUE"""),"A")</f>
        <v>A</v>
      </c>
      <c r="I87" s="51" t="str">
        <f>IFERROR(__xludf.DUMMYFUNCTION("""COMPUTED_VALUE"""),"A-4")</f>
        <v>A-4</v>
      </c>
      <c r="J87" s="51">
        <f>IFERROR(__xludf.DUMMYFUNCTION("""COMPUTED_VALUE"""),2.0)</f>
        <v>2</v>
      </c>
      <c r="K87" s="51" t="str">
        <f>IFERROR(__xludf.DUMMYFUNCTION("""COMPUTED_VALUE"""),"2 WUSTHO B PUTRA")</f>
        <v>2 WUSTHO B PUTRA</v>
      </c>
      <c r="L87" s="52" t="str">
        <f>IFERROR(__xludf.DUMMYFUNCTION("""COMPUTED_VALUE"""),"6285852311302")</f>
        <v>6285852311302</v>
      </c>
      <c r="M87" s="53"/>
      <c r="N87" s="53"/>
      <c r="O87" s="53"/>
      <c r="P87" s="53">
        <f>IFERROR(__xludf.DUMMYFUNCTION("""COMPUTED_VALUE"""),450000.0)</f>
        <v>450000</v>
      </c>
      <c r="Q87" s="53">
        <f>IFERROR(__xludf.DUMMYFUNCTION("""COMPUTED_VALUE"""),450000.0)</f>
        <v>450000</v>
      </c>
      <c r="R87" s="53">
        <f>IFERROR(__xludf.DUMMYFUNCTION("""COMPUTED_VALUE"""),450000.0)</f>
        <v>450000</v>
      </c>
      <c r="S87" s="53">
        <f>IFERROR(__xludf.DUMMYFUNCTION("""COMPUTED_VALUE"""),450000.0)</f>
        <v>450000</v>
      </c>
      <c r="T87" s="53">
        <f>IFERROR(__xludf.DUMMYFUNCTION("""COMPUTED_VALUE"""),450000.0)</f>
        <v>450000</v>
      </c>
      <c r="U87" s="53">
        <f>IFERROR(__xludf.DUMMYFUNCTION("""COMPUTED_VALUE"""),450000.0)</f>
        <v>450000</v>
      </c>
      <c r="V87" s="53">
        <f>IFERROR(__xludf.DUMMYFUNCTION("""COMPUTED_VALUE"""),450000.0)</f>
        <v>450000</v>
      </c>
      <c r="W87" s="53">
        <f>IFERROR(__xludf.DUMMYFUNCTION("""COMPUTED_VALUE"""),450000.0)</f>
        <v>450000</v>
      </c>
      <c r="X87" s="53">
        <f>IFERROR(__xludf.DUMMYFUNCTION("""COMPUTED_VALUE"""),450000.0)</f>
        <v>450000</v>
      </c>
      <c r="Y87" s="53">
        <f>IFERROR(__xludf.DUMMYFUNCTION("""COMPUTED_VALUE"""),450000.0)</f>
        <v>450000</v>
      </c>
      <c r="Z87" s="53">
        <f>IFERROR(__xludf.DUMMYFUNCTION("""COMPUTED_VALUE"""),450000.0)</f>
        <v>450000</v>
      </c>
      <c r="AA87" s="53"/>
      <c r="AB87" s="53">
        <f>IFERROR(__xludf.DUMMYFUNCTION("""COMPUTED_VALUE"""),500000.0)</f>
        <v>500000</v>
      </c>
      <c r="AC87" s="53"/>
      <c r="AD87" s="53"/>
      <c r="AE87" s="54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>
        <f>IFERROR(__xludf.DUMMYFUNCTION("""COMPUTED_VALUE"""),500000.0)</f>
        <v>500000</v>
      </c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IFERROR(__xludf.DUMMYFUNCTION("""COMPUTED_VALUE"""),4950000.0)</f>
        <v>4950000</v>
      </c>
      <c r="BD87" s="54">
        <f>IFERROR(__xludf.DUMMYFUNCTION("""COMPUTED_VALUE"""),1000000.0)</f>
        <v>1000000</v>
      </c>
      <c r="BE87" s="54">
        <f>IFERROR(__xludf.DUMMYFUNCTION("""COMPUTED_VALUE"""),0.0)</f>
        <v>0</v>
      </c>
      <c r="BF87" s="55">
        <f>IFERROR(__xludf.DUMMYFUNCTION("""COMPUTED_VALUE"""),5950000.0)</f>
        <v>5950000</v>
      </c>
      <c r="BG87" s="53"/>
      <c r="BH87" s="53"/>
      <c r="BI87" s="53"/>
      <c r="BJ87" s="45"/>
      <c r="BK87" s="45"/>
      <c r="BL87" s="45"/>
      <c r="BM87" s="45"/>
      <c r="BN87" s="45"/>
      <c r="BO87" s="46"/>
    </row>
    <row r="88">
      <c r="A88" s="36">
        <f>IFERROR(__xludf.DUMMYFUNCTION("""COMPUTED_VALUE"""),87.0)</f>
        <v>87</v>
      </c>
      <c r="B88" s="37" t="str">
        <f>IFERROR(__xludf.DUMMYFUNCTION("""COMPUTED_VALUE"""),"MUHAMMAD RAUUF MAULANA")</f>
        <v>MUHAMMAD RAUUF MAULANA</v>
      </c>
      <c r="C88" s="38">
        <f>IFERROR(__xludf.DUMMYFUNCTION("""COMPUTED_VALUE"""),2.025070497E9)</f>
        <v>2025070497</v>
      </c>
      <c r="D88" s="37" t="str">
        <f>IFERROR(__xludf.DUMMYFUNCTION("""COMPUTED_VALUE"""),"MOCHAMAD ARIF")</f>
        <v>MOCHAMAD ARIF</v>
      </c>
      <c r="E88" s="37" t="str">
        <f>IFERROR(__xludf.DUMMYFUNCTION("""COMPUTED_VALUE"""),"DEWI WAHYUNINGSIH")</f>
        <v>DEWI WAHYUNINGSIH</v>
      </c>
      <c r="F88" s="37" t="str">
        <f>IFERROR(__xludf.DUMMYFUNCTION("""COMPUTED_VALUE"""),"SUKOMULYO RT 005 RW 003 LAMONGAN LAMONGAN")</f>
        <v>SUKOMULYO RT 005 RW 003 LAMONGAN LAMONGAN</v>
      </c>
      <c r="G88" s="38" t="str">
        <f>IFERROR(__xludf.DUMMYFUNCTION("""COMPUTED_VALUE"""),"MTS-8 F")</f>
        <v>MTS-8 F</v>
      </c>
      <c r="H88" s="36" t="str">
        <f>IFERROR(__xludf.DUMMYFUNCTION("""COMPUTED_VALUE"""),"A")</f>
        <v>A</v>
      </c>
      <c r="I88" s="40" t="str">
        <f>IFERROR(__xludf.DUMMYFUNCTION("""COMPUTED_VALUE"""),"A-1")</f>
        <v>A-1</v>
      </c>
      <c r="J88" s="40">
        <f>IFERROR(__xludf.DUMMYFUNCTION("""COMPUTED_VALUE"""),2.0)</f>
        <v>2</v>
      </c>
      <c r="K88" s="40" t="str">
        <f>IFERROR(__xludf.DUMMYFUNCTION("""COMPUTED_VALUE"""),"2 ULA B PUTRA")</f>
        <v>2 ULA B PUTRA</v>
      </c>
      <c r="L88" s="39" t="str">
        <f>IFERROR(__xludf.DUMMYFUNCTION("""COMPUTED_VALUE"""),"6288741091429")</f>
        <v>6288741091429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3"/>
      <c r="Y88" s="43"/>
      <c r="Z88" s="43"/>
      <c r="AA88" s="43"/>
      <c r="AB88" s="42">
        <f>IFERROR(__xludf.DUMMYFUNCTION("""COMPUTED_VALUE"""),500000.0)</f>
        <v>500000</v>
      </c>
      <c r="AC88" s="43"/>
      <c r="AD88" s="43"/>
      <c r="AE88" s="43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>
        <f>IFERROR(__xludf.DUMMYFUNCTION("""COMPUTED_VALUE"""),500000.0)</f>
        <v>500000</v>
      </c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IFERROR(__xludf.DUMMYFUNCTION("""COMPUTED_VALUE"""),1000000.0)</f>
        <v>1000000</v>
      </c>
      <c r="BE88" s="43">
        <f>IFERROR(__xludf.DUMMYFUNCTION("""COMPUTED_VALUE"""),0.0)</f>
        <v>0</v>
      </c>
      <c r="BF88" s="44">
        <f>IFERROR(__xludf.DUMMYFUNCTION("""COMPUTED_VALUE"""),1000000.0)</f>
        <v>1000000</v>
      </c>
      <c r="BG88" s="42"/>
      <c r="BH88" s="42"/>
      <c r="BI88" s="42"/>
      <c r="BJ88" s="45"/>
      <c r="BK88" s="45"/>
      <c r="BL88" s="45"/>
      <c r="BM88" s="45"/>
      <c r="BN88" s="45"/>
      <c r="BO88" s="46"/>
    </row>
    <row r="89">
      <c r="A89" s="47">
        <f>IFERROR(__xludf.DUMMYFUNCTION("""COMPUTED_VALUE"""),88.0)</f>
        <v>88</v>
      </c>
      <c r="B89" s="48" t="str">
        <f>IFERROR(__xludf.DUMMYFUNCTION("""COMPUTED_VALUE"""),"MUHAMMAD RAZIQ RAHMAN")</f>
        <v>MUHAMMAD RAZIQ RAHMAN</v>
      </c>
      <c r="C89" s="49">
        <f>IFERROR(__xludf.DUMMYFUNCTION("""COMPUTED_VALUE"""),2.02507004E9)</f>
        <v>2025070040</v>
      </c>
      <c r="D89" s="48" t="str">
        <f>IFERROR(__xludf.DUMMYFUNCTION("""COMPUTED_VALUE"""),"KURDI")</f>
        <v>KURDI</v>
      </c>
      <c r="E89" s="48" t="str">
        <f>IFERROR(__xludf.DUMMYFUNCTION("""COMPUTED_VALUE"""),"MUSLIHAH")</f>
        <v>MUSLIHAH</v>
      </c>
      <c r="F89" s="48" t="str">
        <f>IFERROR(__xludf.DUMMYFUNCTION("""COMPUTED_VALUE"""),"SAWO RT 008 RW 004 DUKUN GRESIK")</f>
        <v>SAWO RT 008 RW 004 DUKUN GRESIK</v>
      </c>
      <c r="G89" s="49" t="str">
        <f>IFERROR(__xludf.DUMMYFUNCTION("""COMPUTED_VALUE"""),"MA-XI.9")</f>
        <v>MA-XI.9</v>
      </c>
      <c r="H89" s="47" t="str">
        <f>IFERROR(__xludf.DUMMYFUNCTION("""COMPUTED_VALUE"""),"A")</f>
        <v>A</v>
      </c>
      <c r="I89" s="51" t="str">
        <f>IFERROR(__xludf.DUMMYFUNCTION("""COMPUTED_VALUE"""),"A-4")</f>
        <v>A-4</v>
      </c>
      <c r="J89" s="51">
        <f>IFERROR(__xludf.DUMMYFUNCTION("""COMPUTED_VALUE"""),2.0)</f>
        <v>2</v>
      </c>
      <c r="K89" s="51" t="str">
        <f>IFERROR(__xludf.DUMMYFUNCTION("""COMPUTED_VALUE"""),"2 WUSTHO B PUTRA")</f>
        <v>2 WUSTHO B PUTRA</v>
      </c>
      <c r="L89" s="52" t="str">
        <f>IFERROR(__xludf.DUMMYFUNCTION("""COMPUTED_VALUE"""),"6285815333968")</f>
        <v>6285815333968</v>
      </c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>
        <f>IFERROR(__xludf.DUMMYFUNCTION("""COMPUTED_VALUE"""),500000.0)</f>
        <v>500000</v>
      </c>
      <c r="AC89" s="53"/>
      <c r="AD89" s="53"/>
      <c r="AE89" s="54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>
        <f>IFERROR(__xludf.DUMMYFUNCTION("""COMPUTED_VALUE"""),500000.0)</f>
        <v>500000</v>
      </c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IFERROR(__xludf.DUMMYFUNCTION("""COMPUTED_VALUE"""),1000000.0)</f>
        <v>1000000</v>
      </c>
      <c r="BE89" s="54">
        <f>IFERROR(__xludf.DUMMYFUNCTION("""COMPUTED_VALUE"""),0.0)</f>
        <v>0</v>
      </c>
      <c r="BF89" s="55">
        <f>IFERROR(__xludf.DUMMYFUNCTION("""COMPUTED_VALUE"""),1000000.0)</f>
        <v>1000000</v>
      </c>
      <c r="BG89" s="53"/>
      <c r="BH89" s="53"/>
      <c r="BI89" s="53"/>
      <c r="BJ89" s="45"/>
      <c r="BK89" s="45"/>
      <c r="BL89" s="45"/>
      <c r="BM89" s="45"/>
      <c r="BN89" s="45"/>
      <c r="BO89" s="46"/>
    </row>
    <row r="90">
      <c r="A90" s="36">
        <f>IFERROR(__xludf.DUMMYFUNCTION("""COMPUTED_VALUE"""),89.0)</f>
        <v>89</v>
      </c>
      <c r="B90" s="37" t="str">
        <f>IFERROR(__xludf.DUMMYFUNCTION("""COMPUTED_VALUE"""),"MUHAMMAD RIZKI RAMDHANI")</f>
        <v>MUHAMMAD RIZKI RAMDHANI</v>
      </c>
      <c r="C90" s="38">
        <f>IFERROR(__xludf.DUMMYFUNCTION("""COMPUTED_VALUE"""),2.025070452E9)</f>
        <v>2025070452</v>
      </c>
      <c r="D90" s="37" t="str">
        <f>IFERROR(__xludf.DUMMYFUNCTION("""COMPUTED_VALUE"""),"MOH. ZAHID")</f>
        <v>MOH. ZAHID</v>
      </c>
      <c r="E90" s="37" t="str">
        <f>IFERROR(__xludf.DUMMYFUNCTION("""COMPUTED_VALUE"""),"SITI ROHIMAH")</f>
        <v>SITI ROHIMAH</v>
      </c>
      <c r="F90" s="37" t="str">
        <f>IFERROR(__xludf.DUMMYFUNCTION("""COMPUTED_VALUE"""),"BAMBANG RT 004 RW 002 TURI LAMONGAN")</f>
        <v>BAMBANG RT 004 RW 002 TURI LAMONGAN</v>
      </c>
      <c r="G90" s="39" t="str">
        <f>IFERROR(__xludf.DUMMYFUNCTION("""COMPUTED_VALUE"""),"SMK-XI TKJ 1")</f>
        <v>SMK-XI TKJ 1</v>
      </c>
      <c r="H90" s="36" t="str">
        <f>IFERROR(__xludf.DUMMYFUNCTION("""COMPUTED_VALUE"""),"A")</f>
        <v>A</v>
      </c>
      <c r="I90" s="42" t="str">
        <f>IFERROR(__xludf.DUMMYFUNCTION("""COMPUTED_VALUE"""),"A-4")</f>
        <v>A-4</v>
      </c>
      <c r="J90" s="40">
        <f>IFERROR(__xludf.DUMMYFUNCTION("""COMPUTED_VALUE"""),2.0)</f>
        <v>2</v>
      </c>
      <c r="K90" s="40" t="str">
        <f>IFERROR(__xludf.DUMMYFUNCTION("""COMPUTED_VALUE"""),"2 WUSTHO B PUTRA")</f>
        <v>2 WUSTHO B PUTRA</v>
      </c>
      <c r="L90" s="41" t="str">
        <f>IFERROR(__xludf.DUMMYFUNCTION("""COMPUTED_VALUE"""),"6285730186043")</f>
        <v>6285730186043</v>
      </c>
      <c r="M90" s="42"/>
      <c r="N90" s="42"/>
      <c r="O90" s="42"/>
      <c r="P90" s="42"/>
      <c r="Q90" s="42"/>
      <c r="R90" s="42"/>
      <c r="S90" s="42"/>
      <c r="T90" s="42"/>
      <c r="U90" s="43"/>
      <c r="V90" s="43"/>
      <c r="W90" s="43"/>
      <c r="X90" s="43"/>
      <c r="Y90" s="43"/>
      <c r="Z90" s="43"/>
      <c r="AA90" s="43"/>
      <c r="AB90" s="43">
        <f>IFERROR(__xludf.DUMMYFUNCTION("""COMPUTED_VALUE"""),500000.0)</f>
        <v>500000</v>
      </c>
      <c r="AC90" s="43"/>
      <c r="AD90" s="43"/>
      <c r="AE90" s="43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3">
        <f>IFERROR(__xludf.DUMMYFUNCTION("""COMPUTED_VALUE"""),500000.0)</f>
        <v>500000</v>
      </c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IFERROR(__xludf.DUMMYFUNCTION("""COMPUTED_VALUE"""),1000000.0)</f>
        <v>1000000</v>
      </c>
      <c r="BE90" s="43">
        <f>IFERROR(__xludf.DUMMYFUNCTION("""COMPUTED_VALUE"""),0.0)</f>
        <v>0</v>
      </c>
      <c r="BF90" s="44">
        <f>IFERROR(__xludf.DUMMYFUNCTION("""COMPUTED_VALUE"""),1000000.0)</f>
        <v>1000000</v>
      </c>
      <c r="BG90" s="42"/>
      <c r="BH90" s="42"/>
      <c r="BI90" s="42"/>
      <c r="BJ90" s="45"/>
      <c r="BK90" s="45"/>
      <c r="BL90" s="45"/>
      <c r="BM90" s="45"/>
      <c r="BN90" s="45"/>
      <c r="BO90" s="46"/>
    </row>
    <row r="91">
      <c r="A91" s="47">
        <f>IFERROR(__xludf.DUMMYFUNCTION("""COMPUTED_VALUE"""),90.0)</f>
        <v>90</v>
      </c>
      <c r="B91" s="48" t="str">
        <f>IFERROR(__xludf.DUMMYFUNCTION("""COMPUTED_VALUE"""),"MUHAMMAD WATSIQUZ ZIMAM")</f>
        <v>MUHAMMAD WATSIQUZ ZIMAM</v>
      </c>
      <c r="C91" s="49">
        <f>IFERROR(__xludf.DUMMYFUNCTION("""COMPUTED_VALUE"""),2.025070059E9)</f>
        <v>2025070059</v>
      </c>
      <c r="D91" s="48" t="str">
        <f>IFERROR(__xludf.DUMMYFUNCTION("""COMPUTED_VALUE"""),"MOH. FATAWI")</f>
        <v>MOH. FATAWI</v>
      </c>
      <c r="E91" s="48" t="str">
        <f>IFERROR(__xludf.DUMMYFUNCTION("""COMPUTED_VALUE"""),"ZULAIKHAH")</f>
        <v>ZULAIKHAH</v>
      </c>
      <c r="F91" s="48" t="str">
        <f>IFERROR(__xludf.DUMMYFUNCTION("""COMPUTED_VALUE"""),"BLURI RT 003 RW 001 SOLOKURO LAMONGAN")</f>
        <v>BLURI RT 003 RW 001 SOLOKURO LAMONGAN</v>
      </c>
      <c r="G91" s="50" t="str">
        <f>IFERROR(__xludf.DUMMYFUNCTION("""COMPUTED_VALUE"""),"MA-XI.8")</f>
        <v>MA-XI.8</v>
      </c>
      <c r="H91" s="47" t="str">
        <f>IFERROR(__xludf.DUMMYFUNCTION("""COMPUTED_VALUE"""),"A")</f>
        <v>A</v>
      </c>
      <c r="I91" s="51" t="str">
        <f>IFERROR(__xludf.DUMMYFUNCTION("""COMPUTED_VALUE"""),"A-4")</f>
        <v>A-4</v>
      </c>
      <c r="J91" s="51">
        <f>IFERROR(__xludf.DUMMYFUNCTION("""COMPUTED_VALUE"""),2.0)</f>
        <v>2</v>
      </c>
      <c r="K91" s="51" t="str">
        <f>IFERROR(__xludf.DUMMYFUNCTION("""COMPUTED_VALUE"""),"2 WUSTHO B PUTRA")</f>
        <v>2 WUSTHO B PUTRA</v>
      </c>
      <c r="L91" s="52" t="str">
        <f>IFERROR(__xludf.DUMMYFUNCTION("""COMPUTED_VALUE"""),"6285604191141")</f>
        <v>6285604191141</v>
      </c>
      <c r="M91" s="54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>
        <f>IFERROR(__xludf.DUMMYFUNCTION("""COMPUTED_VALUE"""),450000.0)</f>
        <v>450000</v>
      </c>
      <c r="Y91" s="53">
        <f>IFERROR(__xludf.DUMMYFUNCTION("""COMPUTED_VALUE"""),450000.0)</f>
        <v>450000</v>
      </c>
      <c r="Z91" s="53">
        <f>IFERROR(__xludf.DUMMYFUNCTION("""COMPUTED_VALUE"""),450000.0)</f>
        <v>450000</v>
      </c>
      <c r="AA91" s="54"/>
      <c r="AB91" s="54">
        <f>IFERROR(__xludf.DUMMYFUNCTION("""COMPUTED_VALUE"""),500000.0)</f>
        <v>500000</v>
      </c>
      <c r="AC91" s="53"/>
      <c r="AD91" s="53"/>
      <c r="AE91" s="54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IFERROR(__xludf.DUMMYFUNCTION("""COMPUTED_VALUE"""),1350000.0)</f>
        <v>1350000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IFERROR(__xludf.DUMMYFUNCTION("""COMPUTED_VALUE"""),2350000.0)</f>
        <v>2350000</v>
      </c>
      <c r="BG91" s="53"/>
      <c r="BH91" s="53"/>
      <c r="BI91" s="53"/>
      <c r="BJ91" s="45"/>
      <c r="BK91" s="45"/>
      <c r="BL91" s="45"/>
      <c r="BM91" s="45"/>
      <c r="BN91" s="45"/>
      <c r="BO91" s="46"/>
    </row>
    <row r="92">
      <c r="A92" s="36">
        <f>IFERROR(__xludf.DUMMYFUNCTION("""COMPUTED_VALUE"""),91.0)</f>
        <v>91</v>
      </c>
      <c r="B92" s="37" t="str">
        <f>IFERROR(__xludf.DUMMYFUNCTION("""COMPUTED_VALUE"""),"MUHAMMAD ZIDAN SAPUTRA")</f>
        <v>MUHAMMAD ZIDAN SAPUTRA</v>
      </c>
      <c r="C92" s="38">
        <f>IFERROR(__xludf.DUMMYFUNCTION("""COMPUTED_VALUE"""),2.025070577E9)</f>
        <v>2025070577</v>
      </c>
      <c r="D92" s="37" t="str">
        <f>IFERROR(__xludf.DUMMYFUNCTION("""COMPUTED_VALUE"""),"MOH. JAINI")</f>
        <v>MOH. JAINI</v>
      </c>
      <c r="E92" s="37" t="str">
        <f>IFERROR(__xludf.DUMMYFUNCTION("""COMPUTED_VALUE"""),"NUR HIDAYATI")</f>
        <v>NUR HIDAYATI</v>
      </c>
      <c r="F92" s="37" t="str">
        <f>IFERROR(__xludf.DUMMYFUNCTION("""COMPUTED_VALUE"""),"BUTOREJO SIDOGEMBUL RT 002 RW 001 SUKODADI LAMONGAN")</f>
        <v>BUTOREJO SIDOGEMBUL RT 002 RW 001 SUKODADI LAMONGAN</v>
      </c>
      <c r="G92" s="39" t="str">
        <f>IFERROR(__xludf.DUMMYFUNCTION("""COMPUTED_VALUE"""),"MTS-8 E")</f>
        <v>MTS-8 E</v>
      </c>
      <c r="H92" s="36" t="str">
        <f>IFERROR(__xludf.DUMMYFUNCTION("""COMPUTED_VALUE"""),"A")</f>
        <v>A</v>
      </c>
      <c r="I92" s="40" t="str">
        <f>IFERROR(__xludf.DUMMYFUNCTION("""COMPUTED_VALUE"""),"A-1")</f>
        <v>A-1</v>
      </c>
      <c r="J92" s="40">
        <f>IFERROR(__xludf.DUMMYFUNCTION("""COMPUTED_VALUE"""),2.0)</f>
        <v>2</v>
      </c>
      <c r="K92" s="40" t="str">
        <f>IFERROR(__xludf.DUMMYFUNCTION("""COMPUTED_VALUE"""),"2 ULA B PUTRA")</f>
        <v>2 ULA B PUTRA</v>
      </c>
      <c r="L92" s="41" t="str">
        <f>IFERROR(__xludf.DUMMYFUNCTION("""COMPUTED_VALUE"""),"6281283671417")</f>
        <v>6281283671417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3"/>
      <c r="Z92" s="43"/>
      <c r="AA92" s="43"/>
      <c r="AB92" s="43"/>
      <c r="AC92" s="43"/>
      <c r="AD92" s="43"/>
      <c r="AE92" s="43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3">
        <f>IFERROR(__xludf.DUMMYFUNCTION("""COMPUTED_VALUE"""),500000.0)</f>
        <v>500000</v>
      </c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IFERROR(__xludf.DUMMYFUNCTION("""COMPUTED_VALUE"""),0.0)</f>
        <v>0</v>
      </c>
      <c r="BD92" s="43">
        <f>IFERROR(__xludf.DUMMYFUNCTION("""COMPUTED_VALUE"""),500000.0)</f>
        <v>500000</v>
      </c>
      <c r="BE92" s="43">
        <f>IFERROR(__xludf.DUMMYFUNCTION("""COMPUTED_VALUE"""),0.0)</f>
        <v>0</v>
      </c>
      <c r="BF92" s="44">
        <f>IFERROR(__xludf.DUMMYFUNCTION("""COMPUTED_VALUE"""),500000.0)</f>
        <v>500000</v>
      </c>
      <c r="BG92" s="42"/>
      <c r="BH92" s="42"/>
      <c r="BI92" s="42"/>
      <c r="BJ92" s="45"/>
      <c r="BK92" s="45"/>
      <c r="BL92" s="45"/>
      <c r="BM92" s="45"/>
      <c r="BN92" s="45"/>
      <c r="BO92" s="46"/>
    </row>
    <row r="93">
      <c r="A93" s="47">
        <f>IFERROR(__xludf.DUMMYFUNCTION("""COMPUTED_VALUE"""),92.0)</f>
        <v>92</v>
      </c>
      <c r="B93" s="48" t="str">
        <f>IFERROR(__xludf.DUMMYFUNCTION("""COMPUTED_VALUE"""),"NAUFAL SEBASTIAN ZUHDI")</f>
        <v>NAUFAL SEBASTIAN ZUHDI</v>
      </c>
      <c r="C93" s="49">
        <f>IFERROR(__xludf.DUMMYFUNCTION("""COMPUTED_VALUE"""),2.025070576E9)</f>
        <v>2025070576</v>
      </c>
      <c r="D93" s="48" t="str">
        <f>IFERROR(__xludf.DUMMYFUNCTION("""COMPUTED_VALUE"""),"NURUL ZUHDI")</f>
        <v>NURUL ZUHDI</v>
      </c>
      <c r="E93" s="48" t="str">
        <f>IFERROR(__xludf.DUMMYFUNCTION("""COMPUTED_VALUE"""),"IKE YUSTIN DEVIA")</f>
        <v>IKE YUSTIN DEVIA</v>
      </c>
      <c r="F93" s="48" t="str">
        <f>IFERROR(__xludf.DUMMYFUNCTION("""COMPUTED_VALUE"""),"DADAPAN RT 003 RW 002 SOLOKURO LAMONGAN")</f>
        <v>DADAPAN RT 003 RW 002 SOLOKURO LAMONGAN</v>
      </c>
      <c r="G93" s="50" t="str">
        <f>IFERROR(__xludf.DUMMYFUNCTION("""COMPUTED_VALUE"""),"MTS-8 E")</f>
        <v>MTS-8 E</v>
      </c>
      <c r="H93" s="47" t="str">
        <f>IFERROR(__xludf.DUMMYFUNCTION("""COMPUTED_VALUE"""),"A")</f>
        <v>A</v>
      </c>
      <c r="I93" s="51" t="str">
        <f>IFERROR(__xludf.DUMMYFUNCTION("""COMPUTED_VALUE"""),"A-3")</f>
        <v>A-3</v>
      </c>
      <c r="J93" s="51">
        <f>IFERROR(__xludf.DUMMYFUNCTION("""COMPUTED_VALUE"""),2.0)</f>
        <v>2</v>
      </c>
      <c r="K93" s="51" t="str">
        <f>IFERROR(__xludf.DUMMYFUNCTION("""COMPUTED_VALUE"""),"2 ULA B PUTRA")</f>
        <v>2 ULA B PUTRA</v>
      </c>
      <c r="L93" s="52" t="str">
        <f>IFERROR(__xludf.DUMMYFUNCTION("""COMPUTED_VALUE"""),"6285933222243")</f>
        <v>6285933222243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>
        <f>IFERROR(__xludf.DUMMYFUNCTION("""COMPUTED_VALUE"""),500000.0)</f>
        <v>500000</v>
      </c>
      <c r="AC93" s="53"/>
      <c r="AD93" s="53"/>
      <c r="AE93" s="54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>
        <f>IFERROR(__xludf.DUMMYFUNCTION("""COMPUTED_VALUE"""),500000.0)</f>
        <v>500000</v>
      </c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IFERROR(__xludf.DUMMYFUNCTION("""COMPUTED_VALUE"""),1000000.0)</f>
        <v>1000000</v>
      </c>
      <c r="BE93" s="54">
        <f>IFERROR(__xludf.DUMMYFUNCTION("""COMPUTED_VALUE"""),0.0)</f>
        <v>0</v>
      </c>
      <c r="BF93" s="55">
        <f>IFERROR(__xludf.DUMMYFUNCTION("""COMPUTED_VALUE"""),1000000.0)</f>
        <v>1000000</v>
      </c>
      <c r="BG93" s="53"/>
      <c r="BH93" s="53"/>
      <c r="BI93" s="53"/>
      <c r="BJ93" s="45"/>
      <c r="BK93" s="45"/>
      <c r="BL93" s="45"/>
      <c r="BM93" s="45"/>
      <c r="BN93" s="45"/>
      <c r="BO93" s="46"/>
    </row>
    <row r="94">
      <c r="A94" s="36">
        <f>IFERROR(__xludf.DUMMYFUNCTION("""COMPUTED_VALUE"""),93.0)</f>
        <v>93</v>
      </c>
      <c r="B94" s="37" t="str">
        <f>IFERROR(__xludf.DUMMYFUNCTION("""COMPUTED_VALUE"""),"PUTRADANA ABDY ASY`ARY")</f>
        <v>PUTRADANA ABDY ASY`ARY</v>
      </c>
      <c r="C94" s="38">
        <f>IFERROR(__xludf.DUMMYFUNCTION("""COMPUTED_VALUE"""),2.025070608E9)</f>
        <v>2025070608</v>
      </c>
      <c r="D94" s="37" t="str">
        <f>IFERROR(__xludf.DUMMYFUNCTION("""COMPUTED_VALUE"""),"KHASUN NIDLOM ASY`ARY")</f>
        <v>KHASUN NIDLOM ASY`ARY</v>
      </c>
      <c r="E94" s="37" t="str">
        <f>IFERROR(__xludf.DUMMYFUNCTION("""COMPUTED_VALUE"""),"KHOLIFATUL MA`RIFAH")</f>
        <v>KHOLIFATUL MA`RIFAH</v>
      </c>
      <c r="F94" s="37" t="str">
        <f>IFERROR(__xludf.DUMMYFUNCTION("""COMPUTED_VALUE"""),"KULURAN RT 004 RW 002 KALITENGAH LAMONGAN")</f>
        <v>KULURAN RT 004 RW 002 KALITENGAH LAMONGAN</v>
      </c>
      <c r="G94" s="39" t="str">
        <f>IFERROR(__xludf.DUMMYFUNCTION("""COMPUTED_VALUE"""),"MTS-8 F")</f>
        <v>MTS-8 F</v>
      </c>
      <c r="H94" s="36" t="str">
        <f>IFERROR(__xludf.DUMMYFUNCTION("""COMPUTED_VALUE"""),"A")</f>
        <v>A</v>
      </c>
      <c r="I94" s="40" t="str">
        <f>IFERROR(__xludf.DUMMYFUNCTION("""COMPUTED_VALUE"""),"A-1")</f>
        <v>A-1</v>
      </c>
      <c r="J94" s="40">
        <f>IFERROR(__xludf.DUMMYFUNCTION("""COMPUTED_VALUE"""),2.0)</f>
        <v>2</v>
      </c>
      <c r="K94" s="40" t="str">
        <f>IFERROR(__xludf.DUMMYFUNCTION("""COMPUTED_VALUE"""),"2 ULA B PUTRA")</f>
        <v>2 ULA B PUTRA</v>
      </c>
      <c r="L94" s="41" t="str">
        <f>IFERROR(__xludf.DUMMYFUNCTION("""COMPUTED_VALUE"""),"6285790574521")</f>
        <v>6285790574521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>
        <f>IFERROR(__xludf.DUMMYFUNCTION("""COMPUTED_VALUE"""),450000.0)</f>
        <v>450000</v>
      </c>
      <c r="AA94" s="42"/>
      <c r="AB94" s="42">
        <f>IFERROR(__xludf.DUMMYFUNCTION("""COMPUTED_VALUE"""),500000.0)</f>
        <v>500000</v>
      </c>
      <c r="AC94" s="42"/>
      <c r="AD94" s="42"/>
      <c r="AE94" s="43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>
        <f>IFERROR(__xludf.DUMMYFUNCTION("""COMPUTED_VALUE"""),500000.0)</f>
        <v>500000</v>
      </c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C94" s="43">
        <f>IFERROR(__xludf.DUMMYFUNCTION("""COMPUTED_VALUE"""),450000.0)</f>
        <v>450000</v>
      </c>
      <c r="BD94" s="43">
        <f>IFERROR(__xludf.DUMMYFUNCTION("""COMPUTED_VALUE"""),1000000.0)</f>
        <v>1000000</v>
      </c>
      <c r="BE94" s="43">
        <f>IFERROR(__xludf.DUMMYFUNCTION("""COMPUTED_VALUE"""),0.0)</f>
        <v>0</v>
      </c>
      <c r="BF94" s="44">
        <f>IFERROR(__xludf.DUMMYFUNCTION("""COMPUTED_VALUE"""),1450000.0)</f>
        <v>1450000</v>
      </c>
      <c r="BG94" s="42"/>
      <c r="BH94" s="42"/>
      <c r="BI94" s="42"/>
      <c r="BJ94" s="45"/>
      <c r="BK94" s="45"/>
      <c r="BL94" s="45"/>
      <c r="BM94" s="45"/>
      <c r="BN94" s="45"/>
      <c r="BO94" s="46"/>
    </row>
    <row r="95">
      <c r="A95" s="47">
        <f>IFERROR(__xludf.DUMMYFUNCTION("""COMPUTED_VALUE"""),94.0)</f>
        <v>94</v>
      </c>
      <c r="B95" s="48" t="str">
        <f>IFERROR(__xludf.DUMMYFUNCTION("""COMPUTED_VALUE"""),"RADITYA GUNA ATMAJA")</f>
        <v>RADITYA GUNA ATMAJA</v>
      </c>
      <c r="C95" s="49">
        <f>IFERROR(__xludf.DUMMYFUNCTION("""COMPUTED_VALUE"""),2.025070014E9)</f>
        <v>2025070014</v>
      </c>
      <c r="D95" s="48" t="str">
        <f>IFERROR(__xludf.DUMMYFUNCTION("""COMPUTED_VALUE"""),"NIFUD ROBUL MASUD")</f>
        <v>NIFUD ROBUL MASUD</v>
      </c>
      <c r="E95" s="48" t="str">
        <f>IFERROR(__xludf.DUMMYFUNCTION("""COMPUTED_VALUE"""),"SUIRAWATI")</f>
        <v>SUIRAWATI</v>
      </c>
      <c r="F95" s="48" t="str">
        <f>IFERROR(__xludf.DUMMYFUNCTION("""COMPUTED_VALUE"""),"WIDHE SENDANGHARJO RT 014 RW 002 BRONDONG LAMONGAN")</f>
        <v>WIDHE SENDANGHARJO RT 014 RW 002 BRONDONG LAMONGAN</v>
      </c>
      <c r="G95" s="49" t="str">
        <f>IFERROR(__xludf.DUMMYFUNCTION("""COMPUTED_VALUE"""),"MA-XI.4")</f>
        <v>MA-XI.4</v>
      </c>
      <c r="H95" s="47" t="str">
        <f>IFERROR(__xludf.DUMMYFUNCTION("""COMPUTED_VALUE"""),"A")</f>
        <v>A</v>
      </c>
      <c r="I95" s="51" t="str">
        <f>IFERROR(__xludf.DUMMYFUNCTION("""COMPUTED_VALUE"""),"A-4")</f>
        <v>A-4</v>
      </c>
      <c r="J95" s="51">
        <f>IFERROR(__xludf.DUMMYFUNCTION("""COMPUTED_VALUE"""),2.0)</f>
        <v>2</v>
      </c>
      <c r="K95" s="51" t="str">
        <f>IFERROR(__xludf.DUMMYFUNCTION("""COMPUTED_VALUE"""),"2 WUSTHO B PUTRA")</f>
        <v>2 WUSTHO B PUTRA</v>
      </c>
      <c r="L95" s="52" t="str">
        <f>IFERROR(__xludf.DUMMYFUNCTION("""COMPUTED_VALUE"""),"6285708380208")</f>
        <v>6285708380208</v>
      </c>
      <c r="M95" s="53"/>
      <c r="N95" s="53"/>
      <c r="O95" s="53"/>
      <c r="P95" s="53"/>
      <c r="Q95" s="53"/>
      <c r="R95" s="53"/>
      <c r="S95" s="53"/>
      <c r="T95" s="53"/>
      <c r="U95" s="53">
        <f>IFERROR(__xludf.DUMMYFUNCTION("""COMPUTED_VALUE"""),450000.0)</f>
        <v>450000</v>
      </c>
      <c r="V95" s="53">
        <f>IFERROR(__xludf.DUMMYFUNCTION("""COMPUTED_VALUE"""),450000.0)</f>
        <v>450000</v>
      </c>
      <c r="W95" s="53">
        <f>IFERROR(__xludf.DUMMYFUNCTION("""COMPUTED_VALUE"""),450000.0)</f>
        <v>450000</v>
      </c>
      <c r="X95" s="53">
        <f>IFERROR(__xludf.DUMMYFUNCTION("""COMPUTED_VALUE"""),450000.0)</f>
        <v>450000</v>
      </c>
      <c r="Y95" s="54">
        <f>IFERROR(__xludf.DUMMYFUNCTION("""COMPUTED_VALUE"""),450000.0)</f>
        <v>450000</v>
      </c>
      <c r="Z95" s="54">
        <f>IFERROR(__xludf.DUMMYFUNCTION("""COMPUTED_VALUE"""),450000.0)</f>
        <v>450000</v>
      </c>
      <c r="AA95" s="54"/>
      <c r="AB95" s="53"/>
      <c r="AC95" s="54"/>
      <c r="AD95" s="54"/>
      <c r="AE95" s="54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IFERROR(__xludf.DUMMYFUNCTION("""COMPUTED_VALUE"""),2700000.0)</f>
        <v>2700000</v>
      </c>
      <c r="BD95" s="54">
        <f>IFERROR(__xludf.DUMMYFUNCTION("""COMPUTED_VALUE"""),0.0)</f>
        <v>0</v>
      </c>
      <c r="BE95" s="54">
        <f>IFERROR(__xludf.DUMMYFUNCTION("""COMPUTED_VALUE"""),0.0)</f>
        <v>0</v>
      </c>
      <c r="BF95" s="55">
        <f>IFERROR(__xludf.DUMMYFUNCTION("""COMPUTED_VALUE"""),2700000.0)</f>
        <v>2700000</v>
      </c>
      <c r="BG95" s="53"/>
      <c r="BH95" s="53"/>
      <c r="BI95" s="53"/>
      <c r="BJ95" s="45"/>
      <c r="BK95" s="45"/>
      <c r="BL95" s="45"/>
      <c r="BM95" s="45"/>
      <c r="BN95" s="45"/>
      <c r="BO95" s="46"/>
    </row>
    <row r="96">
      <c r="A96" s="36">
        <f>IFERROR(__xludf.DUMMYFUNCTION("""COMPUTED_VALUE"""),95.0)</f>
        <v>95</v>
      </c>
      <c r="B96" s="37" t="str">
        <f>IFERROR(__xludf.DUMMYFUNCTION("""COMPUTED_VALUE"""),"RAIHAN AUFAR ALDIVA ARSYIL")</f>
        <v>RAIHAN AUFAR ALDIVA ARSYIL</v>
      </c>
      <c r="C96" s="38">
        <f>IFERROR(__xludf.DUMMYFUNCTION("""COMPUTED_VALUE"""),2.025070537E9)</f>
        <v>2025070537</v>
      </c>
      <c r="D96" s="37" t="str">
        <f>IFERROR(__xludf.DUMMYFUNCTION("""COMPUTED_VALUE"""),"SUKARSONO")</f>
        <v>SUKARSONO</v>
      </c>
      <c r="E96" s="37" t="str">
        <f>IFERROR(__xludf.DUMMYFUNCTION("""COMPUTED_VALUE"""),"NANIK ERMAWATI")</f>
        <v>NANIK ERMAWATI</v>
      </c>
      <c r="F96" s="37" t="str">
        <f>IFERROR(__xludf.DUMMYFUNCTION("""COMPUTED_VALUE"""),"NGUJUNG NGUJUNGREJO RT 001 RW 001 TURI LAMONGAN")</f>
        <v>NGUJUNG NGUJUNGREJO RT 001 RW 001 TURI LAMONGAN</v>
      </c>
      <c r="G96" s="38" t="str">
        <f>IFERROR(__xludf.DUMMYFUNCTION("""COMPUTED_VALUE"""),"MTS-8 G")</f>
        <v>MTS-8 G</v>
      </c>
      <c r="H96" s="36" t="str">
        <f>IFERROR(__xludf.DUMMYFUNCTION("""COMPUTED_VALUE"""),"A")</f>
        <v>A</v>
      </c>
      <c r="I96" s="40" t="str">
        <f>IFERROR(__xludf.DUMMYFUNCTION("""COMPUTED_VALUE"""),"A-3")</f>
        <v>A-3</v>
      </c>
      <c r="J96" s="40">
        <f>IFERROR(__xludf.DUMMYFUNCTION("""COMPUTED_VALUE"""),2.0)</f>
        <v>2</v>
      </c>
      <c r="K96" s="40" t="str">
        <f>IFERROR(__xludf.DUMMYFUNCTION("""COMPUTED_VALUE"""),"2 ULA B PUTRA")</f>
        <v>2 ULA B PUTRA</v>
      </c>
      <c r="L96" s="41" t="str">
        <f>IFERROR(__xludf.DUMMYFUNCTION("""COMPUTED_VALUE"""),"6285708809822")</f>
        <v>6285708809822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>
        <f>IFERROR(__xludf.DUMMYFUNCTION("""COMPUTED_VALUE"""),500000.0)</f>
        <v>500000</v>
      </c>
      <c r="AC96" s="42"/>
      <c r="AD96" s="42"/>
      <c r="AE96" s="43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>
        <f>IFERROR(__xludf.DUMMYFUNCTION("""COMPUTED_VALUE"""),500000.0)</f>
        <v>500000</v>
      </c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IFERROR(__xludf.DUMMYFUNCTION("""COMPUTED_VALUE"""),1000000.0)</f>
        <v>1000000</v>
      </c>
      <c r="BE96" s="43">
        <f>IFERROR(__xludf.DUMMYFUNCTION("""COMPUTED_VALUE"""),0.0)</f>
        <v>0</v>
      </c>
      <c r="BF96" s="44">
        <f>IFERROR(__xludf.DUMMYFUNCTION("""COMPUTED_VALUE"""),1000000.0)</f>
        <v>1000000</v>
      </c>
      <c r="BG96" s="42"/>
      <c r="BH96" s="42"/>
      <c r="BI96" s="42"/>
      <c r="BJ96" s="45"/>
      <c r="BK96" s="45"/>
      <c r="BL96" s="45"/>
      <c r="BM96" s="45"/>
      <c r="BN96" s="45"/>
      <c r="BO96" s="46"/>
    </row>
    <row r="97">
      <c r="A97" s="47">
        <f>IFERROR(__xludf.DUMMYFUNCTION("""COMPUTED_VALUE"""),96.0)</f>
        <v>96</v>
      </c>
      <c r="B97" s="48" t="str">
        <f>IFERROR(__xludf.DUMMYFUNCTION("""COMPUTED_VALUE"""),"RAIHAN MAWARDI PUTRA ZAINAL")</f>
        <v>RAIHAN MAWARDI PUTRA ZAINAL</v>
      </c>
      <c r="C97" s="49">
        <f>IFERROR(__xludf.DUMMYFUNCTION("""COMPUTED_VALUE"""),2.025070505E9)</f>
        <v>2025070505</v>
      </c>
      <c r="D97" s="48" t="str">
        <f>IFERROR(__xludf.DUMMYFUNCTION("""COMPUTED_VALUE"""),"ZAINAL ARIF")</f>
        <v>ZAINAL ARIF</v>
      </c>
      <c r="E97" s="48" t="str">
        <f>IFERROR(__xludf.DUMMYFUNCTION("""COMPUTED_VALUE"""),"SANTY KUMALA SARY")</f>
        <v>SANTY KUMALA SARY</v>
      </c>
      <c r="F97" s="48" t="str">
        <f>IFERROR(__xludf.DUMMYFUNCTION("""COMPUTED_VALUE"""),"BADAN BOGOBABADAN RT 001 RW 004 KARANGBINANGUN LAMONGAN")</f>
        <v>BADAN BOGOBABADAN RT 001 RW 004 KARANGBINANGUN LAMONGAN</v>
      </c>
      <c r="G97" s="49" t="str">
        <f>IFERROR(__xludf.DUMMYFUNCTION("""COMPUTED_VALUE"""),"MTS-8 B")</f>
        <v>MTS-8 B</v>
      </c>
      <c r="H97" s="47" t="str">
        <f>IFERROR(__xludf.DUMMYFUNCTION("""COMPUTED_VALUE"""),"A")</f>
        <v>A</v>
      </c>
      <c r="I97" s="51" t="str">
        <f>IFERROR(__xludf.DUMMYFUNCTION("""COMPUTED_VALUE"""),"A-13")</f>
        <v>A-13</v>
      </c>
      <c r="J97" s="51">
        <f>IFERROR(__xludf.DUMMYFUNCTION("""COMPUTED_VALUE"""),2.0)</f>
        <v>2</v>
      </c>
      <c r="K97" s="51" t="str">
        <f>IFERROR(__xludf.DUMMYFUNCTION("""COMPUTED_VALUE"""),"ULA")</f>
        <v>ULA</v>
      </c>
      <c r="L97" s="52" t="str">
        <f>IFERROR(__xludf.DUMMYFUNCTION("""COMPUTED_VALUE"""),"6285655897293")</f>
        <v>6285655897293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>
        <f>IFERROR(__xludf.DUMMYFUNCTION("""COMPUTED_VALUE"""),450000.0)</f>
        <v>450000</v>
      </c>
      <c r="AA97" s="53"/>
      <c r="AB97" s="53">
        <f>IFERROR(__xludf.DUMMYFUNCTION("""COMPUTED_VALUE"""),500000.0)</f>
        <v>500000</v>
      </c>
      <c r="AC97" s="53"/>
      <c r="AD97" s="53"/>
      <c r="AE97" s="54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>
        <f>IFERROR(__xludf.DUMMYFUNCTION("""COMPUTED_VALUE"""),500000.0)</f>
        <v>500000</v>
      </c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IFERROR(__xludf.DUMMYFUNCTION("""COMPUTED_VALUE"""),450000.0)</f>
        <v>450000</v>
      </c>
      <c r="BD97" s="54">
        <f>IFERROR(__xludf.DUMMYFUNCTION("""COMPUTED_VALUE"""),1000000.0)</f>
        <v>1000000</v>
      </c>
      <c r="BE97" s="54">
        <f>IFERROR(__xludf.DUMMYFUNCTION("""COMPUTED_VALUE"""),0.0)</f>
        <v>0</v>
      </c>
      <c r="BF97" s="55">
        <f>IFERROR(__xludf.DUMMYFUNCTION("""COMPUTED_VALUE"""),1450000.0)</f>
        <v>1450000</v>
      </c>
      <c r="BG97" s="53"/>
      <c r="BH97" s="53"/>
      <c r="BI97" s="53"/>
      <c r="BJ97" s="45"/>
      <c r="BK97" s="45"/>
      <c r="BL97" s="45"/>
      <c r="BM97" s="45"/>
      <c r="BN97" s="45"/>
      <c r="BO97" s="46"/>
    </row>
    <row r="98">
      <c r="A98" s="36">
        <f>IFERROR(__xludf.DUMMYFUNCTION("""COMPUTED_VALUE"""),97.0)</f>
        <v>97</v>
      </c>
      <c r="B98" s="37" t="str">
        <f>IFERROR(__xludf.DUMMYFUNCTION("""COMPUTED_VALUE"""),"RAMANDA ALKATIRI PRINCE MUIS")</f>
        <v>RAMANDA ALKATIRI PRINCE MUIS</v>
      </c>
      <c r="C98" s="38">
        <f>IFERROR(__xludf.DUMMYFUNCTION("""COMPUTED_VALUE"""),2.025070369E9)</f>
        <v>2025070369</v>
      </c>
      <c r="D98" s="37" t="str">
        <f>IFERROR(__xludf.DUMMYFUNCTION("""COMPUTED_VALUE"""),"ABD. MUIS")</f>
        <v>ABD. MUIS</v>
      </c>
      <c r="E98" s="37" t="str">
        <f>IFERROR(__xludf.DUMMYFUNCTION("""COMPUTED_VALUE"""),"RATNA SYARIYANI")</f>
        <v>RATNA SYARIYANI</v>
      </c>
      <c r="F98" s="37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G98" s="38" t="str">
        <f>IFERROR(__xludf.DUMMYFUNCTION("""COMPUTED_VALUE"""),"MA-XI.2")</f>
        <v>MA-XI.2</v>
      </c>
      <c r="H98" s="36" t="str">
        <f>IFERROR(__xludf.DUMMYFUNCTION("""COMPUTED_VALUE"""),"A")</f>
        <v>A</v>
      </c>
      <c r="I98" s="42" t="str">
        <f>IFERROR(__xludf.DUMMYFUNCTION("""COMPUTED_VALUE"""),"A-4")</f>
        <v>A-4</v>
      </c>
      <c r="J98" s="40">
        <f>IFERROR(__xludf.DUMMYFUNCTION("""COMPUTED_VALUE"""),2.0)</f>
        <v>2</v>
      </c>
      <c r="K98" s="40" t="str">
        <f>IFERROR(__xludf.DUMMYFUNCTION("""COMPUTED_VALUE"""),"2 WUSTHO B PUTRA")</f>
        <v>2 WUSTHO B PUTRA</v>
      </c>
      <c r="L98" s="41" t="str">
        <f>IFERROR(__xludf.DUMMYFUNCTION("""COMPUTED_VALUE"""),"6281520481213")</f>
        <v>6281520481213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3">
        <f>IFERROR(__xludf.DUMMYFUNCTION("""COMPUTED_VALUE"""),500000.0)</f>
        <v>500000</v>
      </c>
      <c r="AC98" s="42"/>
      <c r="AD98" s="43"/>
      <c r="AE98" s="43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3">
        <f>IFERROR(__xludf.DUMMYFUNCTION("""COMPUTED_VALUE"""),500000.0)</f>
        <v>500000</v>
      </c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IFERROR(__xludf.DUMMYFUNCTION("""COMPUTED_VALUE"""),1000000.0)</f>
        <v>1000000</v>
      </c>
      <c r="BE98" s="43">
        <f>IFERROR(__xludf.DUMMYFUNCTION("""COMPUTED_VALUE"""),0.0)</f>
        <v>0</v>
      </c>
      <c r="BF98" s="44">
        <f>IFERROR(__xludf.DUMMYFUNCTION("""COMPUTED_VALUE"""),1000000.0)</f>
        <v>1000000</v>
      </c>
      <c r="BG98" s="42"/>
      <c r="BH98" s="42"/>
      <c r="BI98" s="42"/>
      <c r="BJ98" s="45"/>
      <c r="BK98" s="45"/>
      <c r="BL98" s="45"/>
      <c r="BM98" s="45"/>
      <c r="BN98" s="45"/>
      <c r="BO98" s="46"/>
    </row>
    <row r="99">
      <c r="A99" s="47">
        <f>IFERROR(__xludf.DUMMYFUNCTION("""COMPUTED_VALUE"""),98.0)</f>
        <v>98</v>
      </c>
      <c r="B99" s="48" t="str">
        <f>IFERROR(__xludf.DUMMYFUNCTION("""COMPUTED_VALUE"""),"RYAN ARDHIYANSYAH EKA SAPUTRA")</f>
        <v>RYAN ARDHIYANSYAH EKA SAPUTRA</v>
      </c>
      <c r="C99" s="49">
        <f>IFERROR(__xludf.DUMMYFUNCTION("""COMPUTED_VALUE"""),2.025070185E9)</f>
        <v>2025070185</v>
      </c>
      <c r="D99" s="48" t="str">
        <f>IFERROR(__xludf.DUMMYFUNCTION("""COMPUTED_VALUE"""),"GUNTUR SUPRIYANTO")</f>
        <v>GUNTUR SUPRIYANTO</v>
      </c>
      <c r="E99" s="48" t="str">
        <f>IFERROR(__xludf.DUMMYFUNCTION("""COMPUTED_VALUE"""),"RANIK FURI RAHAYUNINGSIH")</f>
        <v>RANIK FURI RAHAYUNINGSIH</v>
      </c>
      <c r="F99" s="48" t="str">
        <f>IFERROR(__xludf.DUMMYFUNCTION("""COMPUTED_VALUE"""),"MULYOREJO SELATAN II NO. 24 BELAKANG RT 002 RW 004 MULYOREJO SURABAYA")</f>
        <v>MULYOREJO SELATAN II NO. 24 BELAKANG RT 002 RW 004 MULYOREJO SURABAYA</v>
      </c>
      <c r="G99" s="50" t="str">
        <f>IFERROR(__xludf.DUMMYFUNCTION("""COMPUTED_VALUE"""),"MA-XI.6")</f>
        <v>MA-XI.6</v>
      </c>
      <c r="H99" s="47" t="str">
        <f>IFERROR(__xludf.DUMMYFUNCTION("""COMPUTED_VALUE"""),"A")</f>
        <v>A</v>
      </c>
      <c r="I99" s="51" t="str">
        <f>IFERROR(__xludf.DUMMYFUNCTION("""COMPUTED_VALUE"""),"A-9")</f>
        <v>A-9</v>
      </c>
      <c r="J99" s="51">
        <f>IFERROR(__xludf.DUMMYFUNCTION("""COMPUTED_VALUE"""),2.0)</f>
        <v>2</v>
      </c>
      <c r="K99" s="51" t="str">
        <f>IFERROR(__xludf.DUMMYFUNCTION("""COMPUTED_VALUE"""),"2 WUSTHO B PUTRA")</f>
        <v>2 WUSTHO B PUTRA</v>
      </c>
      <c r="L99" s="52" t="str">
        <f>IFERROR(__xludf.DUMMYFUNCTION("""COMPUTED_VALUE"""),"6282250540860")</f>
        <v>6282250540860</v>
      </c>
      <c r="M99" s="53"/>
      <c r="N99" s="53"/>
      <c r="O99" s="53"/>
      <c r="P99" s="53"/>
      <c r="Q99" s="53"/>
      <c r="R99" s="53"/>
      <c r="S99" s="53"/>
      <c r="T99" s="53"/>
      <c r="U99" s="53">
        <f>IFERROR(__xludf.DUMMYFUNCTION("""COMPUTED_VALUE"""),450000.0)</f>
        <v>450000</v>
      </c>
      <c r="V99" s="53">
        <f>IFERROR(__xludf.DUMMYFUNCTION("""COMPUTED_VALUE"""),450000.0)</f>
        <v>450000</v>
      </c>
      <c r="W99" s="53">
        <f>IFERROR(__xludf.DUMMYFUNCTION("""COMPUTED_VALUE"""),450000.0)</f>
        <v>450000</v>
      </c>
      <c r="X99" s="53">
        <f>IFERROR(__xludf.DUMMYFUNCTION("""COMPUTED_VALUE"""),450000.0)</f>
        <v>450000</v>
      </c>
      <c r="Y99" s="53">
        <f>IFERROR(__xludf.DUMMYFUNCTION("""COMPUTED_VALUE"""),450000.0)</f>
        <v>450000</v>
      </c>
      <c r="Z99" s="53">
        <f>IFERROR(__xludf.DUMMYFUNCTION("""COMPUTED_VALUE"""),450000.0)</f>
        <v>450000</v>
      </c>
      <c r="AA99" s="53"/>
      <c r="AB99" s="53"/>
      <c r="AC99" s="53"/>
      <c r="AD99" s="54"/>
      <c r="AE99" s="54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4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IFERROR(__xludf.DUMMYFUNCTION("""COMPUTED_VALUE"""),2700000.0)</f>
        <v>2700000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IFERROR(__xludf.DUMMYFUNCTION("""COMPUTED_VALUE"""),2700000.0)</f>
        <v>2700000</v>
      </c>
      <c r="BG99" s="53"/>
      <c r="BH99" s="53"/>
      <c r="BI99" s="53"/>
      <c r="BJ99" s="45"/>
      <c r="BK99" s="45"/>
      <c r="BL99" s="45"/>
      <c r="BM99" s="45"/>
      <c r="BN99" s="45"/>
      <c r="BO99" s="46"/>
    </row>
    <row r="100">
      <c r="A100" s="36">
        <f>IFERROR(__xludf.DUMMYFUNCTION("""COMPUTED_VALUE"""),99.0)</f>
        <v>99</v>
      </c>
      <c r="B100" s="37" t="str">
        <f>IFERROR(__xludf.DUMMYFUNCTION("""COMPUTED_VALUE"""),"SA`ID AQIL AL MURTADLA")</f>
        <v>SA`ID AQIL AL MURTADLA</v>
      </c>
      <c r="C100" s="38">
        <f>IFERROR(__xludf.DUMMYFUNCTION("""COMPUTED_VALUE"""),2.025070294E9)</f>
        <v>2025070294</v>
      </c>
      <c r="D100" s="37" t="str">
        <f>IFERROR(__xludf.DUMMYFUNCTION("""COMPUTED_VALUE"""),"MOH. ALI MURTADLO")</f>
        <v>MOH. ALI MURTADLO</v>
      </c>
      <c r="E100" s="37" t="str">
        <f>IFERROR(__xludf.DUMMYFUNCTION("""COMPUTED_VALUE"""),"NUR MA`RIFATUN")</f>
        <v>NUR MA`RIFATUN</v>
      </c>
      <c r="F100" s="37" t="str">
        <f>IFERROR(__xludf.DUMMYFUNCTION("""COMPUTED_VALUE"""),"SIDOMUKTI RT 010 RW 003 KEMBANGBAHU LAMONGAN")</f>
        <v>SIDOMUKTI RT 010 RW 003 KEMBANGBAHU LAMONGAN</v>
      </c>
      <c r="G100" s="38" t="str">
        <f>IFERROR(__xludf.DUMMYFUNCTION("""COMPUTED_VALUE"""),"MA-XI.5")</f>
        <v>MA-XI.5</v>
      </c>
      <c r="H100" s="36" t="str">
        <f>IFERROR(__xludf.DUMMYFUNCTION("""COMPUTED_VALUE"""),"A")</f>
        <v>A</v>
      </c>
      <c r="I100" s="40" t="str">
        <f>IFERROR(__xludf.DUMMYFUNCTION("""COMPUTED_VALUE"""),"A-4")</f>
        <v>A-4</v>
      </c>
      <c r="J100" s="40">
        <f>IFERROR(__xludf.DUMMYFUNCTION("""COMPUTED_VALUE"""),2.0)</f>
        <v>2</v>
      </c>
      <c r="K100" s="40" t="str">
        <f>IFERROR(__xludf.DUMMYFUNCTION("""COMPUTED_VALUE"""),"2 WUSTHO B PUTRA")</f>
        <v>2 WUSTHO B PUTRA</v>
      </c>
      <c r="L100" s="41" t="str">
        <f>IFERROR(__xludf.DUMMYFUNCTION("""COMPUTED_VALUE"""),"6285730837888")</f>
        <v>6285730837888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3">
        <f>IFERROR(__xludf.DUMMYFUNCTION("""COMPUTED_VALUE"""),500000.0)</f>
        <v>500000</v>
      </c>
      <c r="AC100" s="42"/>
      <c r="AD100" s="43"/>
      <c r="AE100" s="43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3">
        <f>IFERROR(__xludf.DUMMYFUNCTION("""COMPUTED_VALUE"""),500000.0)</f>
        <v>500000</v>
      </c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IFERROR(__xludf.DUMMYFUNCTION("""COMPUTED_VALUE"""),1000000.0)</f>
        <v>1000000</v>
      </c>
      <c r="BE100" s="43">
        <f>IFERROR(__xludf.DUMMYFUNCTION("""COMPUTED_VALUE"""),0.0)</f>
        <v>0</v>
      </c>
      <c r="BF100" s="44">
        <f>IFERROR(__xludf.DUMMYFUNCTION("""COMPUTED_VALUE"""),1000000.0)</f>
        <v>1000000</v>
      </c>
      <c r="BG100" s="42"/>
      <c r="BH100" s="42"/>
      <c r="BI100" s="42"/>
      <c r="BJ100" s="45"/>
      <c r="BK100" s="45"/>
      <c r="BL100" s="45"/>
      <c r="BM100" s="45"/>
      <c r="BN100" s="45"/>
      <c r="BO100" s="46"/>
    </row>
    <row r="101">
      <c r="A101" s="47">
        <f>IFERROR(__xludf.DUMMYFUNCTION("""COMPUTED_VALUE"""),100.0)</f>
        <v>100</v>
      </c>
      <c r="B101" s="48" t="str">
        <f>IFERROR(__xludf.DUMMYFUNCTION("""COMPUTED_VALUE"""),"SHOKHIBUL MUQSIT RAMADANI")</f>
        <v>SHOKHIBUL MUQSIT RAMADANI</v>
      </c>
      <c r="C101" s="49">
        <f>IFERROR(__xludf.DUMMYFUNCTION("""COMPUTED_VALUE"""),2.025070489E9)</f>
        <v>2025070489</v>
      </c>
      <c r="D101" s="48" t="str">
        <f>IFERROR(__xludf.DUMMYFUNCTION("""COMPUTED_VALUE"""),"MARTONO")</f>
        <v>MARTONO</v>
      </c>
      <c r="E101" s="48" t="str">
        <f>IFERROR(__xludf.DUMMYFUNCTION("""COMPUTED_VALUE"""),"SITI KALIMAH")</f>
        <v>SITI KALIMAH</v>
      </c>
      <c r="F101" s="48" t="str">
        <f>IFERROR(__xludf.DUMMYFUNCTION("""COMPUTED_VALUE"""),"NGANGKRIK BALUN RT 003 RW 004 TURI LAMONGAN")</f>
        <v>NGANGKRIK BALUN RT 003 RW 004 TURI LAMONGAN</v>
      </c>
      <c r="G101" s="49" t="str">
        <f>IFERROR(__xludf.DUMMYFUNCTION("""COMPUTED_VALUE"""),"SMP-VIII A")</f>
        <v>SMP-VIII A</v>
      </c>
      <c r="H101" s="47" t="str">
        <f>IFERROR(__xludf.DUMMYFUNCTION("""COMPUTED_VALUE"""),"A")</f>
        <v>A</v>
      </c>
      <c r="I101" s="51" t="str">
        <f>IFERROR(__xludf.DUMMYFUNCTION("""COMPUTED_VALUE"""),"A-1")</f>
        <v>A-1</v>
      </c>
      <c r="J101" s="51">
        <f>IFERROR(__xludf.DUMMYFUNCTION("""COMPUTED_VALUE"""),2.0)</f>
        <v>2</v>
      </c>
      <c r="K101" s="51" t="str">
        <f>IFERROR(__xludf.DUMMYFUNCTION("""COMPUTED_VALUE"""),"2 ULA B PUTRA")</f>
        <v>2 ULA B PUTRA</v>
      </c>
      <c r="L101" s="52" t="str">
        <f>IFERROR(__xludf.DUMMYFUNCTION("""COMPUTED_VALUE"""),"6285655881598")</f>
        <v>6285655881598</v>
      </c>
      <c r="M101" s="53">
        <f>IFERROR(__xludf.DUMMYFUNCTION("""COMPUTED_VALUE"""),600000.0)</f>
        <v>600000</v>
      </c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4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IFERROR(__xludf.DUMMYFUNCTION("""COMPUTED_VALUE"""),600000.0)</f>
        <v>600000</v>
      </c>
      <c r="BE101" s="54">
        <f>IFERROR(__xludf.DUMMYFUNCTION("""COMPUTED_VALUE"""),0.0)</f>
        <v>0</v>
      </c>
      <c r="BF101" s="55">
        <f>IFERROR(__xludf.DUMMYFUNCTION("""COMPUTED_VALUE"""),600000.0)</f>
        <v>600000</v>
      </c>
      <c r="BG101" s="53"/>
      <c r="BH101" s="53"/>
      <c r="BI101" s="53"/>
      <c r="BJ101" s="45"/>
      <c r="BK101" s="45"/>
      <c r="BL101" s="45"/>
      <c r="BM101" s="45"/>
      <c r="BN101" s="45"/>
      <c r="BO101" s="46"/>
    </row>
    <row r="102">
      <c r="A102" s="36">
        <f>IFERROR(__xludf.DUMMYFUNCTION("""COMPUTED_VALUE"""),101.0)</f>
        <v>101</v>
      </c>
      <c r="B102" s="37" t="str">
        <f>IFERROR(__xludf.DUMMYFUNCTION("""COMPUTED_VALUE"""),"SYARIFUDIN ZUHRI JAELANI IRSYAD")</f>
        <v>SYARIFUDIN ZUHRI JAELANI IRSYAD</v>
      </c>
      <c r="C102" s="38">
        <f>IFERROR(__xludf.DUMMYFUNCTION("""COMPUTED_VALUE"""),2.025070403E9)</f>
        <v>2025070403</v>
      </c>
      <c r="D102" s="37" t="str">
        <f>IFERROR(__xludf.DUMMYFUNCTION("""COMPUTED_VALUE"""),"SAPII")</f>
        <v>SAPII</v>
      </c>
      <c r="E102" s="37" t="str">
        <f>IFERROR(__xludf.DUMMYFUNCTION("""COMPUTED_VALUE"""),"ILYA HASANAH")</f>
        <v>ILYA HASANAH</v>
      </c>
      <c r="F102" s="37" t="str">
        <f>IFERROR(__xludf.DUMMYFUNCTION("""COMPUTED_VALUE"""),"DJATI SUKOSONGO RT 003 RW 002 KEMBANGBAHU LAMONGAN")</f>
        <v>DJATI SUKOSONGO RT 003 RW 002 KEMBANGBAHU LAMONGAN</v>
      </c>
      <c r="G102" s="39" t="str">
        <f>IFERROR(__xludf.DUMMYFUNCTION("""COMPUTED_VALUE"""),"MA-XI.13")</f>
        <v>MA-XI.13</v>
      </c>
      <c r="H102" s="36" t="str">
        <f>IFERROR(__xludf.DUMMYFUNCTION("""COMPUTED_VALUE"""),"A")</f>
        <v>A</v>
      </c>
      <c r="I102" s="40" t="str">
        <f>IFERROR(__xludf.DUMMYFUNCTION("""COMPUTED_VALUE"""),"A-4")</f>
        <v>A-4</v>
      </c>
      <c r="J102" s="40">
        <f>IFERROR(__xludf.DUMMYFUNCTION("""COMPUTED_VALUE"""),2.0)</f>
        <v>2</v>
      </c>
      <c r="K102" s="40" t="str">
        <f>IFERROR(__xludf.DUMMYFUNCTION("""COMPUTED_VALUE"""),"2 MAK PUTRA")</f>
        <v>2 MAK PUTRA</v>
      </c>
      <c r="L102" s="41" t="str">
        <f>IFERROR(__xludf.DUMMYFUNCTION("""COMPUTED_VALUE"""),"6281331364804")</f>
        <v>6281331364804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>
        <f>IFERROR(__xludf.DUMMYFUNCTION("""COMPUTED_VALUE"""),500000.0)</f>
        <v>500000</v>
      </c>
      <c r="AC102" s="42"/>
      <c r="AD102" s="42"/>
      <c r="AE102" s="43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>
        <f>IFERROR(__xludf.DUMMYFUNCTION("""COMPUTED_VALUE"""),500000.0)</f>
        <v>500000</v>
      </c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IFERROR(__xludf.DUMMYFUNCTION("""COMPUTED_VALUE"""),0.0)</f>
        <v>0</v>
      </c>
      <c r="BD102" s="43">
        <f>IFERROR(__xludf.DUMMYFUNCTION("""COMPUTED_VALUE"""),1000000.0)</f>
        <v>1000000</v>
      </c>
      <c r="BE102" s="43">
        <f>IFERROR(__xludf.DUMMYFUNCTION("""COMPUTED_VALUE"""),0.0)</f>
        <v>0</v>
      </c>
      <c r="BF102" s="44">
        <f>IFERROR(__xludf.DUMMYFUNCTION("""COMPUTED_VALUE"""),1000000.0)</f>
        <v>1000000</v>
      </c>
      <c r="BG102" s="42"/>
      <c r="BH102" s="42"/>
      <c r="BI102" s="42"/>
      <c r="BJ102" s="45"/>
      <c r="BK102" s="45"/>
      <c r="BL102" s="45"/>
      <c r="BM102" s="45"/>
      <c r="BN102" s="45"/>
      <c r="BO102" s="46"/>
    </row>
    <row r="103">
      <c r="A103" s="47">
        <f>IFERROR(__xludf.DUMMYFUNCTION("""COMPUTED_VALUE"""),102.0)</f>
        <v>102</v>
      </c>
      <c r="B103" s="48" t="str">
        <f>IFERROR(__xludf.DUMMYFUNCTION("""COMPUTED_VALUE"""),"SYHARIL FIRMAN MAULANA IRLANGGAH")</f>
        <v>SYHARIL FIRMAN MAULANA IRLANGGAH</v>
      </c>
      <c r="C103" s="49">
        <f>IFERROR(__xludf.DUMMYFUNCTION("""COMPUTED_VALUE"""),2.025070396E9)</f>
        <v>2025070396</v>
      </c>
      <c r="D103" s="48" t="str">
        <f>IFERROR(__xludf.DUMMYFUNCTION("""COMPUTED_VALUE"""),"JAMIL")</f>
        <v>JAMIL</v>
      </c>
      <c r="E103" s="48" t="str">
        <f>IFERROR(__xludf.DUMMYFUNCTION("""COMPUTED_VALUE"""),"NINGSIH")</f>
        <v>NINGSIH</v>
      </c>
      <c r="F103" s="48" t="str">
        <f>IFERROR(__xludf.DUMMYFUNCTION("""COMPUTED_VALUE"""),"TAMAN PRIJEG TAMAN PRIJEK RT 006 RW 002 LAREN LAMONGAN")</f>
        <v>TAMAN PRIJEG TAMAN PRIJEK RT 006 RW 002 LAREN LAMONGAN</v>
      </c>
      <c r="G103" s="49" t="str">
        <f>IFERROR(__xludf.DUMMYFUNCTION("""COMPUTED_VALUE"""),"MA-XI.8")</f>
        <v>MA-XI.8</v>
      </c>
      <c r="H103" s="47" t="str">
        <f>IFERROR(__xludf.DUMMYFUNCTION("""COMPUTED_VALUE"""),"A")</f>
        <v>A</v>
      </c>
      <c r="I103" s="51" t="str">
        <f>IFERROR(__xludf.DUMMYFUNCTION("""COMPUTED_VALUE"""),"A-4")</f>
        <v>A-4</v>
      </c>
      <c r="J103" s="51">
        <f>IFERROR(__xludf.DUMMYFUNCTION("""COMPUTED_VALUE"""),2.0)</f>
        <v>2</v>
      </c>
      <c r="K103" s="51" t="str">
        <f>IFERROR(__xludf.DUMMYFUNCTION("""COMPUTED_VALUE"""),"2 WUSTHO B PUTRA")</f>
        <v>2 WUSTHO B PUTRA</v>
      </c>
      <c r="L103" s="52" t="str">
        <f>IFERROR(__xludf.DUMMYFUNCTION("""COMPUTED_VALUE"""),"6285846482646")</f>
        <v>6285846482646</v>
      </c>
      <c r="M103" s="53">
        <f>IFERROR(__xludf.DUMMYFUNCTION("""COMPUTED_VALUE"""),600000.0)</f>
        <v>600000</v>
      </c>
      <c r="N103" s="53"/>
      <c r="O103" s="53"/>
      <c r="P103" s="53"/>
      <c r="Q103" s="53"/>
      <c r="R103" s="53">
        <f>IFERROR(__xludf.DUMMYFUNCTION("""COMPUTED_VALUE"""),450000.0)</f>
        <v>450000</v>
      </c>
      <c r="S103" s="53">
        <f>IFERROR(__xludf.DUMMYFUNCTION("""COMPUTED_VALUE"""),450000.0)</f>
        <v>450000</v>
      </c>
      <c r="T103" s="53">
        <f>IFERROR(__xludf.DUMMYFUNCTION("""COMPUTED_VALUE"""),450000.0)</f>
        <v>450000</v>
      </c>
      <c r="U103" s="53">
        <f>IFERROR(__xludf.DUMMYFUNCTION("""COMPUTED_VALUE"""),450000.0)</f>
        <v>450000</v>
      </c>
      <c r="V103" s="53">
        <f>IFERROR(__xludf.DUMMYFUNCTION("""COMPUTED_VALUE"""),450000.0)</f>
        <v>450000</v>
      </c>
      <c r="W103" s="53">
        <f>IFERROR(__xludf.DUMMYFUNCTION("""COMPUTED_VALUE"""),450000.0)</f>
        <v>450000</v>
      </c>
      <c r="X103" s="53">
        <f>IFERROR(__xludf.DUMMYFUNCTION("""COMPUTED_VALUE"""),450000.0)</f>
        <v>450000</v>
      </c>
      <c r="Y103" s="53">
        <f>IFERROR(__xludf.DUMMYFUNCTION("""COMPUTED_VALUE"""),450000.0)</f>
        <v>450000</v>
      </c>
      <c r="Z103" s="53">
        <f>IFERROR(__xludf.DUMMYFUNCTION("""COMPUTED_VALUE"""),450000.0)</f>
        <v>450000</v>
      </c>
      <c r="AA103" s="53"/>
      <c r="AB103" s="53">
        <f>IFERROR(__xludf.DUMMYFUNCTION("""COMPUTED_VALUE"""),500000.0)</f>
        <v>500000</v>
      </c>
      <c r="AC103" s="53"/>
      <c r="AD103" s="54"/>
      <c r="AE103" s="54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>
        <f>IFERROR(__xludf.DUMMYFUNCTION("""COMPUTED_VALUE"""),500000.0)</f>
        <v>500000</v>
      </c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IFERROR(__xludf.DUMMYFUNCTION("""COMPUTED_VALUE"""),4050000.0)</f>
        <v>4050000</v>
      </c>
      <c r="BD103" s="54">
        <f>IFERROR(__xludf.DUMMYFUNCTION("""COMPUTED_VALUE"""),1600000.0)</f>
        <v>1600000</v>
      </c>
      <c r="BE103" s="54">
        <f>IFERROR(__xludf.DUMMYFUNCTION("""COMPUTED_VALUE"""),0.0)</f>
        <v>0</v>
      </c>
      <c r="BF103" s="55">
        <f>IFERROR(__xludf.DUMMYFUNCTION("""COMPUTED_VALUE"""),5650000.0)</f>
        <v>5650000</v>
      </c>
      <c r="BG103" s="53"/>
      <c r="BH103" s="53"/>
      <c r="BI103" s="53"/>
      <c r="BJ103" s="45"/>
      <c r="BK103" s="45"/>
      <c r="BL103" s="45"/>
      <c r="BM103" s="45"/>
      <c r="BN103" s="45"/>
      <c r="BO103" s="46"/>
    </row>
    <row r="104">
      <c r="A104" s="36">
        <f>IFERROR(__xludf.DUMMYFUNCTION("""COMPUTED_VALUE"""),103.0)</f>
        <v>103</v>
      </c>
      <c r="B104" s="37" t="str">
        <f>IFERROR(__xludf.DUMMYFUNCTION("""COMPUTED_VALUE"""),"THAMIL ARIF IBRAHIM")</f>
        <v>THAMIL ARIF IBRAHIM</v>
      </c>
      <c r="C104" s="38">
        <f>IFERROR(__xludf.DUMMYFUNCTION("""COMPUTED_VALUE"""),2.025070501E9)</f>
        <v>2025070501</v>
      </c>
      <c r="D104" s="37" t="str">
        <f>IFERROR(__xludf.DUMMYFUNCTION("""COMPUTED_VALUE"""),"SUKIMAN")</f>
        <v>SUKIMAN</v>
      </c>
      <c r="E104" s="37" t="str">
        <f>IFERROR(__xludf.DUMMYFUNCTION("""COMPUTED_VALUE"""),"SAROFAH")</f>
        <v>SAROFAH</v>
      </c>
      <c r="F104" s="37" t="str">
        <f>IFERROR(__xludf.DUMMYFUNCTION("""COMPUTED_VALUE"""),"SOKO RT 001 RW 001 TIKUNG LAMONGAN")</f>
        <v>SOKO RT 001 RW 001 TIKUNG LAMONGAN</v>
      </c>
      <c r="G104" s="39" t="str">
        <f>IFERROR(__xludf.DUMMYFUNCTION("""COMPUTED_VALUE"""),"MTS-8 C")</f>
        <v>MTS-8 C</v>
      </c>
      <c r="H104" s="36" t="str">
        <f>IFERROR(__xludf.DUMMYFUNCTION("""COMPUTED_VALUE"""),"A")</f>
        <v>A</v>
      </c>
      <c r="I104" s="40" t="str">
        <f>IFERROR(__xludf.DUMMYFUNCTION("""COMPUTED_VALUE"""),"A-1")</f>
        <v>A-1</v>
      </c>
      <c r="J104" s="40">
        <f>IFERROR(__xludf.DUMMYFUNCTION("""COMPUTED_VALUE"""),2.0)</f>
        <v>2</v>
      </c>
      <c r="K104" s="40" t="str">
        <f>IFERROR(__xludf.DUMMYFUNCTION("""COMPUTED_VALUE"""),"2 ULA B PUTRA")</f>
        <v>2 ULA B PUTRA</v>
      </c>
      <c r="L104" s="41" t="str">
        <f>IFERROR(__xludf.DUMMYFUNCTION("""COMPUTED_VALUE"""),"6282132399800")</f>
        <v>6282132399800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3"/>
      <c r="Z104" s="43"/>
      <c r="AA104" s="43"/>
      <c r="AB104" s="42">
        <f>IFERROR(__xludf.DUMMYFUNCTION("""COMPUTED_VALUE"""),500000.0)</f>
        <v>500000</v>
      </c>
      <c r="AC104" s="43"/>
      <c r="AD104" s="43"/>
      <c r="AE104" s="43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>
        <f>IFERROR(__xludf.DUMMYFUNCTION("""COMPUTED_VALUE"""),500000.0)</f>
        <v>500000</v>
      </c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IFERROR(__xludf.DUMMYFUNCTION("""COMPUTED_VALUE"""),0.0)</f>
        <v>0</v>
      </c>
      <c r="BD104" s="43">
        <f>IFERROR(__xludf.DUMMYFUNCTION("""COMPUTED_VALUE"""),1000000.0)</f>
        <v>1000000</v>
      </c>
      <c r="BE104" s="43">
        <f>IFERROR(__xludf.DUMMYFUNCTION("""COMPUTED_VALUE"""),0.0)</f>
        <v>0</v>
      </c>
      <c r="BF104" s="44">
        <f>IFERROR(__xludf.DUMMYFUNCTION("""COMPUTED_VALUE"""),1000000.0)</f>
        <v>1000000</v>
      </c>
      <c r="BG104" s="42"/>
      <c r="BH104" s="42"/>
      <c r="BI104" s="42"/>
      <c r="BJ104" s="45"/>
      <c r="BK104" s="45"/>
      <c r="BL104" s="45"/>
      <c r="BM104" s="45"/>
      <c r="BN104" s="45"/>
      <c r="BO104" s="46"/>
    </row>
    <row r="105">
      <c r="A105" s="47">
        <f>IFERROR(__xludf.DUMMYFUNCTION("""COMPUTED_VALUE"""),104.0)</f>
        <v>104</v>
      </c>
      <c r="B105" s="48" t="str">
        <f>IFERROR(__xludf.DUMMYFUNCTION("""COMPUTED_VALUE"""),"VANNY ZUDHA PRATAMA")</f>
        <v>VANNY ZUDHA PRATAMA</v>
      </c>
      <c r="C105" s="49">
        <f>IFERROR(__xludf.DUMMYFUNCTION("""COMPUTED_VALUE"""),2.025070351E9)</f>
        <v>2025070351</v>
      </c>
      <c r="D105" s="48" t="str">
        <f>IFERROR(__xludf.DUMMYFUNCTION("""COMPUTED_VALUE"""),"MOCH ERVAN SUKIMAN")</f>
        <v>MOCH ERVAN SUKIMAN</v>
      </c>
      <c r="E105" s="48" t="str">
        <f>IFERROR(__xludf.DUMMYFUNCTION("""COMPUTED_VALUE"""),"QURROTUN AINIYAH")</f>
        <v>QURROTUN AINIYAH</v>
      </c>
      <c r="F105" s="48" t="str">
        <f>IFERROR(__xludf.DUMMYFUNCTION("""COMPUTED_VALUE"""),"BANJARMADU RT 001 RW 007 KARANGGENENG LAMONGAN")</f>
        <v>BANJARMADU RT 001 RW 007 KARANGGENENG LAMONGAN</v>
      </c>
      <c r="G105" s="50" t="str">
        <f>IFERROR(__xludf.DUMMYFUNCTION("""COMPUTED_VALUE"""),"MA-XI.13")</f>
        <v>MA-XI.13</v>
      </c>
      <c r="H105" s="47" t="str">
        <f>IFERROR(__xludf.DUMMYFUNCTION("""COMPUTED_VALUE"""),"A")</f>
        <v>A</v>
      </c>
      <c r="I105" s="53" t="str">
        <f>IFERROR(__xludf.DUMMYFUNCTION("""COMPUTED_VALUE"""),"A-2")</f>
        <v>A-2</v>
      </c>
      <c r="J105" s="51">
        <f>IFERROR(__xludf.DUMMYFUNCTION("""COMPUTED_VALUE"""),2.0)</f>
        <v>2</v>
      </c>
      <c r="K105" s="51" t="str">
        <f>IFERROR(__xludf.DUMMYFUNCTION("""COMPUTED_VALUE"""),"2 MAK PUTRA")</f>
        <v>2 MAK PUTRA</v>
      </c>
      <c r="L105" s="52" t="str">
        <f>IFERROR(__xludf.DUMMYFUNCTION("""COMPUTED_VALUE"""),"6283893321061")</f>
        <v>6283893321061</v>
      </c>
      <c r="M105" s="53">
        <f>IFERROR(__xludf.DUMMYFUNCTION("""COMPUTED_VALUE"""),600000.0)</f>
        <v>600000</v>
      </c>
      <c r="N105" s="53">
        <f>IFERROR(__xludf.DUMMYFUNCTION("""COMPUTED_VALUE"""),200000.0)</f>
        <v>200000</v>
      </c>
      <c r="O105" s="53"/>
      <c r="P105" s="53"/>
      <c r="Q105" s="53"/>
      <c r="R105" s="53"/>
      <c r="S105" s="53"/>
      <c r="T105" s="53"/>
      <c r="U105" s="53"/>
      <c r="V105" s="53"/>
      <c r="W105" s="54"/>
      <c r="X105" s="54"/>
      <c r="Y105" s="54"/>
      <c r="Z105" s="54"/>
      <c r="AA105" s="54"/>
      <c r="AB105" s="54">
        <f>IFERROR(__xludf.DUMMYFUNCTION("""COMPUTED_VALUE"""),500000.0)</f>
        <v>500000</v>
      </c>
      <c r="AC105" s="54"/>
      <c r="AD105" s="54"/>
      <c r="AE105" s="54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4">
        <f>IFERROR(__xludf.DUMMYFUNCTION("""COMPUTED_VALUE"""),500000.0)</f>
        <v>500000</v>
      </c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IFERROR(__xludf.DUMMYFUNCTION("""COMPUTED_VALUE"""),0.0)</f>
        <v>0</v>
      </c>
      <c r="BD105" s="54">
        <f>IFERROR(__xludf.DUMMYFUNCTION("""COMPUTED_VALUE"""),1600000.0)</f>
        <v>1600000</v>
      </c>
      <c r="BE105" s="54">
        <f>IFERROR(__xludf.DUMMYFUNCTION("""COMPUTED_VALUE"""),0.0)</f>
        <v>0</v>
      </c>
      <c r="BF105" s="55">
        <f>IFERROR(__xludf.DUMMYFUNCTION("""COMPUTED_VALUE"""),1600000.0)</f>
        <v>1600000</v>
      </c>
      <c r="BG105" s="53"/>
      <c r="BH105" s="53"/>
      <c r="BI105" s="53"/>
      <c r="BJ105" s="45"/>
      <c r="BK105" s="45"/>
      <c r="BL105" s="45"/>
      <c r="BM105" s="45"/>
      <c r="BN105" s="45"/>
      <c r="BO105" s="46"/>
    </row>
    <row r="106">
      <c r="A106" s="36">
        <f>IFERROR(__xludf.DUMMYFUNCTION("""COMPUTED_VALUE"""),105.0)</f>
        <v>105</v>
      </c>
      <c r="B106" s="37" t="str">
        <f>IFERROR(__xludf.DUMMYFUNCTION("""COMPUTED_VALUE"""),"YOGA PUTRA PRATAMA")</f>
        <v>YOGA PUTRA PRATAMA</v>
      </c>
      <c r="C106" s="38">
        <f>IFERROR(__xludf.DUMMYFUNCTION("""COMPUTED_VALUE"""),2.025070462E9)</f>
        <v>2025070462</v>
      </c>
      <c r="D106" s="37" t="str">
        <f>IFERROR(__xludf.DUMMYFUNCTION("""COMPUTED_VALUE"""),"ABDUL WAHID")</f>
        <v>ABDUL WAHID</v>
      </c>
      <c r="E106" s="37" t="str">
        <f>IFERROR(__xludf.DUMMYFUNCTION("""COMPUTED_VALUE"""),"NUZIFATIN")</f>
        <v>NUZIFATIN</v>
      </c>
      <c r="F106" s="37" t="str">
        <f>IFERROR(__xludf.DUMMYFUNCTION("""COMPUTED_VALUE"""),"MOJOPETUNG RT 004 RW 002 DUKUN GRESIK")</f>
        <v>MOJOPETUNG RT 004 RW 002 DUKUN GRESIK</v>
      </c>
      <c r="G106" s="39" t="str">
        <f>IFERROR(__xludf.DUMMYFUNCTION("""COMPUTED_VALUE"""),"SMK-XI TSM")</f>
        <v>SMK-XI TSM</v>
      </c>
      <c r="H106" s="36" t="str">
        <f>IFERROR(__xludf.DUMMYFUNCTION("""COMPUTED_VALUE"""),"A")</f>
        <v>A</v>
      </c>
      <c r="I106" s="40" t="str">
        <f>IFERROR(__xludf.DUMMYFUNCTION("""COMPUTED_VALUE"""),"A-4")</f>
        <v>A-4</v>
      </c>
      <c r="J106" s="40">
        <f>IFERROR(__xludf.DUMMYFUNCTION("""COMPUTED_VALUE"""),2.0)</f>
        <v>2</v>
      </c>
      <c r="K106" s="40" t="str">
        <f>IFERROR(__xludf.DUMMYFUNCTION("""COMPUTED_VALUE"""),"2 WUSTHO B PUTRA")</f>
        <v>2 WUSTHO B PUTRA</v>
      </c>
      <c r="L106" s="41" t="str">
        <f>IFERROR(__xludf.DUMMYFUNCTION("""COMPUTED_VALUE"""),"6285604385253")</f>
        <v>6285604385253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3"/>
      <c r="X106" s="43"/>
      <c r="Y106" s="43"/>
      <c r="Z106" s="43"/>
      <c r="AA106" s="43"/>
      <c r="AB106" s="43"/>
      <c r="AC106" s="43"/>
      <c r="AD106" s="43"/>
      <c r="AE106" s="43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42"/>
      <c r="BH106" s="42"/>
      <c r="BI106" s="42"/>
      <c r="BJ106" s="45"/>
      <c r="BK106" s="45"/>
      <c r="BL106" s="45"/>
      <c r="BM106" s="45"/>
      <c r="BN106" s="45"/>
      <c r="BO106" s="46"/>
    </row>
    <row r="107">
      <c r="A107" s="47">
        <f>IFERROR(__xludf.DUMMYFUNCTION("""COMPUTED_VALUE"""),106.0)</f>
        <v>106</v>
      </c>
      <c r="B107" s="48" t="str">
        <f>IFERROR(__xludf.DUMMYFUNCTION("""COMPUTED_VALUE"""),"ALDA RISMAYANTI")</f>
        <v>ALDA RISMAYANTI</v>
      </c>
      <c r="C107" s="49">
        <f>IFERROR(__xludf.DUMMYFUNCTION("""COMPUTED_VALUE"""),2.025070378E9)</f>
        <v>2025070378</v>
      </c>
      <c r="D107" s="48" t="str">
        <f>IFERROR(__xludf.DUMMYFUNCTION("""COMPUTED_VALUE"""),"DIDIK PRAMONO")</f>
        <v>DIDIK PRAMONO</v>
      </c>
      <c r="E107" s="48" t="str">
        <f>IFERROR(__xludf.DUMMYFUNCTION("""COMPUTED_VALUE"""),"UMALIYAH")</f>
        <v>UMALIYAH</v>
      </c>
      <c r="F107" s="48" t="str">
        <f>IFERROR(__xludf.DUMMYFUNCTION("""COMPUTED_VALUE"""),"TENGGULUN RT 001 RW 001 SOLOKURO LAMONGAN")</f>
        <v>TENGGULUN RT 001 RW 001 SOLOKURO LAMONGAN</v>
      </c>
      <c r="G107" s="50" t="str">
        <f>IFERROR(__xludf.DUMMYFUNCTION("""COMPUTED_VALUE"""),"MA-XI.3")</f>
        <v>MA-XI.3</v>
      </c>
      <c r="H107" s="47" t="str">
        <f>IFERROR(__xludf.DUMMYFUNCTION("""COMPUTED_VALUE"""),"B")</f>
        <v>B</v>
      </c>
      <c r="I107" s="51" t="str">
        <f>IFERROR(__xludf.DUMMYFUNCTION("""COMPUTED_VALUE"""),"B-1")</f>
        <v>B-1</v>
      </c>
      <c r="J107" s="51">
        <f>IFERROR(__xludf.DUMMYFUNCTION("""COMPUTED_VALUE"""),2.0)</f>
        <v>2</v>
      </c>
      <c r="K107" s="51" t="str">
        <f>IFERROR(__xludf.DUMMYFUNCTION("""COMPUTED_VALUE"""),"2 WUSTHO C PUTRI")</f>
        <v>2 WUSTHO C PUTRI</v>
      </c>
      <c r="L107" s="52" t="str">
        <f>IFERROR(__xludf.DUMMYFUNCTION("""COMPUTED_VALUE"""),"6285746669052")</f>
        <v>6285746669052</v>
      </c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4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IFERROR(__xludf.DUMMYFUNCTION("""COMPUTED_VALUE"""),0.0)</f>
        <v>0</v>
      </c>
      <c r="BD107" s="54">
        <f>IFERROR(__xludf.DUMMYFUNCTION("""COMPUTED_VALUE"""),0.0)</f>
        <v>0</v>
      </c>
      <c r="BE107" s="54">
        <f>IFERROR(__xludf.DUMMYFUNCTION("""COMPUTED_VALUE"""),0.0)</f>
        <v>0</v>
      </c>
      <c r="BF107" s="55">
        <f>IFERROR(__xludf.DUMMYFUNCTION("""COMPUTED_VALUE"""),0.0)</f>
        <v>0</v>
      </c>
      <c r="BG107" s="53"/>
      <c r="BH107" s="53"/>
      <c r="BI107" s="53"/>
      <c r="BJ107" s="45"/>
      <c r="BK107" s="45"/>
      <c r="BL107" s="45"/>
      <c r="BM107" s="45"/>
      <c r="BN107" s="45"/>
      <c r="BO107" s="46"/>
    </row>
    <row r="108">
      <c r="A108" s="36">
        <f>IFERROR(__xludf.DUMMYFUNCTION("""COMPUTED_VALUE"""),107.0)</f>
        <v>107</v>
      </c>
      <c r="B108" s="37" t="str">
        <f>IFERROR(__xludf.DUMMYFUNCTION("""COMPUTED_VALUE"""),"ALFIRA NURUS SA`ADAH")</f>
        <v>ALFIRA NURUS SA`ADAH</v>
      </c>
      <c r="C108" s="38">
        <f>IFERROR(__xludf.DUMMYFUNCTION("""COMPUTED_VALUE"""),2.025070483E9)</f>
        <v>2025070483</v>
      </c>
      <c r="D108" s="37" t="str">
        <f>IFERROR(__xludf.DUMMYFUNCTION("""COMPUTED_VALUE"""),"KHUDHORI")</f>
        <v>KHUDHORI</v>
      </c>
      <c r="E108" s="37" t="str">
        <f>IFERROR(__xludf.DUMMYFUNCTION("""COMPUTED_VALUE"""),"SRI AGENG ARICH PRATIWI")</f>
        <v>SRI AGENG ARICH PRATIWI</v>
      </c>
      <c r="F108" s="37" t="str">
        <f>IFERROR(__xludf.DUMMYFUNCTION("""COMPUTED_VALUE"""),"TIWET RT 002 RW 002 KALITENGAH LAMONGAN")</f>
        <v>TIWET RT 002 RW 002 KALITENGAH LAMONGAN</v>
      </c>
      <c r="G108" s="39" t="str">
        <f>IFERROR(__xludf.DUMMYFUNCTION("""COMPUTED_VALUE"""),"SMP-VIII B")</f>
        <v>SMP-VIII B</v>
      </c>
      <c r="H108" s="36" t="str">
        <f>IFERROR(__xludf.DUMMYFUNCTION("""COMPUTED_VALUE"""),"B")</f>
        <v>B</v>
      </c>
      <c r="I108" s="42" t="str">
        <f>IFERROR(__xludf.DUMMYFUNCTION("""COMPUTED_VALUE"""),"B-10")</f>
        <v>B-10</v>
      </c>
      <c r="J108" s="40">
        <f>IFERROR(__xludf.DUMMYFUNCTION("""COMPUTED_VALUE"""),2.0)</f>
        <v>2</v>
      </c>
      <c r="K108" s="40" t="str">
        <f>IFERROR(__xludf.DUMMYFUNCTION("""COMPUTED_VALUE"""),"2 ULA A PUTRI")</f>
        <v>2 ULA A PUTRI</v>
      </c>
      <c r="L108" s="41" t="str">
        <f>IFERROR(__xludf.DUMMYFUNCTION("""COMPUTED_VALUE"""),"6285812495184")</f>
        <v>6285812495184</v>
      </c>
      <c r="M108" s="43"/>
      <c r="N108" s="42"/>
      <c r="O108" s="42"/>
      <c r="P108" s="42"/>
      <c r="Q108" s="42"/>
      <c r="R108" s="42"/>
      <c r="S108" s="42"/>
      <c r="T108" s="42"/>
      <c r="U108" s="43"/>
      <c r="V108" s="43"/>
      <c r="W108" s="43"/>
      <c r="X108" s="43"/>
      <c r="Y108" s="43"/>
      <c r="Z108" s="43"/>
      <c r="AA108" s="43"/>
      <c r="AB108" s="43">
        <f>IFERROR(__xludf.DUMMYFUNCTION("""COMPUTED_VALUE"""),500000.0)</f>
        <v>500000</v>
      </c>
      <c r="AC108" s="43"/>
      <c r="AD108" s="43"/>
      <c r="AE108" s="43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3">
        <f>IFERROR(__xludf.DUMMYFUNCTION("""COMPUTED_VALUE"""),500000.0)</f>
        <v>500000</v>
      </c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IFERROR(__xludf.DUMMYFUNCTION("""COMPUTED_VALUE"""),0.0)</f>
        <v>0</v>
      </c>
      <c r="BD108" s="43">
        <f>IFERROR(__xludf.DUMMYFUNCTION("""COMPUTED_VALUE"""),1000000.0)</f>
        <v>1000000</v>
      </c>
      <c r="BE108" s="43">
        <f>IFERROR(__xludf.DUMMYFUNCTION("""COMPUTED_VALUE"""),0.0)</f>
        <v>0</v>
      </c>
      <c r="BF108" s="44">
        <f>IFERROR(__xludf.DUMMYFUNCTION("""COMPUTED_VALUE"""),1000000.0)</f>
        <v>1000000</v>
      </c>
      <c r="BG108" s="42"/>
      <c r="BH108" s="42"/>
      <c r="BI108" s="42"/>
      <c r="BJ108" s="45"/>
      <c r="BK108" s="45"/>
      <c r="BL108" s="45"/>
      <c r="BM108" s="45"/>
      <c r="BN108" s="45"/>
      <c r="BO108" s="46"/>
    </row>
    <row r="109">
      <c r="A109" s="47">
        <f>IFERROR(__xludf.DUMMYFUNCTION("""COMPUTED_VALUE"""),108.0)</f>
        <v>108</v>
      </c>
      <c r="B109" s="48" t="str">
        <f>IFERROR(__xludf.DUMMYFUNCTION("""COMPUTED_VALUE"""),"ALIFAH MAISAROH")</f>
        <v>ALIFAH MAISAROH</v>
      </c>
      <c r="C109" s="49">
        <f>IFERROR(__xludf.DUMMYFUNCTION("""COMPUTED_VALUE"""),2.025070543E9)</f>
        <v>2025070543</v>
      </c>
      <c r="D109" s="48" t="str">
        <f>IFERROR(__xludf.DUMMYFUNCTION("""COMPUTED_VALUE"""),"CHOIRUL AMRI")</f>
        <v>CHOIRUL AMRI</v>
      </c>
      <c r="E109" s="48" t="str">
        <f>IFERROR(__xludf.DUMMYFUNCTION("""COMPUTED_VALUE"""),"INDRAWATI")</f>
        <v>INDRAWATI</v>
      </c>
      <c r="F109" s="48" t="str">
        <f>IFERROR(__xludf.DUMMYFUNCTION("""COMPUTED_VALUE"""),"KH. ABDUL GHONI KESAMBI RT 001 RW 003 PUCUK LAMONGAN")</f>
        <v>KH. ABDUL GHONI KESAMBI RT 001 RW 003 PUCUK LAMONGAN</v>
      </c>
      <c r="G109" s="50" t="str">
        <f>IFERROR(__xludf.DUMMYFUNCTION("""COMPUTED_VALUE"""),"MTS-8 F")</f>
        <v>MTS-8 F</v>
      </c>
      <c r="H109" s="47" t="str">
        <f>IFERROR(__xludf.DUMMYFUNCTION("""COMPUTED_VALUE"""),"B")</f>
        <v>B</v>
      </c>
      <c r="I109" s="51" t="str">
        <f>IFERROR(__xludf.DUMMYFUNCTION("""COMPUTED_VALUE"""),"B-2")</f>
        <v>B-2</v>
      </c>
      <c r="J109" s="51">
        <f>IFERROR(__xludf.DUMMYFUNCTION("""COMPUTED_VALUE"""),2.0)</f>
        <v>2</v>
      </c>
      <c r="K109" s="51" t="str">
        <f>IFERROR(__xludf.DUMMYFUNCTION("""COMPUTED_VALUE"""),"2 ULA C PUTRI")</f>
        <v>2 ULA C PUTRI</v>
      </c>
      <c r="L109" s="52" t="str">
        <f>IFERROR(__xludf.DUMMYFUNCTION("""COMPUTED_VALUE"""),"6285291411425")</f>
        <v>6285291411425</v>
      </c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>
        <f>IFERROR(__xludf.DUMMYFUNCTION("""COMPUTED_VALUE"""),500000.0)</f>
        <v>500000</v>
      </c>
      <c r="AC109" s="53"/>
      <c r="AD109" s="53"/>
      <c r="AE109" s="54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>
        <f>IFERROR(__xludf.DUMMYFUNCTION("""COMPUTED_VALUE"""),500000.0)</f>
        <v>500000</v>
      </c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IFERROR(__xludf.DUMMYFUNCTION("""COMPUTED_VALUE"""),1000000.0)</f>
        <v>1000000</v>
      </c>
      <c r="BE109" s="54">
        <f>IFERROR(__xludf.DUMMYFUNCTION("""COMPUTED_VALUE"""),0.0)</f>
        <v>0</v>
      </c>
      <c r="BF109" s="55">
        <f>IFERROR(__xludf.DUMMYFUNCTION("""COMPUTED_VALUE"""),1000000.0)</f>
        <v>1000000</v>
      </c>
      <c r="BG109" s="53"/>
      <c r="BH109" s="53"/>
      <c r="BI109" s="53"/>
      <c r="BJ109" s="45"/>
      <c r="BK109" s="45"/>
      <c r="BL109" s="45"/>
      <c r="BM109" s="45"/>
      <c r="BN109" s="45"/>
      <c r="BO109" s="46"/>
    </row>
    <row r="110">
      <c r="A110" s="36">
        <f>IFERROR(__xludf.DUMMYFUNCTION("""COMPUTED_VALUE"""),109.0)</f>
        <v>109</v>
      </c>
      <c r="B110" s="37" t="str">
        <f>IFERROR(__xludf.DUMMYFUNCTION("""COMPUTED_VALUE"""),"ALISIA RAHMA AMALIA")</f>
        <v>ALISIA RAHMA AMALIA</v>
      </c>
      <c r="C110" s="38">
        <f>IFERROR(__xludf.DUMMYFUNCTION("""COMPUTED_VALUE"""),2.025070662E9)</f>
        <v>2025070662</v>
      </c>
      <c r="D110" s="37" t="str">
        <f>IFERROR(__xludf.DUMMYFUNCTION("""COMPUTED_VALUE"""),"MUTHI'UR ROHMAN")</f>
        <v>MUTHI'UR ROHMAN</v>
      </c>
      <c r="E110" s="37" t="str">
        <f>IFERROR(__xludf.DUMMYFUNCTION("""COMPUTED_VALUE"""),"SITI HALIMAH SA'DIYAH")</f>
        <v>SITI HALIMAH SA'DIYAH</v>
      </c>
      <c r="F110" s="37" t="str">
        <f>IFERROR(__xludf.DUMMYFUNCTION("""COMPUTED_VALUE"""),"BANGERAN RT 001 RW 001 DUKUN GRESIK")</f>
        <v>BANGERAN RT 001 RW 001 DUKUN GRESIK</v>
      </c>
      <c r="G110" s="38" t="str">
        <f>IFERROR(__xludf.DUMMYFUNCTION("""COMPUTED_VALUE"""),"SMK-XI BD")</f>
        <v>SMK-XI BD</v>
      </c>
      <c r="H110" s="36" t="str">
        <f>IFERROR(__xludf.DUMMYFUNCTION("""COMPUTED_VALUE"""),"B")</f>
        <v>B</v>
      </c>
      <c r="I110" s="40" t="str">
        <f>IFERROR(__xludf.DUMMYFUNCTION("""COMPUTED_VALUE"""),"B-3")</f>
        <v>B-3</v>
      </c>
      <c r="J110" s="40">
        <f>IFERROR(__xludf.DUMMYFUNCTION("""COMPUTED_VALUE"""),2.0)</f>
        <v>2</v>
      </c>
      <c r="K110" s="40" t="str">
        <f>IFERROR(__xludf.DUMMYFUNCTION("""COMPUTED_VALUE"""),"2 WUSTHO B PUTRI")</f>
        <v>2 WUSTHO B PUTRI</v>
      </c>
      <c r="L110" s="41" t="str">
        <f>IFERROR(__xludf.DUMMYFUNCTION("""COMPUTED_VALUE"""),"6285732704697")</f>
        <v>6285732704697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3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IFERROR(__xludf.DUMMYFUNCTION("""COMPUTED_VALUE"""),0.0)</f>
        <v>0</v>
      </c>
      <c r="BE110" s="43">
        <f>IFERROR(__xludf.DUMMYFUNCTION("""COMPUTED_VALUE"""),0.0)</f>
        <v>0</v>
      </c>
      <c r="BF110" s="44">
        <f>IFERROR(__xludf.DUMMYFUNCTION("""COMPUTED_VALUE"""),0.0)</f>
        <v>0</v>
      </c>
      <c r="BG110" s="42"/>
      <c r="BH110" s="42"/>
      <c r="BI110" s="42"/>
      <c r="BJ110" s="45"/>
      <c r="BK110" s="45"/>
      <c r="BL110" s="45"/>
      <c r="BM110" s="45"/>
      <c r="BN110" s="45"/>
      <c r="BO110" s="46"/>
    </row>
    <row r="111">
      <c r="A111" s="47">
        <f>IFERROR(__xludf.DUMMYFUNCTION("""COMPUTED_VALUE"""),110.0)</f>
        <v>110</v>
      </c>
      <c r="B111" s="48" t="str">
        <f>IFERROR(__xludf.DUMMYFUNCTION("""COMPUTED_VALUE"""),"ALYA INDRA FARISAH")</f>
        <v>ALYA INDRA FARISAH</v>
      </c>
      <c r="C111" s="49">
        <f>IFERROR(__xludf.DUMMYFUNCTION("""COMPUTED_VALUE"""),2.025070488E9)</f>
        <v>2025070488</v>
      </c>
      <c r="D111" s="48" t="str">
        <f>IFERROR(__xludf.DUMMYFUNCTION("""COMPUTED_VALUE"""),"INDRA MURWANTO")</f>
        <v>INDRA MURWANTO</v>
      </c>
      <c r="E111" s="48" t="str">
        <f>IFERROR(__xludf.DUMMYFUNCTION("""COMPUTED_VALUE"""),"INDRAWATI")</f>
        <v>INDRAWATI</v>
      </c>
      <c r="F111" s="48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G111" s="50" t="str">
        <f>IFERROR(__xludf.DUMMYFUNCTION("""COMPUTED_VALUE"""),"SMP-VIII A")</f>
        <v>SMP-VIII A</v>
      </c>
      <c r="H111" s="47" t="str">
        <f>IFERROR(__xludf.DUMMYFUNCTION("""COMPUTED_VALUE"""),"B")</f>
        <v>B</v>
      </c>
      <c r="I111" s="53" t="str">
        <f>IFERROR(__xludf.DUMMYFUNCTION("""COMPUTED_VALUE"""),"B-3")</f>
        <v>B-3</v>
      </c>
      <c r="J111" s="51">
        <f>IFERROR(__xludf.DUMMYFUNCTION("""COMPUTED_VALUE"""),2.0)</f>
        <v>2</v>
      </c>
      <c r="K111" s="51" t="str">
        <f>IFERROR(__xludf.DUMMYFUNCTION("""COMPUTED_VALUE"""),"2 ULA C PUTRI")</f>
        <v>2 ULA C PUTRI</v>
      </c>
      <c r="L111" s="52" t="str">
        <f>IFERROR(__xludf.DUMMYFUNCTION("""COMPUTED_VALUE"""),"628158257433")</f>
        <v>628158257433</v>
      </c>
      <c r="M111" s="53"/>
      <c r="N111" s="53"/>
      <c r="O111" s="53"/>
      <c r="P111" s="53"/>
      <c r="Q111" s="53"/>
      <c r="R111" s="53"/>
      <c r="S111" s="53"/>
      <c r="T111" s="53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4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3"/>
      <c r="BH111" s="53"/>
      <c r="BI111" s="53"/>
      <c r="BJ111" s="45"/>
      <c r="BK111" s="45"/>
      <c r="BL111" s="45"/>
      <c r="BM111" s="45"/>
      <c r="BN111" s="45"/>
      <c r="BO111" s="46"/>
    </row>
    <row r="112">
      <c r="A112" s="36">
        <f>IFERROR(__xludf.DUMMYFUNCTION("""COMPUTED_VALUE"""),111.0)</f>
        <v>111</v>
      </c>
      <c r="B112" s="37" t="str">
        <f>IFERROR(__xludf.DUMMYFUNCTION("""COMPUTED_VALUE"""),"ANINDYA KALLISTA PUTRI")</f>
        <v>ANINDYA KALLISTA PUTRI</v>
      </c>
      <c r="C112" s="38">
        <f>IFERROR(__xludf.DUMMYFUNCTION("""COMPUTED_VALUE"""),2.025070542E9)</f>
        <v>2025070542</v>
      </c>
      <c r="D112" s="37" t="str">
        <f>IFERROR(__xludf.DUMMYFUNCTION("""COMPUTED_VALUE"""),"DARU AJAR PRASETYA")</f>
        <v>DARU AJAR PRASETYA</v>
      </c>
      <c r="E112" s="37" t="str">
        <f>IFERROR(__xludf.DUMMYFUNCTION("""COMPUTED_VALUE"""),"SITI MUAROFAH")</f>
        <v>SITI MUAROFAH</v>
      </c>
      <c r="F112" s="37" t="str">
        <f>IFERROR(__xludf.DUMMYFUNCTION("""COMPUTED_VALUE"""),"JL. JAKFAR KESAMBI RT 002 RW 002 PUCUK LAMONGAN")</f>
        <v>JL. JAKFAR KESAMBI RT 002 RW 002 PUCUK LAMONGAN</v>
      </c>
      <c r="G112" s="39" t="str">
        <f>IFERROR(__xludf.DUMMYFUNCTION("""COMPUTED_VALUE"""),"MTS-8 D")</f>
        <v>MTS-8 D</v>
      </c>
      <c r="H112" s="36" t="str">
        <f>IFERROR(__xludf.DUMMYFUNCTION("""COMPUTED_VALUE"""),"B")</f>
        <v>B</v>
      </c>
      <c r="I112" s="42" t="str">
        <f>IFERROR(__xludf.DUMMYFUNCTION("""COMPUTED_VALUE"""),"B-2")</f>
        <v>B-2</v>
      </c>
      <c r="J112" s="40">
        <f>IFERROR(__xludf.DUMMYFUNCTION("""COMPUTED_VALUE"""),2.0)</f>
        <v>2</v>
      </c>
      <c r="K112" s="40" t="str">
        <f>IFERROR(__xludf.DUMMYFUNCTION("""COMPUTED_VALUE"""),"2 ULA B PUTRI")</f>
        <v>2 ULA B PUTRI</v>
      </c>
      <c r="L112" s="41" t="str">
        <f>IFERROR(__xludf.DUMMYFUNCTION("""COMPUTED_VALUE"""),"6281331157200")</f>
        <v>6281331157200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 t="str">
        <f>IFERROR(__xludf.DUMMYFUNCTION("""COMPUTED_VALUE"""),"   ")</f>
        <v>   </v>
      </c>
      <c r="Y112" s="42">
        <f>IFERROR(__xludf.DUMMYFUNCTION("""COMPUTED_VALUE"""),450000.0)</f>
        <v>450000</v>
      </c>
      <c r="Z112" s="42">
        <f>IFERROR(__xludf.DUMMYFUNCTION("""COMPUTED_VALUE"""),450000.0)</f>
        <v>450000</v>
      </c>
      <c r="AA112" s="42"/>
      <c r="AB112" s="43">
        <f>IFERROR(__xludf.DUMMYFUNCTION("""COMPUTED_VALUE"""),500000.0)</f>
        <v>500000</v>
      </c>
      <c r="AC112" s="42"/>
      <c r="AD112" s="42"/>
      <c r="AE112" s="43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3">
        <f>IFERROR(__xludf.DUMMYFUNCTION("""COMPUTED_VALUE"""),500000.0)</f>
        <v>500000</v>
      </c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IFERROR(__xludf.DUMMYFUNCTION("""COMPUTED_VALUE"""),900000.0)</f>
        <v>900000</v>
      </c>
      <c r="BD112" s="43">
        <f>IFERROR(__xludf.DUMMYFUNCTION("""COMPUTED_VALUE"""),1000000.0)</f>
        <v>1000000</v>
      </c>
      <c r="BE112" s="43">
        <f>IFERROR(__xludf.DUMMYFUNCTION("""COMPUTED_VALUE"""),0.0)</f>
        <v>0</v>
      </c>
      <c r="BF112" s="44">
        <f>IFERROR(__xludf.DUMMYFUNCTION("""COMPUTED_VALUE"""),1900000.0)</f>
        <v>1900000</v>
      </c>
      <c r="BG112" s="42"/>
      <c r="BH112" s="42"/>
      <c r="BI112" s="42"/>
      <c r="BJ112" s="45"/>
      <c r="BK112" s="45"/>
      <c r="BL112" s="45"/>
      <c r="BM112" s="45"/>
      <c r="BN112" s="45"/>
      <c r="BO112" s="46"/>
    </row>
    <row r="113">
      <c r="A113" s="47">
        <f>IFERROR(__xludf.DUMMYFUNCTION("""COMPUTED_VALUE"""),112.0)</f>
        <v>112</v>
      </c>
      <c r="B113" s="48" t="str">
        <f>IFERROR(__xludf.DUMMYFUNCTION("""COMPUTED_VALUE"""),"ANINDYAH ISMI")</f>
        <v>ANINDYAH ISMI</v>
      </c>
      <c r="C113" s="49">
        <f>IFERROR(__xludf.DUMMYFUNCTION("""COMPUTED_VALUE"""),2.025070649E9)</f>
        <v>2025070649</v>
      </c>
      <c r="D113" s="48" t="str">
        <f>IFERROR(__xludf.DUMMYFUNCTION("""COMPUTED_VALUE"""),"MIFTAKHUL HUDA")</f>
        <v>MIFTAKHUL HUDA</v>
      </c>
      <c r="E113" s="48" t="str">
        <f>IFERROR(__xludf.DUMMYFUNCTION("""COMPUTED_VALUE"""),"EVI NUR HIDAYAH")</f>
        <v>EVI NUR HIDAYAH</v>
      </c>
      <c r="F113" s="48" t="str">
        <f>IFERROR(__xludf.DUMMYFUNCTION("""COMPUTED_VALUE"""),"WANAR RT 002 RW 002 PUCUK LAMONGAN")</f>
        <v>WANAR RT 002 RW 002 PUCUK LAMONGAN</v>
      </c>
      <c r="G113" s="50" t="str">
        <f>IFERROR(__xludf.DUMMYFUNCTION("""COMPUTED_VALUE"""),"MTS-8 E")</f>
        <v>MTS-8 E</v>
      </c>
      <c r="H113" s="47" t="str">
        <f>IFERROR(__xludf.DUMMYFUNCTION("""COMPUTED_VALUE"""),"B")</f>
        <v>B</v>
      </c>
      <c r="I113" s="53" t="str">
        <f>IFERROR(__xludf.DUMMYFUNCTION("""COMPUTED_VALUE"""),"B-2")</f>
        <v>B-2</v>
      </c>
      <c r="J113" s="51">
        <f>IFERROR(__xludf.DUMMYFUNCTION("""COMPUTED_VALUE"""),2.0)</f>
        <v>2</v>
      </c>
      <c r="K113" s="51" t="str">
        <f>IFERROR(__xludf.DUMMYFUNCTION("""COMPUTED_VALUE"""),"2 ULA C PUTRI")</f>
        <v>2 ULA C PUTRI</v>
      </c>
      <c r="L113" s="52" t="str">
        <f>IFERROR(__xludf.DUMMYFUNCTION("""COMPUTED_VALUE"""),"6281210337004")</f>
        <v>6281210337004</v>
      </c>
      <c r="M113" s="53"/>
      <c r="N113" s="53"/>
      <c r="O113" s="53"/>
      <c r="P113" s="53"/>
      <c r="Q113" s="53"/>
      <c r="R113" s="53"/>
      <c r="S113" s="53"/>
      <c r="T113" s="53"/>
      <c r="U113" s="53"/>
      <c r="V113" s="54"/>
      <c r="W113" s="54"/>
      <c r="X113" s="54"/>
      <c r="Y113" s="54">
        <f>IFERROR(__xludf.DUMMYFUNCTION("""COMPUTED_VALUE"""),450000.0)</f>
        <v>450000</v>
      </c>
      <c r="Z113" s="54">
        <f>IFERROR(__xludf.DUMMYFUNCTION("""COMPUTED_VALUE"""),450000.0)</f>
        <v>450000</v>
      </c>
      <c r="AA113" s="54"/>
      <c r="AB113" s="54">
        <f>IFERROR(__xludf.DUMMYFUNCTION("""COMPUTED_VALUE"""),500000.0)</f>
        <v>500000</v>
      </c>
      <c r="AC113" s="54"/>
      <c r="AD113" s="54"/>
      <c r="AE113" s="54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4">
        <f>IFERROR(__xludf.DUMMYFUNCTION("""COMPUTED_VALUE"""),500000.0)</f>
        <v>500000</v>
      </c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IFERROR(__xludf.DUMMYFUNCTION("""COMPUTED_VALUE"""),1000000.0)</f>
        <v>1000000</v>
      </c>
      <c r="BE113" s="54">
        <f>IFERROR(__xludf.DUMMYFUNCTION("""COMPUTED_VALUE"""),0.0)</f>
        <v>0</v>
      </c>
      <c r="BF113" s="55">
        <f>IFERROR(__xludf.DUMMYFUNCTION("""COMPUTED_VALUE"""),1900000.0)</f>
        <v>1900000</v>
      </c>
      <c r="BG113" s="53"/>
      <c r="BH113" s="53"/>
      <c r="BI113" s="53"/>
      <c r="BJ113" s="45"/>
      <c r="BK113" s="45"/>
      <c r="BL113" s="45"/>
      <c r="BM113" s="45"/>
      <c r="BN113" s="45"/>
      <c r="BO113" s="46"/>
    </row>
    <row r="114">
      <c r="A114" s="36">
        <f>IFERROR(__xludf.DUMMYFUNCTION("""COMPUTED_VALUE"""),113.0)</f>
        <v>113</v>
      </c>
      <c r="B114" s="37" t="str">
        <f>IFERROR(__xludf.DUMMYFUNCTION("""COMPUTED_VALUE"""),"ATIQO NAILATUL FAKHIROH")</f>
        <v>ATIQO NAILATUL FAKHIROH</v>
      </c>
      <c r="C114" s="38">
        <f>IFERROR(__xludf.DUMMYFUNCTION("""COMPUTED_VALUE"""),2.025070017E9)</f>
        <v>2025070017</v>
      </c>
      <c r="D114" s="37" t="str">
        <f>IFERROR(__xludf.DUMMYFUNCTION("""COMPUTED_VALUE"""),"MUJTABA")</f>
        <v>MUJTABA</v>
      </c>
      <c r="E114" s="37" t="str">
        <f>IFERROR(__xludf.DUMMYFUNCTION("""COMPUTED_VALUE"""),"MUYASAROH")</f>
        <v>MUYASAROH</v>
      </c>
      <c r="F114" s="37" t="str">
        <f>IFERROR(__xludf.DUMMYFUNCTION("""COMPUTED_VALUE"""),"BALONGPANGGANG RT 004 RW 002 BALONGPANGGANG GRESIK")</f>
        <v>BALONGPANGGANG RT 004 RW 002 BALONGPANGGANG GRESIK</v>
      </c>
      <c r="G114" s="38" t="str">
        <f>IFERROR(__xludf.DUMMYFUNCTION("""COMPUTED_VALUE"""),"MA-XI.2")</f>
        <v>MA-XI.2</v>
      </c>
      <c r="H114" s="36" t="str">
        <f>IFERROR(__xludf.DUMMYFUNCTION("""COMPUTED_VALUE"""),"B")</f>
        <v>B</v>
      </c>
      <c r="I114" s="40" t="str">
        <f>IFERROR(__xludf.DUMMYFUNCTION("""COMPUTED_VALUE"""),"B-1")</f>
        <v>B-1</v>
      </c>
      <c r="J114" s="40">
        <f>IFERROR(__xludf.DUMMYFUNCTION("""COMPUTED_VALUE"""),2.0)</f>
        <v>2</v>
      </c>
      <c r="K114" s="40" t="str">
        <f>IFERROR(__xludf.DUMMYFUNCTION("""COMPUTED_VALUE"""),"2 WUSTHO D PUTRI")</f>
        <v>2 WUSTHO D PUTRI</v>
      </c>
      <c r="L114" s="41" t="str">
        <f>IFERROR(__xludf.DUMMYFUNCTION("""COMPUTED_VALUE"""),"6282245008448")</f>
        <v>6282245008448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3"/>
      <c r="AB114" s="43">
        <f>IFERROR(__xludf.DUMMYFUNCTION("""COMPUTED_VALUE"""),500000.0)</f>
        <v>500000</v>
      </c>
      <c r="AC114" s="43"/>
      <c r="AD114" s="43"/>
      <c r="AE114" s="43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3">
        <f>IFERROR(__xludf.DUMMYFUNCTION("""COMPUTED_VALUE"""),500000.0)</f>
        <v>500000</v>
      </c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IFERROR(__xludf.DUMMYFUNCTION("""COMPUTED_VALUE"""),1000000.0)</f>
        <v>1000000</v>
      </c>
      <c r="BE114" s="43">
        <f>IFERROR(__xludf.DUMMYFUNCTION("""COMPUTED_VALUE"""),0.0)</f>
        <v>0</v>
      </c>
      <c r="BF114" s="44">
        <f>IFERROR(__xludf.DUMMYFUNCTION("""COMPUTED_VALUE"""),1000000.0)</f>
        <v>1000000</v>
      </c>
      <c r="BG114" s="42"/>
      <c r="BH114" s="42"/>
      <c r="BI114" s="42"/>
      <c r="BJ114" s="45"/>
      <c r="BK114" s="45"/>
      <c r="BL114" s="45"/>
      <c r="BM114" s="45"/>
      <c r="BN114" s="45"/>
      <c r="BO114" s="46"/>
    </row>
    <row r="115">
      <c r="A115" s="47">
        <f>IFERROR(__xludf.DUMMYFUNCTION("""COMPUTED_VALUE"""),114.0)</f>
        <v>114</v>
      </c>
      <c r="B115" s="48" t="str">
        <f>IFERROR(__xludf.DUMMYFUNCTION("""COMPUTED_VALUE"""),"AURA FAJRINA SALSABILA")</f>
        <v>AURA FAJRINA SALSABILA</v>
      </c>
      <c r="C115" s="49">
        <f>IFERROR(__xludf.DUMMYFUNCTION("""COMPUTED_VALUE"""),2.025070502E9)</f>
        <v>2025070502</v>
      </c>
      <c r="D115" s="48" t="str">
        <f>IFERROR(__xludf.DUMMYFUNCTION("""COMPUTED_VALUE"""),"MISBAHUL AQSHO")</f>
        <v>MISBAHUL AQSHO</v>
      </c>
      <c r="E115" s="48" t="str">
        <f>IFERROR(__xludf.DUMMYFUNCTION("""COMPUTED_VALUE"""),"NISWATIN")</f>
        <v>NISWATIN</v>
      </c>
      <c r="F115" s="48" t="str">
        <f>IFERROR(__xludf.DUMMYFUNCTION("""COMPUTED_VALUE"""),"TENGGULUN RT 004 RW 002 SOLOKURO LAMONGAN")</f>
        <v>TENGGULUN RT 004 RW 002 SOLOKURO LAMONGAN</v>
      </c>
      <c r="G115" s="50" t="str">
        <f>IFERROR(__xludf.DUMMYFUNCTION("""COMPUTED_VALUE"""),"SMP-VIII A")</f>
        <v>SMP-VIII A</v>
      </c>
      <c r="H115" s="47" t="str">
        <f>IFERROR(__xludf.DUMMYFUNCTION("""COMPUTED_VALUE"""),"B")</f>
        <v>B</v>
      </c>
      <c r="I115" s="51" t="str">
        <f>IFERROR(__xludf.DUMMYFUNCTION("""COMPUTED_VALUE"""),"B-3")</f>
        <v>B-3</v>
      </c>
      <c r="J115" s="51">
        <f>IFERROR(__xludf.DUMMYFUNCTION("""COMPUTED_VALUE"""),2.0)</f>
        <v>2</v>
      </c>
      <c r="K115" s="51" t="str">
        <f>IFERROR(__xludf.DUMMYFUNCTION("""COMPUTED_VALUE"""),"2 ULA B PUTRI")</f>
        <v>2 ULA B PUTRI</v>
      </c>
      <c r="L115" s="52" t="str">
        <f>IFERROR(__xludf.DUMMYFUNCTION("""COMPUTED_VALUE"""),"6281330339700")</f>
        <v>6281330339700</v>
      </c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4"/>
      <c r="AC115" s="53"/>
      <c r="AD115" s="53"/>
      <c r="AE115" s="54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4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IFERROR(__xludf.DUMMYFUNCTION("""COMPUTED_VALUE"""),0.0)</f>
        <v>0</v>
      </c>
      <c r="BD115" s="54">
        <f>IFERROR(__xludf.DUMMYFUNCTION("""COMPUTED_VALUE"""),0.0)</f>
        <v>0</v>
      </c>
      <c r="BE115" s="54">
        <f>IFERROR(__xludf.DUMMYFUNCTION("""COMPUTED_VALUE"""),0.0)</f>
        <v>0</v>
      </c>
      <c r="BF115" s="55">
        <f>IFERROR(__xludf.DUMMYFUNCTION("""COMPUTED_VALUE"""),0.0)</f>
        <v>0</v>
      </c>
      <c r="BG115" s="53"/>
      <c r="BH115" s="53"/>
      <c r="BI115" s="53"/>
      <c r="BJ115" s="45"/>
      <c r="BK115" s="45"/>
      <c r="BL115" s="45"/>
      <c r="BM115" s="45"/>
      <c r="BN115" s="45"/>
      <c r="BO115" s="46"/>
    </row>
    <row r="116">
      <c r="A116" s="36">
        <f>IFERROR(__xludf.DUMMYFUNCTION("""COMPUTED_VALUE"""),115.0)</f>
        <v>115</v>
      </c>
      <c r="B116" s="37" t="str">
        <f>IFERROR(__xludf.DUMMYFUNCTION("""COMPUTED_VALUE"""),"AYU WIDYA")</f>
        <v>AYU WIDYA</v>
      </c>
      <c r="C116" s="38">
        <f>IFERROR(__xludf.DUMMYFUNCTION("""COMPUTED_VALUE"""),2.025070398E9)</f>
        <v>2025070398</v>
      </c>
      <c r="D116" s="37" t="str">
        <f>IFERROR(__xludf.DUMMYFUNCTION("""COMPUTED_VALUE"""),"SHOLEH FUDIN")</f>
        <v>SHOLEH FUDIN</v>
      </c>
      <c r="E116" s="37" t="str">
        <f>IFERROR(__xludf.DUMMYFUNCTION("""COMPUTED_VALUE"""),"SITI NUR MASITO")</f>
        <v>SITI NUR MASITO</v>
      </c>
      <c r="F116" s="37" t="str">
        <f>IFERROR(__xludf.DUMMYFUNCTION("""COMPUTED_VALUE"""),"BLAWI RT 002 RW 003 KARANGBINANGUN LAMONGAN")</f>
        <v>BLAWI RT 002 RW 003 KARANGBINANGUN LAMONGAN</v>
      </c>
      <c r="G116" s="56" t="str">
        <f>IFERROR(__xludf.DUMMYFUNCTION("""COMPUTED_VALUE"""),"MA-XI.10")</f>
        <v>MA-XI.10</v>
      </c>
      <c r="H116" s="36" t="str">
        <f>IFERROR(__xludf.DUMMYFUNCTION("""COMPUTED_VALUE"""),"B")</f>
        <v>B</v>
      </c>
      <c r="I116" s="40" t="str">
        <f>IFERROR(__xludf.DUMMYFUNCTION("""COMPUTED_VALUE"""),"B-1")</f>
        <v>B-1</v>
      </c>
      <c r="J116" s="40">
        <f>IFERROR(__xludf.DUMMYFUNCTION("""COMPUTED_VALUE"""),2.0)</f>
        <v>2</v>
      </c>
      <c r="K116" s="40" t="str">
        <f>IFERROR(__xludf.DUMMYFUNCTION("""COMPUTED_VALUE"""),"2 WUSTHO C PUTRI")</f>
        <v>2 WUSTHO C PUTRI</v>
      </c>
      <c r="L116" s="41" t="str">
        <f>IFERROR(__xludf.DUMMYFUNCTION("""COMPUTED_VALUE"""),"6285857702561")</f>
        <v>6285857702561</v>
      </c>
      <c r="M116" s="42">
        <f>IFERROR(__xludf.DUMMYFUNCTION("""COMPUTED_VALUE"""),600000.0)</f>
        <v>600000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>
        <f>IFERROR(__xludf.DUMMYFUNCTION("""COMPUTED_VALUE"""),500000.0)</f>
        <v>500000</v>
      </c>
      <c r="AC116" s="42"/>
      <c r="AD116" s="42"/>
      <c r="AE116" s="43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>
        <f>IFERROR(__xludf.DUMMYFUNCTION("""COMPUTED_VALUE"""),500000.0)</f>
        <v>500000</v>
      </c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IFERROR(__xludf.DUMMYFUNCTION("""COMPUTED_VALUE"""),0.0)</f>
        <v>0</v>
      </c>
      <c r="BD116" s="43">
        <f>IFERROR(__xludf.DUMMYFUNCTION("""COMPUTED_VALUE"""),1600000.0)</f>
        <v>1600000</v>
      </c>
      <c r="BE116" s="43">
        <f>IFERROR(__xludf.DUMMYFUNCTION("""COMPUTED_VALUE"""),0.0)</f>
        <v>0</v>
      </c>
      <c r="BF116" s="44">
        <f>IFERROR(__xludf.DUMMYFUNCTION("""COMPUTED_VALUE"""),1600000.0)</f>
        <v>1600000</v>
      </c>
      <c r="BG116" s="42"/>
      <c r="BH116" s="42"/>
      <c r="BI116" s="42"/>
      <c r="BJ116" s="45"/>
      <c r="BK116" s="45"/>
      <c r="BL116" s="45"/>
      <c r="BM116" s="45"/>
      <c r="BN116" s="45"/>
      <c r="BO116" s="46"/>
    </row>
    <row r="117">
      <c r="A117" s="47">
        <f>IFERROR(__xludf.DUMMYFUNCTION("""COMPUTED_VALUE"""),116.0)</f>
        <v>116</v>
      </c>
      <c r="B117" s="48" t="str">
        <f>IFERROR(__xludf.DUMMYFUNCTION("""COMPUTED_VALUE"""),"BIYATI AHWARUNI")</f>
        <v>BIYATI AHWARUNI</v>
      </c>
      <c r="C117" s="49">
        <f>IFERROR(__xludf.DUMMYFUNCTION("""COMPUTED_VALUE"""),2.025070235E9)</f>
        <v>2025070235</v>
      </c>
      <c r="D117" s="48" t="str">
        <f>IFERROR(__xludf.DUMMYFUNCTION("""COMPUTED_VALUE"""),"M SYA`RONI")</f>
        <v>M SYA`RONI</v>
      </c>
      <c r="E117" s="48" t="str">
        <f>IFERROR(__xludf.DUMMYFUNCTION("""COMPUTED_VALUE"""),"MAILISTIN")</f>
        <v>MAILISTIN</v>
      </c>
      <c r="F117" s="48" t="str">
        <f>IFERROR(__xludf.DUMMYFUNCTION("""COMPUTED_VALUE"""),"JANGGAN POMAHANJANGGAN RT 007 RW 003 TURI LAMONGAN")</f>
        <v>JANGGAN POMAHANJANGGAN RT 007 RW 003 TURI LAMONGAN</v>
      </c>
      <c r="G117" s="50" t="str">
        <f>IFERROR(__xludf.DUMMYFUNCTION("""COMPUTED_VALUE"""),"MA-XI.10")</f>
        <v>MA-XI.10</v>
      </c>
      <c r="H117" s="47" t="str">
        <f>IFERROR(__xludf.DUMMYFUNCTION("""COMPUTED_VALUE"""),"B")</f>
        <v>B</v>
      </c>
      <c r="I117" s="53" t="str">
        <f>IFERROR(__xludf.DUMMYFUNCTION("""COMPUTED_VALUE"""),"B-1")</f>
        <v>B-1</v>
      </c>
      <c r="J117" s="51">
        <f>IFERROR(__xludf.DUMMYFUNCTION("""COMPUTED_VALUE"""),2.0)</f>
        <v>2</v>
      </c>
      <c r="K117" s="51" t="str">
        <f>IFERROR(__xludf.DUMMYFUNCTION("""COMPUTED_VALUE"""),"2 WUSTHO D PUTRI")</f>
        <v>2 WUSTHO D PUTRI</v>
      </c>
      <c r="L117" s="52" t="str">
        <f>IFERROR(__xludf.DUMMYFUNCTION("""COMPUTED_VALUE"""),"6285736466131")</f>
        <v>6285736466131</v>
      </c>
      <c r="M117" s="53">
        <f>IFERROR(__xludf.DUMMYFUNCTION("""COMPUTED_VALUE"""),600000.0)</f>
        <v>600000</v>
      </c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>
        <f>IFERROR(__xludf.DUMMYFUNCTION("""COMPUTED_VALUE"""),450000.0)</f>
        <v>450000</v>
      </c>
      <c r="Z117" s="53">
        <f>IFERROR(__xludf.DUMMYFUNCTION("""COMPUTED_VALUE"""),450000.0)</f>
        <v>450000</v>
      </c>
      <c r="AA117" s="53"/>
      <c r="AB117" s="53">
        <f>IFERROR(__xludf.DUMMYFUNCTION("""COMPUTED_VALUE"""),500000.0)</f>
        <v>500000</v>
      </c>
      <c r="AC117" s="53"/>
      <c r="AD117" s="54"/>
      <c r="AE117" s="54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IFERROR(__xludf.DUMMYFUNCTION("""COMPUTED_VALUE"""),900000.0)</f>
        <v>900000</v>
      </c>
      <c r="BD117" s="54">
        <f>IFERROR(__xludf.DUMMYFUNCTION("""COMPUTED_VALUE"""),1600000.0)</f>
        <v>1600000</v>
      </c>
      <c r="BE117" s="54">
        <f>IFERROR(__xludf.DUMMYFUNCTION("""COMPUTED_VALUE"""),0.0)</f>
        <v>0</v>
      </c>
      <c r="BF117" s="55">
        <f>IFERROR(__xludf.DUMMYFUNCTION("""COMPUTED_VALUE"""),2500000.0)</f>
        <v>2500000</v>
      </c>
      <c r="BG117" s="53"/>
      <c r="BH117" s="53"/>
      <c r="BI117" s="53"/>
      <c r="BJ117" s="45"/>
      <c r="BK117" s="45"/>
      <c r="BL117" s="45"/>
      <c r="BM117" s="45"/>
      <c r="BN117" s="45"/>
      <c r="BO117" s="46"/>
    </row>
    <row r="118">
      <c r="A118" s="36">
        <f>IFERROR(__xludf.DUMMYFUNCTION("""COMPUTED_VALUE"""),117.0)</f>
        <v>117</v>
      </c>
      <c r="B118" s="37" t="str">
        <f>IFERROR(__xludf.DUMMYFUNCTION("""COMPUTED_VALUE"""),"DIAZ ATIKA RAIS")</f>
        <v>DIAZ ATIKA RAIS</v>
      </c>
      <c r="C118" s="38">
        <f>IFERROR(__xludf.DUMMYFUNCTION("""COMPUTED_VALUE"""),2.025070098E9)</f>
        <v>2025070098</v>
      </c>
      <c r="D118" s="37" t="str">
        <f>IFERROR(__xludf.DUMMYFUNCTION("""COMPUTED_VALUE"""),"AINUL HIDAYAT")</f>
        <v>AINUL HIDAYAT</v>
      </c>
      <c r="E118" s="37" t="str">
        <f>IFERROR(__xludf.DUMMYFUNCTION("""COMPUTED_VALUE"""),"ARIKATUL MAKADAH")</f>
        <v>ARIKATUL MAKADAH</v>
      </c>
      <c r="F118" s="37" t="str">
        <f>IFERROR(__xludf.DUMMYFUNCTION("""COMPUTED_VALUE"""),"BADU WANAR RT 003 RW 007 PUCUK LAMONGAN")</f>
        <v>BADU WANAR RT 003 RW 007 PUCUK LAMONGAN</v>
      </c>
      <c r="G118" s="39" t="str">
        <f>IFERROR(__xludf.DUMMYFUNCTION("""COMPUTED_VALUE"""),"MA-XI.11")</f>
        <v>MA-XI.11</v>
      </c>
      <c r="H118" s="36" t="str">
        <f>IFERROR(__xludf.DUMMYFUNCTION("""COMPUTED_VALUE"""),"B")</f>
        <v>B</v>
      </c>
      <c r="I118" s="40" t="str">
        <f>IFERROR(__xludf.DUMMYFUNCTION("""COMPUTED_VALUE"""),"B-1")</f>
        <v>B-1</v>
      </c>
      <c r="J118" s="40">
        <f>IFERROR(__xludf.DUMMYFUNCTION("""COMPUTED_VALUE"""),2.0)</f>
        <v>2</v>
      </c>
      <c r="K118" s="40" t="str">
        <f>IFERROR(__xludf.DUMMYFUNCTION("""COMPUTED_VALUE"""),"2 WUSTHO C PUTRI")</f>
        <v>2 WUSTHO C PUTRI</v>
      </c>
      <c r="L118" s="41" t="str">
        <f>IFERROR(__xludf.DUMMYFUNCTION("""COMPUTED_VALUE"""),"6285331177040")</f>
        <v>6285331177040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>
        <f>IFERROR(__xludf.DUMMYFUNCTION("""COMPUTED_VALUE"""),450000.0)</f>
        <v>450000</v>
      </c>
      <c r="Z118" s="42">
        <f>IFERROR(__xludf.DUMMYFUNCTION("""COMPUTED_VALUE"""),450000.0)</f>
        <v>450000</v>
      </c>
      <c r="AA118" s="42"/>
      <c r="AB118" s="42">
        <f>IFERROR(__xludf.DUMMYFUNCTION("""COMPUTED_VALUE"""),200000.0)</f>
        <v>200000</v>
      </c>
      <c r="AC118" s="42"/>
      <c r="AD118" s="42"/>
      <c r="AE118" s="43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3">
        <f>IFERROR(__xludf.DUMMYFUNCTION("""COMPUTED_VALUE"""),500000.0)</f>
        <v>500000</v>
      </c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IFERROR(__xludf.DUMMYFUNCTION("""COMPUTED_VALUE"""),900000.0)</f>
        <v>900000</v>
      </c>
      <c r="BD118" s="43">
        <f>IFERROR(__xludf.DUMMYFUNCTION("""COMPUTED_VALUE"""),700000.0)</f>
        <v>700000</v>
      </c>
      <c r="BE118" s="43">
        <f>IFERROR(__xludf.DUMMYFUNCTION("""COMPUTED_VALUE"""),0.0)</f>
        <v>0</v>
      </c>
      <c r="BF118" s="44">
        <f>IFERROR(__xludf.DUMMYFUNCTION("""COMPUTED_VALUE"""),1600000.0)</f>
        <v>1600000</v>
      </c>
      <c r="BG118" s="42"/>
      <c r="BH118" s="42"/>
      <c r="BI118" s="42"/>
      <c r="BJ118" s="45"/>
      <c r="BK118" s="45"/>
      <c r="BL118" s="45"/>
      <c r="BM118" s="45"/>
      <c r="BN118" s="45"/>
      <c r="BO118" s="46"/>
    </row>
    <row r="119">
      <c r="A119" s="47">
        <f>IFERROR(__xludf.DUMMYFUNCTION("""COMPUTED_VALUE"""),118.0)</f>
        <v>118</v>
      </c>
      <c r="B119" s="48" t="str">
        <f>IFERROR(__xludf.DUMMYFUNCTION("""COMPUTED_VALUE"""),"DINA AULIYAH")</f>
        <v>DINA AULIYAH</v>
      </c>
      <c r="C119" s="49">
        <f>IFERROR(__xludf.DUMMYFUNCTION("""COMPUTED_VALUE"""),2.025070061E9)</f>
        <v>2025070061</v>
      </c>
      <c r="D119" s="48" t="str">
        <f>IFERROR(__xludf.DUMMYFUNCTION("""COMPUTED_VALUE"""),"MUNIF")</f>
        <v>MUNIF</v>
      </c>
      <c r="E119" s="48" t="str">
        <f>IFERROR(__xludf.DUMMYFUNCTION("""COMPUTED_VALUE"""),"SHOLIHAH")</f>
        <v>SHOLIHAH</v>
      </c>
      <c r="F119" s="48" t="str">
        <f>IFERROR(__xludf.DUMMYFUNCTION("""COMPUTED_VALUE"""),"BANYUBANG RT 003 RW 001 SOLOKURO LAMONGAN")</f>
        <v>BANYUBANG RT 003 RW 001 SOLOKURO LAMONGAN</v>
      </c>
      <c r="G119" s="50" t="str">
        <f>IFERROR(__xludf.DUMMYFUNCTION("""COMPUTED_VALUE"""),"MA-XI.10")</f>
        <v>MA-XI.10</v>
      </c>
      <c r="H119" s="47" t="str">
        <f>IFERROR(__xludf.DUMMYFUNCTION("""COMPUTED_VALUE"""),"B")</f>
        <v>B</v>
      </c>
      <c r="I119" s="51" t="str">
        <f>IFERROR(__xludf.DUMMYFUNCTION("""COMPUTED_VALUE"""),"B-1")</f>
        <v>B-1</v>
      </c>
      <c r="J119" s="51">
        <f>IFERROR(__xludf.DUMMYFUNCTION("""COMPUTED_VALUE"""),2.0)</f>
        <v>2</v>
      </c>
      <c r="K119" s="51" t="str">
        <f>IFERROR(__xludf.DUMMYFUNCTION("""COMPUTED_VALUE"""),"2 WUSTHO C PUTRI")</f>
        <v>2 WUSTHO C PUTRI</v>
      </c>
      <c r="L119" s="52" t="str">
        <f>IFERROR(__xludf.DUMMYFUNCTION("""COMPUTED_VALUE"""),"6285604510864")</f>
        <v>6285604510864</v>
      </c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4"/>
      <c r="AA119" s="54"/>
      <c r="AB119" s="54">
        <f>IFERROR(__xludf.DUMMYFUNCTION("""COMPUTED_VALUE"""),500000.0)</f>
        <v>500000</v>
      </c>
      <c r="AC119" s="54"/>
      <c r="AD119" s="54"/>
      <c r="AE119" s="54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4">
        <f>IFERROR(__xludf.DUMMYFUNCTION("""COMPUTED_VALUE"""),500000.0)</f>
        <v>500000</v>
      </c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IFERROR(__xludf.DUMMYFUNCTION("""COMPUTED_VALUE"""),0.0)</f>
        <v>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IFERROR(__xludf.DUMMYFUNCTION("""COMPUTED_VALUE"""),1000000.0)</f>
        <v>1000000</v>
      </c>
      <c r="BG119" s="53"/>
      <c r="BH119" s="53"/>
      <c r="BI119" s="53"/>
      <c r="BJ119" s="45"/>
      <c r="BK119" s="45"/>
      <c r="BL119" s="45"/>
      <c r="BM119" s="45"/>
      <c r="BN119" s="45"/>
      <c r="BO119" s="46"/>
    </row>
    <row r="120">
      <c r="A120" s="36">
        <f>IFERROR(__xludf.DUMMYFUNCTION("""COMPUTED_VALUE"""),119.0)</f>
        <v>119</v>
      </c>
      <c r="B120" s="37" t="str">
        <f>IFERROR(__xludf.DUMMYFUNCTION("""COMPUTED_VALUE"""),"DINDA FIZZAH ANNISA`")</f>
        <v>DINDA FIZZAH ANNISA`</v>
      </c>
      <c r="C120" s="38">
        <f>IFERROR(__xludf.DUMMYFUNCTION("""COMPUTED_VALUE"""),2.025070377E9)</f>
        <v>2025070377</v>
      </c>
      <c r="D120" s="37" t="str">
        <f>IFERROR(__xludf.DUMMYFUNCTION("""COMPUTED_VALUE"""),"AHMAD ZAINURI")</f>
        <v>AHMAD ZAINURI</v>
      </c>
      <c r="E120" s="37" t="str">
        <f>IFERROR(__xludf.DUMMYFUNCTION("""COMPUTED_VALUE"""),"LISWATIN")</f>
        <v>LISWATIN</v>
      </c>
      <c r="F120" s="37" t="str">
        <f>IFERROR(__xludf.DUMMYFUNCTION("""COMPUTED_VALUE"""),"TENGGULUN RT 007 RW 003 SOLOKURO LAMONGAN")</f>
        <v>TENGGULUN RT 007 RW 003 SOLOKURO LAMONGAN</v>
      </c>
      <c r="G120" s="39" t="str">
        <f>IFERROR(__xludf.DUMMYFUNCTION("""COMPUTED_VALUE"""),"MA-XI.10")</f>
        <v>MA-XI.10</v>
      </c>
      <c r="H120" s="36" t="str">
        <f>IFERROR(__xludf.DUMMYFUNCTION("""COMPUTED_VALUE"""),"B")</f>
        <v>B</v>
      </c>
      <c r="I120" s="40" t="str">
        <f>IFERROR(__xludf.DUMMYFUNCTION("""COMPUTED_VALUE"""),"B-1")</f>
        <v>B-1</v>
      </c>
      <c r="J120" s="40">
        <f>IFERROR(__xludf.DUMMYFUNCTION("""COMPUTED_VALUE"""),2.0)</f>
        <v>2</v>
      </c>
      <c r="K120" s="40" t="str">
        <f>IFERROR(__xludf.DUMMYFUNCTION("""COMPUTED_VALUE"""),"2 WUSTHO C PUTRI")</f>
        <v>2 WUSTHO C PUTRI</v>
      </c>
      <c r="L120" s="41" t="str">
        <f>IFERROR(__xludf.DUMMYFUNCTION("""COMPUTED_VALUE"""),"6285649099700")</f>
        <v>6285649099700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3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IFERROR(__xludf.DUMMYFUNCTION("""COMPUTED_VALUE"""),0.0)</f>
        <v>0</v>
      </c>
      <c r="BE120" s="43">
        <f>IFERROR(__xludf.DUMMYFUNCTION("""COMPUTED_VALUE"""),0.0)</f>
        <v>0</v>
      </c>
      <c r="BF120" s="44">
        <f>IFERROR(__xludf.DUMMYFUNCTION("""COMPUTED_VALUE"""),0.0)</f>
        <v>0</v>
      </c>
      <c r="BG120" s="42"/>
      <c r="BH120" s="42"/>
      <c r="BI120" s="42"/>
      <c r="BJ120" s="45"/>
      <c r="BK120" s="45"/>
      <c r="BL120" s="45"/>
      <c r="BM120" s="45"/>
      <c r="BN120" s="45"/>
      <c r="BO120" s="46"/>
    </row>
    <row r="121">
      <c r="A121" s="47">
        <f>IFERROR(__xludf.DUMMYFUNCTION("""COMPUTED_VALUE"""),120.0)</f>
        <v>120</v>
      </c>
      <c r="B121" s="48" t="str">
        <f>IFERROR(__xludf.DUMMYFUNCTION("""COMPUTED_VALUE"""),"DURROTUN NASIHAH")</f>
        <v>DURROTUN NASIHAH</v>
      </c>
      <c r="C121" s="49">
        <f>IFERROR(__xludf.DUMMYFUNCTION("""COMPUTED_VALUE"""),2.02507027E9)</f>
        <v>2025070270</v>
      </c>
      <c r="D121" s="48" t="str">
        <f>IFERROR(__xludf.DUMMYFUNCTION("""COMPUTED_VALUE"""),"KHOIRUL ABDI")</f>
        <v>KHOIRUL ABDI</v>
      </c>
      <c r="E121" s="48" t="str">
        <f>IFERROR(__xludf.DUMMYFUNCTION("""COMPUTED_VALUE"""),"MUKHAROMAH")</f>
        <v>MUKHAROMAH</v>
      </c>
      <c r="F121" s="48" t="str">
        <f>IFERROR(__xludf.DUMMYFUNCTION("""COMPUTED_VALUE"""),"KEPUDIKULON KEPUDIBENER RT 003 RW 001 TURI LAMONGAN")</f>
        <v>KEPUDIKULON KEPUDIBENER RT 003 RW 001 TURI LAMONGAN</v>
      </c>
      <c r="G121" s="49" t="str">
        <f>IFERROR(__xludf.DUMMYFUNCTION("""COMPUTED_VALUE"""),"MA-XI.4")</f>
        <v>MA-XI.4</v>
      </c>
      <c r="H121" s="47" t="str">
        <f>IFERROR(__xludf.DUMMYFUNCTION("""COMPUTED_VALUE"""),"B")</f>
        <v>B</v>
      </c>
      <c r="I121" s="51" t="str">
        <f>IFERROR(__xludf.DUMMYFUNCTION("""COMPUTED_VALUE"""),"B-1")</f>
        <v>B-1</v>
      </c>
      <c r="J121" s="51">
        <f>IFERROR(__xludf.DUMMYFUNCTION("""COMPUTED_VALUE"""),2.0)</f>
        <v>2</v>
      </c>
      <c r="K121" s="51" t="str">
        <f>IFERROR(__xludf.DUMMYFUNCTION("""COMPUTED_VALUE"""),"2 WUSTHO D PUTRI")</f>
        <v>2 WUSTHO D PUTRI</v>
      </c>
      <c r="L121" s="52" t="str">
        <f>IFERROR(__xludf.DUMMYFUNCTION("""COMPUTED_VALUE"""),"6281347075557")</f>
        <v>6281347075557</v>
      </c>
      <c r="M121" s="53"/>
      <c r="N121" s="53"/>
      <c r="O121" s="53"/>
      <c r="P121" s="53"/>
      <c r="Q121" s="53"/>
      <c r="R121" s="53" t="str">
        <f>IFERROR(__xludf.DUMMYFUNCTION("""COMPUTED_VALUE"""),"                              ")</f>
        <v>                              </v>
      </c>
      <c r="S121" s="53"/>
      <c r="T121" s="53"/>
      <c r="U121" s="53"/>
      <c r="V121" s="53"/>
      <c r="W121" s="53"/>
      <c r="X121" s="53"/>
      <c r="Y121" s="53"/>
      <c r="Z121" s="53"/>
      <c r="AA121" s="53"/>
      <c r="AB121" s="53">
        <f>IFERROR(__xludf.DUMMYFUNCTION("""COMPUTED_VALUE"""),500000.0)</f>
        <v>500000</v>
      </c>
      <c r="AC121" s="53"/>
      <c r="AD121" s="53"/>
      <c r="AE121" s="54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>
        <f>IFERROR(__xludf.DUMMYFUNCTION("""COMPUTED_VALUE"""),500000.0)</f>
        <v>500000</v>
      </c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IFERROR(__xludf.DUMMYFUNCTION("""COMPUTED_VALUE"""),1000000.0)</f>
        <v>1000000</v>
      </c>
      <c r="BE121" s="54">
        <f>IFERROR(__xludf.DUMMYFUNCTION("""COMPUTED_VALUE"""),0.0)</f>
        <v>0</v>
      </c>
      <c r="BF121" s="55">
        <f>IFERROR(__xludf.DUMMYFUNCTION("""COMPUTED_VALUE"""),1000000.0)</f>
        <v>1000000</v>
      </c>
      <c r="BG121" s="53"/>
      <c r="BH121" s="53"/>
      <c r="BI121" s="53"/>
      <c r="BJ121" s="45"/>
      <c r="BK121" s="45"/>
      <c r="BL121" s="45"/>
      <c r="BM121" s="45"/>
      <c r="BN121" s="45"/>
      <c r="BO121" s="46"/>
    </row>
    <row r="122">
      <c r="A122" s="36">
        <f>IFERROR(__xludf.DUMMYFUNCTION("""COMPUTED_VALUE"""),121.0)</f>
        <v>121</v>
      </c>
      <c r="B122" s="37" t="str">
        <f>IFERROR(__xludf.DUMMYFUNCTION("""COMPUTED_VALUE"""),"FAHMIDA NAILIL AGHNIYA")</f>
        <v>FAHMIDA NAILIL AGHNIYA</v>
      </c>
      <c r="C122" s="38">
        <f>IFERROR(__xludf.DUMMYFUNCTION("""COMPUTED_VALUE"""),2.025070047E9)</f>
        <v>2025070047</v>
      </c>
      <c r="D122" s="37" t="str">
        <f>IFERROR(__xludf.DUMMYFUNCTION("""COMPUTED_VALUE"""),"AHMAD ZAINUL MUSTAKHIM")</f>
        <v>AHMAD ZAINUL MUSTAKHIM</v>
      </c>
      <c r="E122" s="37" t="str">
        <f>IFERROR(__xludf.DUMMYFUNCTION("""COMPUTED_VALUE"""),"NUR HAYATI")</f>
        <v>NUR HAYATI</v>
      </c>
      <c r="F122" s="37" t="str">
        <f>IFERROR(__xludf.DUMMYFUNCTION("""COMPUTED_VALUE"""),"SLATUNG TLOGOAGUNG RT 001 RW 001 KEMBANGBAHU LAMONGAN")</f>
        <v>SLATUNG TLOGOAGUNG RT 001 RW 001 KEMBANGBAHU LAMONGAN</v>
      </c>
      <c r="G122" s="39" t="str">
        <f>IFERROR(__xludf.DUMMYFUNCTION("""COMPUTED_VALUE"""),"MA-XI.8")</f>
        <v>MA-XI.8</v>
      </c>
      <c r="H122" s="36" t="str">
        <f>IFERROR(__xludf.DUMMYFUNCTION("""COMPUTED_VALUE"""),"B")</f>
        <v>B</v>
      </c>
      <c r="I122" s="40" t="str">
        <f>IFERROR(__xludf.DUMMYFUNCTION("""COMPUTED_VALUE"""),"B-1")</f>
        <v>B-1</v>
      </c>
      <c r="J122" s="40">
        <f>IFERROR(__xludf.DUMMYFUNCTION("""COMPUTED_VALUE"""),2.0)</f>
        <v>2</v>
      </c>
      <c r="K122" s="40" t="str">
        <f>IFERROR(__xludf.DUMMYFUNCTION("""COMPUTED_VALUE"""),"2 WUSTHO B PUTRI")</f>
        <v>2 WUSTHO B PUTRI</v>
      </c>
      <c r="L122" s="41" t="str">
        <f>IFERROR(__xludf.DUMMYFUNCTION("""COMPUTED_VALUE"""),"6285731807166")</f>
        <v>6285731807166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3"/>
      <c r="AE122" s="43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IFERROR(__xludf.DUMMYFUNCTION("""COMPUTED_VALUE"""),0.0)</f>
        <v>0</v>
      </c>
      <c r="BD122" s="43">
        <f>IFERROR(__xludf.DUMMYFUNCTION("""COMPUTED_VALUE"""),0.0)</f>
        <v>0</v>
      </c>
      <c r="BE122" s="43">
        <f>IFERROR(__xludf.DUMMYFUNCTION("""COMPUTED_VALUE"""),0.0)</f>
        <v>0</v>
      </c>
      <c r="BF122" s="44">
        <f>IFERROR(__xludf.DUMMYFUNCTION("""COMPUTED_VALUE"""),0.0)</f>
        <v>0</v>
      </c>
      <c r="BG122" s="42"/>
      <c r="BH122" s="42"/>
      <c r="BI122" s="42"/>
      <c r="BJ122" s="45"/>
      <c r="BK122" s="45"/>
      <c r="BL122" s="45"/>
      <c r="BM122" s="45"/>
      <c r="BN122" s="45"/>
      <c r="BO122" s="46"/>
    </row>
    <row r="123">
      <c r="A123" s="47">
        <f>IFERROR(__xludf.DUMMYFUNCTION("""COMPUTED_VALUE"""),122.0)</f>
        <v>122</v>
      </c>
      <c r="B123" s="48" t="str">
        <f>IFERROR(__xludf.DUMMYFUNCTION("""COMPUTED_VALUE"""),"FARIH FIRDAUSI NUZULA")</f>
        <v>FARIH FIRDAUSI NUZULA</v>
      </c>
      <c r="C123" s="49">
        <f>IFERROR(__xludf.DUMMYFUNCTION("""COMPUTED_VALUE"""),2.02507049E9)</f>
        <v>2025070490</v>
      </c>
      <c r="D123" s="48" t="str">
        <f>IFERROR(__xludf.DUMMYFUNCTION("""COMPUTED_VALUE"""),"CHOIRUL HUDA")</f>
        <v>CHOIRUL HUDA</v>
      </c>
      <c r="E123" s="48" t="str">
        <f>IFERROR(__xludf.DUMMYFUNCTION("""COMPUTED_VALUE"""),"PRATIWI AFAITA")</f>
        <v>PRATIWI AFAITA</v>
      </c>
      <c r="F123" s="48" t="str">
        <f>IFERROR(__xludf.DUMMYFUNCTION("""COMPUTED_VALUE"""),"GETUNG TAWANGREJO RT 003 RW 002 TURI LAMONGAN")</f>
        <v>GETUNG TAWANGREJO RT 003 RW 002 TURI LAMONGAN</v>
      </c>
      <c r="G123" s="57" t="str">
        <f>IFERROR(__xludf.DUMMYFUNCTION("""COMPUTED_VALUE"""),"SMP-VIII B")</f>
        <v>SMP-VIII B</v>
      </c>
      <c r="H123" s="47" t="str">
        <f>IFERROR(__xludf.DUMMYFUNCTION("""COMPUTED_VALUE"""),"B")</f>
        <v>B</v>
      </c>
      <c r="I123" s="51" t="str">
        <f>IFERROR(__xludf.DUMMYFUNCTION("""COMPUTED_VALUE"""),"B-10")</f>
        <v>B-10</v>
      </c>
      <c r="J123" s="51">
        <f>IFERROR(__xludf.DUMMYFUNCTION("""COMPUTED_VALUE"""),2.0)</f>
        <v>2</v>
      </c>
      <c r="K123" s="51" t="str">
        <f>IFERROR(__xludf.DUMMYFUNCTION("""COMPUTED_VALUE"""),"2 ULA C PUTRI")</f>
        <v>2 ULA C PUTRI</v>
      </c>
      <c r="L123" s="52" t="str">
        <f>IFERROR(__xludf.DUMMYFUNCTION("""COMPUTED_VALUE"""),"6285854669194")</f>
        <v>6285854669194</v>
      </c>
      <c r="M123" s="53">
        <f>IFERROR(__xludf.DUMMYFUNCTION("""COMPUTED_VALUE"""),600000.0)</f>
        <v>600000</v>
      </c>
      <c r="N123" s="53">
        <f>IFERROR(__xludf.DUMMYFUNCTION("""COMPUTED_VALUE"""),200000.0)</f>
        <v>200000</v>
      </c>
      <c r="O123" s="53">
        <f>IFERROR(__xludf.DUMMYFUNCTION("""COMPUTED_VALUE"""),450000.0)</f>
        <v>450000</v>
      </c>
      <c r="P123" s="53">
        <f>IFERROR(__xludf.DUMMYFUNCTION("""COMPUTED_VALUE"""),450000.0)</f>
        <v>450000</v>
      </c>
      <c r="Q123" s="53">
        <f>IFERROR(__xludf.DUMMYFUNCTION("""COMPUTED_VALUE"""),450000.0)</f>
        <v>450000</v>
      </c>
      <c r="R123" s="53">
        <f>IFERROR(__xludf.DUMMYFUNCTION("""COMPUTED_VALUE"""),450000.0)</f>
        <v>450000</v>
      </c>
      <c r="S123" s="53">
        <f>IFERROR(__xludf.DUMMYFUNCTION("""COMPUTED_VALUE"""),450000.0)</f>
        <v>450000</v>
      </c>
      <c r="T123" s="53">
        <f>IFERROR(__xludf.DUMMYFUNCTION("""COMPUTED_VALUE"""),450000.0)</f>
        <v>450000</v>
      </c>
      <c r="U123" s="53">
        <f>IFERROR(__xludf.DUMMYFUNCTION("""COMPUTED_VALUE"""),450000.0)</f>
        <v>450000</v>
      </c>
      <c r="V123" s="53">
        <f>IFERROR(__xludf.DUMMYFUNCTION("""COMPUTED_VALUE"""),450000.0)</f>
        <v>450000</v>
      </c>
      <c r="W123" s="53">
        <f>IFERROR(__xludf.DUMMYFUNCTION("""COMPUTED_VALUE"""),450000.0)</f>
        <v>450000</v>
      </c>
      <c r="X123" s="53">
        <f>IFERROR(__xludf.DUMMYFUNCTION("""COMPUTED_VALUE"""),450000.0)</f>
        <v>450000</v>
      </c>
      <c r="Y123" s="53">
        <f>IFERROR(__xludf.DUMMYFUNCTION("""COMPUTED_VALUE"""),450000.0)</f>
        <v>450000</v>
      </c>
      <c r="Z123" s="53">
        <f>IFERROR(__xludf.DUMMYFUNCTION("""COMPUTED_VALUE"""),450000.0)</f>
        <v>450000</v>
      </c>
      <c r="AA123" s="53"/>
      <c r="AB123" s="53">
        <f>IFERROR(__xludf.DUMMYFUNCTION("""COMPUTED_VALUE"""),500000.0)</f>
        <v>500000</v>
      </c>
      <c r="AC123" s="53"/>
      <c r="AD123" s="53"/>
      <c r="AE123" s="54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>
        <f>IFERROR(__xludf.DUMMYFUNCTION("""COMPUTED_VALUE"""),500000.0)</f>
        <v>500000</v>
      </c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IFERROR(__xludf.DUMMYFUNCTION("""COMPUTED_VALUE"""),5400000.0)</f>
        <v>5400000</v>
      </c>
      <c r="BD123" s="54">
        <f>IFERROR(__xludf.DUMMYFUNCTION("""COMPUTED_VALUE"""),1600000.0)</f>
        <v>1600000</v>
      </c>
      <c r="BE123" s="54">
        <f>IFERROR(__xludf.DUMMYFUNCTION("""COMPUTED_VALUE"""),0.0)</f>
        <v>0</v>
      </c>
      <c r="BF123" s="55">
        <f>IFERROR(__xludf.DUMMYFUNCTION("""COMPUTED_VALUE"""),7000000.0)</f>
        <v>7000000</v>
      </c>
      <c r="BG123" s="53"/>
      <c r="BH123" s="53"/>
      <c r="BI123" s="53"/>
      <c r="BJ123" s="45"/>
      <c r="BK123" s="45"/>
      <c r="BL123" s="45"/>
      <c r="BM123" s="45"/>
      <c r="BN123" s="45"/>
      <c r="BO123" s="46"/>
    </row>
    <row r="124">
      <c r="A124" s="36">
        <f>IFERROR(__xludf.DUMMYFUNCTION("""COMPUTED_VALUE"""),123.0)</f>
        <v>123</v>
      </c>
      <c r="B124" s="37" t="str">
        <f>IFERROR(__xludf.DUMMYFUNCTION("""COMPUTED_VALUE"""),"HANAH RAFIKA AMALIA PUTRI")</f>
        <v>HANAH RAFIKA AMALIA PUTRI</v>
      </c>
      <c r="C124" s="38">
        <f>IFERROR(__xludf.DUMMYFUNCTION("""COMPUTED_VALUE"""),2.025070253E9)</f>
        <v>2025070253</v>
      </c>
      <c r="D124" s="37" t="str">
        <f>IFERROR(__xludf.DUMMYFUNCTION("""COMPUTED_VALUE"""),"MUJIONO")</f>
        <v>MUJIONO</v>
      </c>
      <c r="E124" s="37" t="str">
        <f>IFERROR(__xludf.DUMMYFUNCTION("""COMPUTED_VALUE"""),"ROFIQOH")</f>
        <v>ROFIQOH</v>
      </c>
      <c r="F124" s="37" t="str">
        <f>IFERROR(__xludf.DUMMYFUNCTION("""COMPUTED_VALUE"""),"BALONGPANGGANG RT 002 RW 003 BALONGPANGGANG GRESIK")</f>
        <v>BALONGPANGGANG RT 002 RW 003 BALONGPANGGANG GRESIK</v>
      </c>
      <c r="G124" s="39" t="str">
        <f>IFERROR(__xludf.DUMMYFUNCTION("""COMPUTED_VALUE"""),"MA-XI.4")</f>
        <v>MA-XI.4</v>
      </c>
      <c r="H124" s="36" t="str">
        <f>IFERROR(__xludf.DUMMYFUNCTION("""COMPUTED_VALUE"""),"B")</f>
        <v>B</v>
      </c>
      <c r="I124" s="40"/>
      <c r="J124" s="40">
        <f>IFERROR(__xludf.DUMMYFUNCTION("""COMPUTED_VALUE"""),2.0)</f>
        <v>2</v>
      </c>
      <c r="K124" s="40" t="str">
        <f>IFERROR(__xludf.DUMMYFUNCTION("""COMPUTED_VALUE"""),"2 WUSTHO D PUTRI")</f>
        <v>2 WUSTHO D PUTRI</v>
      </c>
      <c r="L124" s="41" t="str">
        <f>IFERROR(__xludf.DUMMYFUNCTION("""COMPUTED_VALUE"""),"6282257303445")</f>
        <v>6282257303445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>
        <f>IFERROR(__xludf.DUMMYFUNCTION("""COMPUTED_VALUE"""),500000.0)</f>
        <v>500000</v>
      </c>
      <c r="AC124" s="42"/>
      <c r="AD124" s="42"/>
      <c r="AE124" s="43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3">
        <f>IFERROR(__xludf.DUMMYFUNCTION("""COMPUTED_VALUE"""),500000.0)</f>
        <v>500000</v>
      </c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IFERROR(__xludf.DUMMYFUNCTION("""COMPUTED_VALUE"""),1000000.0)</f>
        <v>1000000</v>
      </c>
      <c r="BE124" s="43">
        <f>IFERROR(__xludf.DUMMYFUNCTION("""COMPUTED_VALUE"""),0.0)</f>
        <v>0</v>
      </c>
      <c r="BF124" s="44">
        <f>IFERROR(__xludf.DUMMYFUNCTION("""COMPUTED_VALUE"""),1000000.0)</f>
        <v>1000000</v>
      </c>
      <c r="BG124" s="42"/>
      <c r="BH124" s="42"/>
      <c r="BI124" s="42"/>
      <c r="BJ124" s="45"/>
      <c r="BK124" s="45"/>
      <c r="BL124" s="45"/>
      <c r="BM124" s="45"/>
      <c r="BN124" s="45"/>
      <c r="BO124" s="46"/>
    </row>
    <row r="125">
      <c r="A125" s="47">
        <f>IFERROR(__xludf.DUMMYFUNCTION("""COMPUTED_VALUE"""),124.0)</f>
        <v>124</v>
      </c>
      <c r="B125" s="48" t="str">
        <f>IFERROR(__xludf.DUMMYFUNCTION("""COMPUTED_VALUE"""),"HANI HUMAIROH ANNAFISAH")</f>
        <v>HANI HUMAIROH ANNAFISAH</v>
      </c>
      <c r="C125" s="49">
        <f>IFERROR(__xludf.DUMMYFUNCTION("""COMPUTED_VALUE"""),2.025070118E9)</f>
        <v>2025070118</v>
      </c>
      <c r="D125" s="48" t="str">
        <f>IFERROR(__xludf.DUMMYFUNCTION("""COMPUTED_VALUE"""),"M. HARUN ALWI")</f>
        <v>M. HARUN ALWI</v>
      </c>
      <c r="E125" s="48" t="str">
        <f>IFERROR(__xludf.DUMMYFUNCTION("""COMPUTED_VALUE"""),"NIKMATUN HAYATI")</f>
        <v>NIKMATUN HAYATI</v>
      </c>
      <c r="F125" s="48" t="str">
        <f>IFERROR(__xludf.DUMMYFUNCTION("""COMPUTED_VALUE"""),"PLAKARAN SOMOSARI RT 003 RW 002 KALITENGAH LAMONGAN")</f>
        <v>PLAKARAN SOMOSARI RT 003 RW 002 KALITENGAH LAMONGAN</v>
      </c>
      <c r="G125" s="49" t="str">
        <f>IFERROR(__xludf.DUMMYFUNCTION("""COMPUTED_VALUE"""),"MA-XI.3")</f>
        <v>MA-XI.3</v>
      </c>
      <c r="H125" s="47" t="str">
        <f>IFERROR(__xludf.DUMMYFUNCTION("""COMPUTED_VALUE"""),"B")</f>
        <v>B</v>
      </c>
      <c r="I125" s="51" t="str">
        <f>IFERROR(__xludf.DUMMYFUNCTION("""COMPUTED_VALUE"""),"B-7")</f>
        <v>B-7</v>
      </c>
      <c r="J125" s="51">
        <f>IFERROR(__xludf.DUMMYFUNCTION("""COMPUTED_VALUE"""),2.0)</f>
        <v>2</v>
      </c>
      <c r="K125" s="51" t="str">
        <f>IFERROR(__xludf.DUMMYFUNCTION("""COMPUTED_VALUE"""),"2 WUSTHO C PUTRI")</f>
        <v>2 WUSTHO C PUTRI</v>
      </c>
      <c r="L125" s="52" t="str">
        <f>IFERROR(__xludf.DUMMYFUNCTION("""COMPUTED_VALUE"""),"6285707627884")</f>
        <v>6285707627884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>
        <f>IFERROR(__xludf.DUMMYFUNCTION("""COMPUTED_VALUE"""),450000.0)</f>
        <v>450000</v>
      </c>
      <c r="Z125" s="53">
        <f>IFERROR(__xludf.DUMMYFUNCTION("""COMPUTED_VALUE"""),450000.0)</f>
        <v>450000</v>
      </c>
      <c r="AA125" s="53"/>
      <c r="AB125" s="53"/>
      <c r="AC125" s="53"/>
      <c r="AD125" s="53"/>
      <c r="AE125" s="54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IFERROR(__xludf.DUMMYFUNCTION("""COMPUTED_VALUE"""),0.0)</f>
        <v>0</v>
      </c>
      <c r="BE125" s="54">
        <f>IFERROR(__xludf.DUMMYFUNCTION("""COMPUTED_VALUE"""),0.0)</f>
        <v>0</v>
      </c>
      <c r="BF125" s="55">
        <f>IFERROR(__xludf.DUMMYFUNCTION("""COMPUTED_VALUE"""),900000.0)</f>
        <v>900000</v>
      </c>
      <c r="BG125" s="53"/>
      <c r="BH125" s="53"/>
      <c r="BI125" s="53"/>
      <c r="BJ125" s="45"/>
      <c r="BK125" s="45"/>
      <c r="BL125" s="45"/>
      <c r="BM125" s="45"/>
      <c r="BN125" s="45"/>
      <c r="BO125" s="46"/>
    </row>
    <row r="126">
      <c r="A126" s="36">
        <f>IFERROR(__xludf.DUMMYFUNCTION("""COMPUTED_VALUE"""),125.0)</f>
        <v>125</v>
      </c>
      <c r="B126" s="37" t="str">
        <f>IFERROR(__xludf.DUMMYFUNCTION("""COMPUTED_VALUE"""),"HANNAH DAMIA IRHAMNI")</f>
        <v>HANNAH DAMIA IRHAMNI</v>
      </c>
      <c r="C126" s="38">
        <f>IFERROR(__xludf.DUMMYFUNCTION("""COMPUTED_VALUE"""),2.025070626E9)</f>
        <v>2025070626</v>
      </c>
      <c r="D126" s="37" t="str">
        <f>IFERROR(__xludf.DUMMYFUNCTION("""COMPUTED_VALUE"""),"YUDI IRHAMNI")</f>
        <v>YUDI IRHAMNI</v>
      </c>
      <c r="E126" s="37" t="str">
        <f>IFERROR(__xludf.DUMMYFUNCTION("""COMPUTED_VALUE"""),"EVIE YAWATI")</f>
        <v>EVIE YAWATI</v>
      </c>
      <c r="F126" s="37" t="str">
        <f>IFERROR(__xludf.DUMMYFUNCTION("""COMPUTED_VALUE"""),"BANJARAN TURI RT 007 RW 002 MADURAN LAMONGAN")</f>
        <v>BANJARAN TURI RT 007 RW 002 MADURAN LAMONGAN</v>
      </c>
      <c r="G126" s="39" t="str">
        <f>IFERROR(__xludf.DUMMYFUNCTION("""COMPUTED_VALUE"""),"MTS-8 E")</f>
        <v>MTS-8 E</v>
      </c>
      <c r="H126" s="36" t="str">
        <f>IFERROR(__xludf.DUMMYFUNCTION("""COMPUTED_VALUE"""),"B")</f>
        <v>B</v>
      </c>
      <c r="I126" s="42" t="str">
        <f>IFERROR(__xludf.DUMMYFUNCTION("""COMPUTED_VALUE"""),"B-2")</f>
        <v>B-2</v>
      </c>
      <c r="J126" s="40">
        <f>IFERROR(__xludf.DUMMYFUNCTION("""COMPUTED_VALUE"""),2.0)</f>
        <v>2</v>
      </c>
      <c r="K126" s="40" t="str">
        <f>IFERROR(__xludf.DUMMYFUNCTION("""COMPUTED_VALUE"""),"2 ULA C PUTRI")</f>
        <v>2 ULA C PUTRI</v>
      </c>
      <c r="L126" s="41" t="str">
        <f>IFERROR(__xludf.DUMMYFUNCTION("""COMPUTED_VALUE"""),"6281515114494")</f>
        <v>6281515114494</v>
      </c>
      <c r="M126" s="42"/>
      <c r="N126" s="42"/>
      <c r="O126" s="42" t="str">
        <f>IFERROR(__xludf.DUMMYFUNCTION("""COMPUTED_VALUE""")," ")</f>
        <v> </v>
      </c>
      <c r="P126" s="42"/>
      <c r="Q126" s="42"/>
      <c r="R126" s="42"/>
      <c r="S126" s="43"/>
      <c r="T126" s="43"/>
      <c r="U126" s="43"/>
      <c r="V126" s="43"/>
      <c r="W126" s="43"/>
      <c r="X126" s="43"/>
      <c r="Y126" s="43"/>
      <c r="Z126" s="43"/>
      <c r="AA126" s="43"/>
      <c r="AB126" s="43">
        <f>IFERROR(__xludf.DUMMYFUNCTION("""COMPUTED_VALUE"""),500000.0)</f>
        <v>500000</v>
      </c>
      <c r="AC126" s="43"/>
      <c r="AD126" s="43"/>
      <c r="AE126" s="43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3">
        <f>IFERROR(__xludf.DUMMYFUNCTION("""COMPUTED_VALUE"""),500000.0)</f>
        <v>500000</v>
      </c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IFERROR(__xludf.DUMMYFUNCTION("""COMPUTED_VALUE"""),1000000.0)</f>
        <v>1000000</v>
      </c>
      <c r="BE126" s="43">
        <f>IFERROR(__xludf.DUMMYFUNCTION("""COMPUTED_VALUE"""),0.0)</f>
        <v>0</v>
      </c>
      <c r="BF126" s="44">
        <f>IFERROR(__xludf.DUMMYFUNCTION("""COMPUTED_VALUE"""),1000000.0)</f>
        <v>1000000</v>
      </c>
      <c r="BG126" s="42"/>
      <c r="BH126" s="42"/>
      <c r="BI126" s="42"/>
      <c r="BJ126" s="45"/>
      <c r="BK126" s="45"/>
      <c r="BL126" s="45"/>
      <c r="BM126" s="45"/>
      <c r="BN126" s="45"/>
      <c r="BO126" s="46"/>
    </row>
    <row r="127">
      <c r="A127" s="47">
        <f>IFERROR(__xludf.DUMMYFUNCTION("""COMPUTED_VALUE"""),126.0)</f>
        <v>126</v>
      </c>
      <c r="B127" s="48" t="str">
        <f>IFERROR(__xludf.DUMMYFUNCTION("""COMPUTED_VALUE"""),"HILYATUL FAIRAH")</f>
        <v>HILYATUL FAIRAH</v>
      </c>
      <c r="C127" s="49">
        <f>IFERROR(__xludf.DUMMYFUNCTION("""COMPUTED_VALUE"""),2.025070119E9)</f>
        <v>2025070119</v>
      </c>
      <c r="D127" s="48" t="str">
        <f>IFERROR(__xludf.DUMMYFUNCTION("""COMPUTED_VALUE"""),"ALFAN")</f>
        <v>ALFAN</v>
      </c>
      <c r="E127" s="48" t="str">
        <f>IFERROR(__xludf.DUMMYFUNCTION("""COMPUTED_VALUE"""),"SUNANIK NUR INAYAH")</f>
        <v>SUNANIK NUR INAYAH</v>
      </c>
      <c r="F127" s="48" t="str">
        <f>IFERROR(__xludf.DUMMYFUNCTION("""COMPUTED_VALUE"""),"MARGOREJO MARGOANYAR RT 001 RW 004 GLAGAH LAMONGAN")</f>
        <v>MARGOREJO MARGOANYAR RT 001 RW 004 GLAGAH LAMONGAN</v>
      </c>
      <c r="G127" s="49" t="str">
        <f>IFERROR(__xludf.DUMMYFUNCTION("""COMPUTED_VALUE"""),"MA-XI.13")</f>
        <v>MA-XI.13</v>
      </c>
      <c r="H127" s="47" t="str">
        <f>IFERROR(__xludf.DUMMYFUNCTION("""COMPUTED_VALUE"""),"B")</f>
        <v>B</v>
      </c>
      <c r="I127" s="51" t="str">
        <f>IFERROR(__xludf.DUMMYFUNCTION("""COMPUTED_VALUE"""),"B-7")</f>
        <v>B-7</v>
      </c>
      <c r="J127" s="51">
        <f>IFERROR(__xludf.DUMMYFUNCTION("""COMPUTED_VALUE"""),2.0)</f>
        <v>2</v>
      </c>
      <c r="K127" s="51" t="str">
        <f>IFERROR(__xludf.DUMMYFUNCTION("""COMPUTED_VALUE"""),"2 MAK PUTRI")</f>
        <v>2 MAK PUTRI</v>
      </c>
      <c r="L127" s="52" t="str">
        <f>IFERROR(__xludf.DUMMYFUNCTION("""COMPUTED_VALUE"""),"6281515855152")</f>
        <v>6281515855152</v>
      </c>
      <c r="M127" s="53">
        <f>IFERROR(__xludf.DUMMYFUNCTION("""COMPUTED_VALUE"""),600000.0)</f>
        <v>600000</v>
      </c>
      <c r="N127" s="53"/>
      <c r="O127" s="53"/>
      <c r="P127" s="53">
        <f>IFERROR(__xludf.DUMMYFUNCTION("""COMPUTED_VALUE"""),450000.0)</f>
        <v>450000</v>
      </c>
      <c r="Q127" s="53">
        <f>IFERROR(__xludf.DUMMYFUNCTION("""COMPUTED_VALUE"""),450000.0)</f>
        <v>450000</v>
      </c>
      <c r="R127" s="53">
        <f>IFERROR(__xludf.DUMMYFUNCTION("""COMPUTED_VALUE"""),450000.0)</f>
        <v>450000</v>
      </c>
      <c r="S127" s="53">
        <f>IFERROR(__xludf.DUMMYFUNCTION("""COMPUTED_VALUE"""),450000.0)</f>
        <v>450000</v>
      </c>
      <c r="T127" s="53">
        <f>IFERROR(__xludf.DUMMYFUNCTION("""COMPUTED_VALUE"""),450000.0)</f>
        <v>450000</v>
      </c>
      <c r="U127" s="53">
        <f>IFERROR(__xludf.DUMMYFUNCTION("""COMPUTED_VALUE"""),450000.0)</f>
        <v>450000</v>
      </c>
      <c r="V127" s="53">
        <f>IFERROR(__xludf.DUMMYFUNCTION("""COMPUTED_VALUE"""),450000.0)</f>
        <v>450000</v>
      </c>
      <c r="W127" s="53">
        <f>IFERROR(__xludf.DUMMYFUNCTION("""COMPUTED_VALUE"""),450000.0)</f>
        <v>450000</v>
      </c>
      <c r="X127" s="53">
        <f>IFERROR(__xludf.DUMMYFUNCTION("""COMPUTED_VALUE"""),450000.0)</f>
        <v>450000</v>
      </c>
      <c r="Y127" s="53">
        <f>IFERROR(__xludf.DUMMYFUNCTION("""COMPUTED_VALUE"""),450000.0)</f>
        <v>450000</v>
      </c>
      <c r="Z127" s="54">
        <f>IFERROR(__xludf.DUMMYFUNCTION("""COMPUTED_VALUE"""),450000.0)</f>
        <v>450000</v>
      </c>
      <c r="AA127" s="54"/>
      <c r="AB127" s="53">
        <f>IFERROR(__xludf.DUMMYFUNCTION("""COMPUTED_VALUE"""),500000.0)</f>
        <v>500000</v>
      </c>
      <c r="AC127" s="54"/>
      <c r="AD127" s="54"/>
      <c r="AE127" s="54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>
        <f>IFERROR(__xludf.DUMMYFUNCTION("""COMPUTED_VALUE"""),500000.0)</f>
        <v>500000</v>
      </c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IFERROR(__xludf.DUMMYFUNCTION("""COMPUTED_VALUE"""),4950000.0)</f>
        <v>4950000</v>
      </c>
      <c r="BD127" s="54">
        <f>IFERROR(__xludf.DUMMYFUNCTION("""COMPUTED_VALUE"""),1600000.0)</f>
        <v>1600000</v>
      </c>
      <c r="BE127" s="54">
        <f>IFERROR(__xludf.DUMMYFUNCTION("""COMPUTED_VALUE"""),0.0)</f>
        <v>0</v>
      </c>
      <c r="BF127" s="55">
        <f>IFERROR(__xludf.DUMMYFUNCTION("""COMPUTED_VALUE"""),6550000.0)</f>
        <v>6550000</v>
      </c>
      <c r="BG127" s="53"/>
      <c r="BH127" s="53"/>
      <c r="BI127" s="53"/>
      <c r="BJ127" s="45"/>
      <c r="BK127" s="45"/>
      <c r="BL127" s="45"/>
      <c r="BM127" s="45"/>
      <c r="BN127" s="45"/>
      <c r="BO127" s="46"/>
    </row>
    <row r="128">
      <c r="A128" s="36">
        <f>IFERROR(__xludf.DUMMYFUNCTION("""COMPUTED_VALUE"""),127.0)</f>
        <v>127</v>
      </c>
      <c r="B128" s="37" t="str">
        <f>IFERROR(__xludf.DUMMYFUNCTION("""COMPUTED_VALUE"""),"INDAH MARTHA NUR AINI")</f>
        <v>INDAH MARTHA NUR AINI</v>
      </c>
      <c r="C128" s="38">
        <f>IFERROR(__xludf.DUMMYFUNCTION("""COMPUTED_VALUE"""),2.025070468E9)</f>
        <v>2025070468</v>
      </c>
      <c r="D128" s="37" t="str">
        <f>IFERROR(__xludf.DUMMYFUNCTION("""COMPUTED_VALUE"""),"SUKAMTO")</f>
        <v>SUKAMTO</v>
      </c>
      <c r="E128" s="37" t="str">
        <f>IFERROR(__xludf.DUMMYFUNCTION("""COMPUTED_VALUE"""),"SUMARMI")</f>
        <v>SUMARMI</v>
      </c>
      <c r="F128" s="37" t="str">
        <f>IFERROR(__xludf.DUMMYFUNCTION("""COMPUTED_VALUE"""),"VETERAN GANG KAMBOJA JETIS RT 004 RW 003 LAMONGAN LAMONGAN")</f>
        <v>VETERAN GANG KAMBOJA JETIS RT 004 RW 003 LAMONGAN LAMONGAN</v>
      </c>
      <c r="G128" s="39" t="str">
        <f>IFERROR(__xludf.DUMMYFUNCTION("""COMPUTED_VALUE"""),"SMP-VIII A")</f>
        <v>SMP-VIII A</v>
      </c>
      <c r="H128" s="36" t="str">
        <f>IFERROR(__xludf.DUMMYFUNCTION("""COMPUTED_VALUE"""),"B")</f>
        <v>B</v>
      </c>
      <c r="I128" s="40" t="str">
        <f>IFERROR(__xludf.DUMMYFUNCTION("""COMPUTED_VALUE"""),"B-3")</f>
        <v>B-3</v>
      </c>
      <c r="J128" s="40">
        <f>IFERROR(__xludf.DUMMYFUNCTION("""COMPUTED_VALUE"""),2.0)</f>
        <v>2</v>
      </c>
      <c r="K128" s="40" t="str">
        <f>IFERROR(__xludf.DUMMYFUNCTION("""COMPUTED_VALUE"""),"2 ULA A PUTRI")</f>
        <v>2 ULA A PUTRI</v>
      </c>
      <c r="L128" s="41" t="str">
        <f>IFERROR(__xludf.DUMMYFUNCTION("""COMPUTED_VALUE"""),"62895603864010")</f>
        <v>62895603864010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3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3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42"/>
      <c r="BH128" s="42"/>
      <c r="BI128" s="42"/>
      <c r="BJ128" s="45"/>
      <c r="BK128" s="45"/>
      <c r="BL128" s="45"/>
      <c r="BM128" s="45"/>
      <c r="BN128" s="45"/>
      <c r="BO128" s="46"/>
    </row>
    <row r="129">
      <c r="A129" s="47">
        <f>IFERROR(__xludf.DUMMYFUNCTION("""COMPUTED_VALUE"""),128.0)</f>
        <v>128</v>
      </c>
      <c r="B129" s="48" t="str">
        <f>IFERROR(__xludf.DUMMYFUNCTION("""COMPUTED_VALUE"""),"INTAN TIFFAH KURNIA ARIF")</f>
        <v>INTAN TIFFAH KURNIA ARIF</v>
      </c>
      <c r="C129" s="49">
        <f>IFERROR(__xludf.DUMMYFUNCTION("""COMPUTED_VALUE"""),2.025070276E9)</f>
        <v>2025070276</v>
      </c>
      <c r="D129" s="48" t="str">
        <f>IFERROR(__xludf.DUMMYFUNCTION("""COMPUTED_VALUE"""),"SYAIFUL ARIF")</f>
        <v>SYAIFUL ARIF</v>
      </c>
      <c r="E129" s="48" t="str">
        <f>IFERROR(__xludf.DUMMYFUNCTION("""COMPUTED_VALUE"""),"MUHAIMINAH")</f>
        <v>MUHAIMINAH</v>
      </c>
      <c r="F129" s="48" t="str">
        <f>IFERROR(__xludf.DUMMYFUNCTION("""COMPUTED_VALUE"""),"WARUK RT 003 RW 002 KARANGBINANGUN LAMONGAN")</f>
        <v>WARUK RT 003 RW 002 KARANGBINANGUN LAMONGAN</v>
      </c>
      <c r="G129" s="50" t="str">
        <f>IFERROR(__xludf.DUMMYFUNCTION("""COMPUTED_VALUE"""),"MA-XI.11")</f>
        <v>MA-XI.11</v>
      </c>
      <c r="H129" s="47" t="str">
        <f>IFERROR(__xludf.DUMMYFUNCTION("""COMPUTED_VALUE"""),"B")</f>
        <v>B</v>
      </c>
      <c r="I129" s="51" t="str">
        <f>IFERROR(__xludf.DUMMYFUNCTION("""COMPUTED_VALUE"""),"B-1")</f>
        <v>B-1</v>
      </c>
      <c r="J129" s="51">
        <f>IFERROR(__xludf.DUMMYFUNCTION("""COMPUTED_VALUE"""),2.0)</f>
        <v>2</v>
      </c>
      <c r="K129" s="51" t="str">
        <f>IFERROR(__xludf.DUMMYFUNCTION("""COMPUTED_VALUE"""),"2 WUSTHO C PUTRI")</f>
        <v>2 WUSTHO C PUTRI</v>
      </c>
      <c r="L129" s="52" t="str">
        <f>IFERROR(__xludf.DUMMYFUNCTION("""COMPUTED_VALUE"""),"6285731326025")</f>
        <v>6285731326025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4">
        <f>IFERROR(__xludf.DUMMYFUNCTION("""COMPUTED_VALUE"""),500000.0)</f>
        <v>500000</v>
      </c>
      <c r="AC129" s="54"/>
      <c r="AD129" s="54"/>
      <c r="AE129" s="54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4">
        <f>IFERROR(__xludf.DUMMYFUNCTION("""COMPUTED_VALUE"""),500000.0)</f>
        <v>500000</v>
      </c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IFERROR(__xludf.DUMMYFUNCTION("""COMPUTED_VALUE"""),1000000.0)</f>
        <v>1000000</v>
      </c>
      <c r="BE129" s="54">
        <f>IFERROR(__xludf.DUMMYFUNCTION("""COMPUTED_VALUE"""),0.0)</f>
        <v>0</v>
      </c>
      <c r="BF129" s="55">
        <f>IFERROR(__xludf.DUMMYFUNCTION("""COMPUTED_VALUE"""),1000000.0)</f>
        <v>1000000</v>
      </c>
      <c r="BG129" s="53"/>
      <c r="BH129" s="53"/>
      <c r="BI129" s="53"/>
      <c r="BJ129" s="45"/>
      <c r="BK129" s="45"/>
      <c r="BL129" s="45"/>
      <c r="BM129" s="45"/>
      <c r="BN129" s="45"/>
      <c r="BO129" s="46"/>
    </row>
    <row r="130">
      <c r="A130" s="36">
        <f>IFERROR(__xludf.DUMMYFUNCTION("""COMPUTED_VALUE"""),129.0)</f>
        <v>129</v>
      </c>
      <c r="B130" s="37" t="str">
        <f>IFERROR(__xludf.DUMMYFUNCTION("""COMPUTED_VALUE"""),"ISTNA NOUR SHAUMI RAMADHANI")</f>
        <v>ISTNA NOUR SHAUMI RAMADHANI</v>
      </c>
      <c r="C130" s="38">
        <f>IFERROR(__xludf.DUMMYFUNCTION("""COMPUTED_VALUE"""),2.025070484E9)</f>
        <v>2025070484</v>
      </c>
      <c r="D130" s="37" t="str">
        <f>IFERROR(__xludf.DUMMYFUNCTION("""COMPUTED_VALUE"""),"M. RUKUN SUPRANATA")</f>
        <v>M. RUKUN SUPRANATA</v>
      </c>
      <c r="E130" s="37" t="str">
        <f>IFERROR(__xludf.DUMMYFUNCTION("""COMPUTED_VALUE"""),"SULASTRI")</f>
        <v>SULASTRI</v>
      </c>
      <c r="F130" s="37" t="str">
        <f>IFERROR(__xludf.DUMMYFUNCTION("""COMPUTED_VALUE"""),"TIWET RT 001 RW 001 KALITENGAH LAMONGAN")</f>
        <v>TIWET RT 001 RW 001 KALITENGAH LAMONGAN</v>
      </c>
      <c r="G130" s="38" t="str">
        <f>IFERROR(__xludf.DUMMYFUNCTION("""COMPUTED_VALUE"""),"SMP-VIII B")</f>
        <v>SMP-VIII B</v>
      </c>
      <c r="H130" s="36" t="str">
        <f>IFERROR(__xludf.DUMMYFUNCTION("""COMPUTED_VALUE"""),"B")</f>
        <v>B</v>
      </c>
      <c r="I130" s="40" t="str">
        <f>IFERROR(__xludf.DUMMYFUNCTION("""COMPUTED_VALUE"""),"B-10")</f>
        <v>B-10</v>
      </c>
      <c r="J130" s="40">
        <f>IFERROR(__xludf.DUMMYFUNCTION("""COMPUTED_VALUE"""),2.0)</f>
        <v>2</v>
      </c>
      <c r="K130" s="40" t="str">
        <f>IFERROR(__xludf.DUMMYFUNCTION("""COMPUTED_VALUE"""),"2 ULA C PUTRI")</f>
        <v>2 ULA C PUTRI</v>
      </c>
      <c r="L130" s="41" t="str">
        <f>IFERROR(__xludf.DUMMYFUNCTION("""COMPUTED_VALUE"""),"6289530455849")</f>
        <v>6289530455849</v>
      </c>
      <c r="M130" s="42">
        <f>IFERROR(__xludf.DUMMYFUNCTION("""COMPUTED_VALUE"""),600000.0)</f>
        <v>600000</v>
      </c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3">
        <f>IFERROR(__xludf.DUMMYFUNCTION("""COMPUTED_VALUE"""),500000.0)</f>
        <v>500000</v>
      </c>
      <c r="AC130" s="42"/>
      <c r="AD130" s="43"/>
      <c r="AE130" s="43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3">
        <f>IFERROR(__xludf.DUMMYFUNCTION("""COMPUTED_VALUE"""),500000.0)</f>
        <v>500000</v>
      </c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IFERROR(__xludf.DUMMYFUNCTION("""COMPUTED_VALUE"""),1600000.0)</f>
        <v>1600000</v>
      </c>
      <c r="BE130" s="43">
        <f>IFERROR(__xludf.DUMMYFUNCTION("""COMPUTED_VALUE"""),0.0)</f>
        <v>0</v>
      </c>
      <c r="BF130" s="44">
        <f>IFERROR(__xludf.DUMMYFUNCTION("""COMPUTED_VALUE"""),1600000.0)</f>
        <v>1600000</v>
      </c>
      <c r="BG130" s="42"/>
      <c r="BH130" s="42"/>
      <c r="BI130" s="42"/>
      <c r="BJ130" s="45"/>
      <c r="BK130" s="45"/>
      <c r="BL130" s="45"/>
      <c r="BM130" s="45"/>
      <c r="BN130" s="45"/>
      <c r="BO130" s="46"/>
    </row>
    <row r="131">
      <c r="A131" s="47">
        <f>IFERROR(__xludf.DUMMYFUNCTION("""COMPUTED_VALUE"""),130.0)</f>
        <v>130</v>
      </c>
      <c r="B131" s="48" t="str">
        <f>IFERROR(__xludf.DUMMYFUNCTION("""COMPUTED_VALUE"""),"JANUARIS AZKA GUMAISHA SAPUTRI")</f>
        <v>JANUARIS AZKA GUMAISHA SAPUTRI</v>
      </c>
      <c r="C131" s="49">
        <f>IFERROR(__xludf.DUMMYFUNCTION("""COMPUTED_VALUE"""),2.02507009E9)</f>
        <v>2025070090</v>
      </c>
      <c r="D131" s="48" t="str">
        <f>IFERROR(__xludf.DUMMYFUNCTION("""COMPUTED_VALUE"""),"NARIP SAPUTRO")</f>
        <v>NARIP SAPUTRO</v>
      </c>
      <c r="E131" s="48" t="str">
        <f>IFERROR(__xludf.DUMMYFUNCTION("""COMPUTED_VALUE"""),"ENIK ULIYATIN")</f>
        <v>ENIK ULIYATIN</v>
      </c>
      <c r="F131" s="48" t="str">
        <f>IFERROR(__xludf.DUMMYFUNCTION("""COMPUTED_VALUE"""),"TEJOASRI RT 003 RW 004 LAREN LAMONGAN")</f>
        <v>TEJOASRI RT 003 RW 004 LAREN LAMONGAN</v>
      </c>
      <c r="G131" s="49" t="str">
        <f>IFERROR(__xludf.DUMMYFUNCTION("""COMPUTED_VALUE"""),"MA-XI.2")</f>
        <v>MA-XI.2</v>
      </c>
      <c r="H131" s="47" t="str">
        <f>IFERROR(__xludf.DUMMYFUNCTION("""COMPUTED_VALUE"""),"B")</f>
        <v>B</v>
      </c>
      <c r="I131" s="51" t="str">
        <f>IFERROR(__xludf.DUMMYFUNCTION("""COMPUTED_VALUE"""),"B-10")</f>
        <v>B-10</v>
      </c>
      <c r="J131" s="51">
        <f>IFERROR(__xludf.DUMMYFUNCTION("""COMPUTED_VALUE"""),2.0)</f>
        <v>2</v>
      </c>
      <c r="K131" s="51" t="str">
        <f>IFERROR(__xludf.DUMMYFUNCTION("""COMPUTED_VALUE"""),"2 WUSTHO B PUTRI")</f>
        <v>2 WUSTHO B PUTRI</v>
      </c>
      <c r="L131" s="52" t="str">
        <f>IFERROR(__xludf.DUMMYFUNCTION("""COMPUTED_VALUE"""),"6282141394371")</f>
        <v>6282141394371</v>
      </c>
      <c r="M131" s="53"/>
      <c r="N131" s="53"/>
      <c r="O131" s="53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4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IFERROR(__xludf.DUMMYFUNCTION("""COMPUTED_VALUE"""),0.0)</f>
        <v>0</v>
      </c>
      <c r="BD131" s="54">
        <f>IFERROR(__xludf.DUMMYFUNCTION("""COMPUTED_VALUE"""),0.0)</f>
        <v>0</v>
      </c>
      <c r="BE131" s="54">
        <f>IFERROR(__xludf.DUMMYFUNCTION("""COMPUTED_VALUE"""),0.0)</f>
        <v>0</v>
      </c>
      <c r="BF131" s="55">
        <f>IFERROR(__xludf.DUMMYFUNCTION("""COMPUTED_VALUE"""),0.0)</f>
        <v>0</v>
      </c>
      <c r="BG131" s="53"/>
      <c r="BH131" s="53"/>
      <c r="BI131" s="53"/>
      <c r="BJ131" s="45"/>
      <c r="BK131" s="45"/>
      <c r="BL131" s="45"/>
      <c r="BM131" s="45"/>
      <c r="BN131" s="45"/>
      <c r="BO131" s="46"/>
    </row>
    <row r="132">
      <c r="A132" s="36">
        <f>IFERROR(__xludf.DUMMYFUNCTION("""COMPUTED_VALUE"""),131.0)</f>
        <v>131</v>
      </c>
      <c r="B132" s="37" t="str">
        <f>IFERROR(__xludf.DUMMYFUNCTION("""COMPUTED_VALUE"""),"LAESYTAH AGGUSTINA RAMADHANI")</f>
        <v>LAESYTAH AGGUSTINA RAMADHANI</v>
      </c>
      <c r="C132" s="38">
        <f>IFERROR(__xludf.DUMMYFUNCTION("""COMPUTED_VALUE"""),2.025070005E9)</f>
        <v>2025070005</v>
      </c>
      <c r="D132" s="37" t="str">
        <f>IFERROR(__xludf.DUMMYFUNCTION("""COMPUTED_VALUE"""),"AL MUTA`IN")</f>
        <v>AL MUTA`IN</v>
      </c>
      <c r="E132" s="37" t="str">
        <f>IFERROR(__xludf.DUMMYFUNCTION("""COMPUTED_VALUE"""),"LILIK ZUBAIDAH")</f>
        <v>LILIK ZUBAIDAH</v>
      </c>
      <c r="F132" s="37" t="str">
        <f>IFERROR(__xludf.DUMMYFUNCTION("""COMPUTED_VALUE"""),"TAKERHARJO RT 002 RW 003 SOLOKURO LAMONGAN")</f>
        <v>TAKERHARJO RT 002 RW 003 SOLOKURO LAMONGAN</v>
      </c>
      <c r="G132" s="39" t="str">
        <f>IFERROR(__xludf.DUMMYFUNCTION("""COMPUTED_VALUE"""),"MA-XI.2")</f>
        <v>MA-XI.2</v>
      </c>
      <c r="H132" s="36" t="str">
        <f>IFERROR(__xludf.DUMMYFUNCTION("""COMPUTED_VALUE"""),"B")</f>
        <v>B</v>
      </c>
      <c r="I132" s="40" t="str">
        <f>IFERROR(__xludf.DUMMYFUNCTION("""COMPUTED_VALUE"""),"B-1")</f>
        <v>B-1</v>
      </c>
      <c r="J132" s="40">
        <f>IFERROR(__xludf.DUMMYFUNCTION("""COMPUTED_VALUE"""),2.0)</f>
        <v>2</v>
      </c>
      <c r="K132" s="40" t="str">
        <f>IFERROR(__xludf.DUMMYFUNCTION("""COMPUTED_VALUE"""),"2 WUSTHO C PUTRI")</f>
        <v>2 WUSTHO C PUTRI</v>
      </c>
      <c r="L132" s="41" t="str">
        <f>IFERROR(__xludf.DUMMYFUNCTION("""COMPUTED_VALUE"""),"6285854669977")</f>
        <v>6285854669977</v>
      </c>
      <c r="M132" s="42"/>
      <c r="N132" s="42"/>
      <c r="O132" s="42"/>
      <c r="P132" s="42"/>
      <c r="Q132" s="42"/>
      <c r="R132" s="42"/>
      <c r="S132" s="42"/>
      <c r="T132" s="42"/>
      <c r="U132" s="42">
        <f>IFERROR(__xludf.DUMMYFUNCTION("""COMPUTED_VALUE"""),450000.0)</f>
        <v>450000</v>
      </c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/>
      <c r="AB132" s="42">
        <f>IFERROR(__xludf.DUMMYFUNCTION("""COMPUTED_VALUE"""),500000.0)</f>
        <v>500000</v>
      </c>
      <c r="AC132" s="42"/>
      <c r="AD132" s="42"/>
      <c r="AE132" s="43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3">
        <f>IFERROR(__xludf.DUMMYFUNCTION("""COMPUTED_VALUE"""),500000.0)</f>
        <v>500000</v>
      </c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IFERROR(__xludf.DUMMYFUNCTION("""COMPUTED_VALUE"""),2700000.0)</f>
        <v>2700000</v>
      </c>
      <c r="BD132" s="43">
        <f>IFERROR(__xludf.DUMMYFUNCTION("""COMPUTED_VALUE"""),1000000.0)</f>
        <v>1000000</v>
      </c>
      <c r="BE132" s="43">
        <f>IFERROR(__xludf.DUMMYFUNCTION("""COMPUTED_VALUE"""),0.0)</f>
        <v>0</v>
      </c>
      <c r="BF132" s="44">
        <f>IFERROR(__xludf.DUMMYFUNCTION("""COMPUTED_VALUE"""),3700000.0)</f>
        <v>3700000</v>
      </c>
      <c r="BG132" s="42"/>
      <c r="BH132" s="42"/>
      <c r="BI132" s="42"/>
      <c r="BJ132" s="45"/>
      <c r="BK132" s="45"/>
      <c r="BL132" s="45"/>
      <c r="BM132" s="45"/>
      <c r="BN132" s="45"/>
      <c r="BO132" s="46"/>
    </row>
    <row r="133">
      <c r="A133" s="47">
        <f>IFERROR(__xludf.DUMMYFUNCTION("""COMPUTED_VALUE"""),132.0)</f>
        <v>132</v>
      </c>
      <c r="B133" s="48" t="str">
        <f>IFERROR(__xludf.DUMMYFUNCTION("""COMPUTED_VALUE"""),"MAKAYLA SAFIRA DWINATASYA")</f>
        <v>MAKAYLA SAFIRA DWINATASYA</v>
      </c>
      <c r="C133" s="49">
        <f>IFERROR(__xludf.DUMMYFUNCTION("""COMPUTED_VALUE"""),2.025070125E9)</f>
        <v>2025070125</v>
      </c>
      <c r="D133" s="48" t="str">
        <f>IFERROR(__xludf.DUMMYFUNCTION("""COMPUTED_VALUE"""),"ZAINAL ABIDIN")</f>
        <v>ZAINAL ABIDIN</v>
      </c>
      <c r="E133" s="48" t="str">
        <f>IFERROR(__xludf.DUMMYFUNCTION("""COMPUTED_VALUE"""),"SUN`IYAH")</f>
        <v>SUN`IYAH</v>
      </c>
      <c r="F133" s="48" t="str">
        <f>IFERROR(__xludf.DUMMYFUNCTION("""COMPUTED_VALUE"""),"KURO RT 002 RW 001 KARANGBINANGUN LAMONGAN")</f>
        <v>KURO RT 002 RW 001 KARANGBINANGUN LAMONGAN</v>
      </c>
      <c r="G133" s="50" t="str">
        <f>IFERROR(__xludf.DUMMYFUNCTION("""COMPUTED_VALUE"""),"MA-XI.11")</f>
        <v>MA-XI.11</v>
      </c>
      <c r="H133" s="47" t="str">
        <f>IFERROR(__xludf.DUMMYFUNCTION("""COMPUTED_VALUE"""),"B")</f>
        <v>B</v>
      </c>
      <c r="I133" s="51" t="str">
        <f>IFERROR(__xludf.DUMMYFUNCTION("""COMPUTED_VALUE"""),"B-1")</f>
        <v>B-1</v>
      </c>
      <c r="J133" s="51">
        <f>IFERROR(__xludf.DUMMYFUNCTION("""COMPUTED_VALUE"""),2.0)</f>
        <v>2</v>
      </c>
      <c r="K133" s="51" t="str">
        <f>IFERROR(__xludf.DUMMYFUNCTION("""COMPUTED_VALUE"""),"2 WUSTHO D PUTRI")</f>
        <v>2 WUSTHO D PUTRI</v>
      </c>
      <c r="L133" s="52" t="str">
        <f>IFERROR(__xludf.DUMMYFUNCTION("""COMPUTED_VALUE"""),"6285853252042")</f>
        <v>6285853252042</v>
      </c>
      <c r="M133" s="54"/>
      <c r="N133" s="54"/>
      <c r="O133" s="53"/>
      <c r="P133" s="54"/>
      <c r="Q133" s="54"/>
      <c r="R133" s="54"/>
      <c r="S133" s="54"/>
      <c r="T133" s="54"/>
      <c r="U133" s="54"/>
      <c r="V133" s="54"/>
      <c r="W133" s="54"/>
      <c r="X133" s="54">
        <f>IFERROR(__xludf.DUMMYFUNCTION("""COMPUTED_VALUE"""),450000.0)</f>
        <v>450000</v>
      </c>
      <c r="Y133" s="54">
        <f>IFERROR(__xludf.DUMMYFUNCTION("""COMPUTED_VALUE"""),450000.0)</f>
        <v>450000</v>
      </c>
      <c r="Z133" s="54">
        <f>IFERROR(__xludf.DUMMYFUNCTION("""COMPUTED_VALUE"""),450000.0)</f>
        <v>450000</v>
      </c>
      <c r="AA133" s="54"/>
      <c r="AB133" s="54">
        <f>IFERROR(__xludf.DUMMYFUNCTION("""COMPUTED_VALUE"""),500000.0)</f>
        <v>500000</v>
      </c>
      <c r="AC133" s="54"/>
      <c r="AD133" s="54"/>
      <c r="AE133" s="54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>
        <f>IFERROR(__xludf.DUMMYFUNCTION("""COMPUTED_VALUE"""),500000.0)</f>
        <v>500000</v>
      </c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IFERROR(__xludf.DUMMYFUNCTION("""COMPUTED_VALUE"""),1350000.0)</f>
        <v>1350000</v>
      </c>
      <c r="BD133" s="54">
        <f>IFERROR(__xludf.DUMMYFUNCTION("""COMPUTED_VALUE"""),1000000.0)</f>
        <v>1000000</v>
      </c>
      <c r="BE133" s="54">
        <f>IFERROR(__xludf.DUMMYFUNCTION("""COMPUTED_VALUE"""),0.0)</f>
        <v>0</v>
      </c>
      <c r="BF133" s="55">
        <f>IFERROR(__xludf.DUMMYFUNCTION("""COMPUTED_VALUE"""),2350000.0)</f>
        <v>2350000</v>
      </c>
      <c r="BG133" s="53"/>
      <c r="BH133" s="53"/>
      <c r="BI133" s="53"/>
      <c r="BJ133" s="45"/>
      <c r="BK133" s="45"/>
      <c r="BL133" s="45"/>
      <c r="BM133" s="45"/>
      <c r="BN133" s="45"/>
      <c r="BO133" s="46"/>
    </row>
    <row r="134">
      <c r="A134" s="36">
        <f>IFERROR(__xludf.DUMMYFUNCTION("""COMPUTED_VALUE"""),133.0)</f>
        <v>133</v>
      </c>
      <c r="B134" s="37" t="str">
        <f>IFERROR(__xludf.DUMMYFUNCTION("""COMPUTED_VALUE"""),"MANOHARA GENDHIS FAROKHA")</f>
        <v>MANOHARA GENDHIS FAROKHA</v>
      </c>
      <c r="C134" s="38">
        <f>IFERROR(__xludf.DUMMYFUNCTION("""COMPUTED_VALUE"""),2.025070204E9)</f>
        <v>2025070204</v>
      </c>
      <c r="D134" s="37" t="str">
        <f>IFERROR(__xludf.DUMMYFUNCTION("""COMPUTED_VALUE"""),"KADIR")</f>
        <v>KADIR</v>
      </c>
      <c r="E134" s="37" t="str">
        <f>IFERROR(__xludf.DUMMYFUNCTION("""COMPUTED_VALUE"""),"MUNINGSIH")</f>
        <v>MUNINGSIH</v>
      </c>
      <c r="F134" s="37" t="str">
        <f>IFERROR(__xludf.DUMMYFUNCTION("""COMPUTED_VALUE"""),"KUDON MADULEGI RT 001 RW 002 SUKODADI LAMONGAN")</f>
        <v>KUDON MADULEGI RT 001 RW 002 SUKODADI LAMONGAN</v>
      </c>
      <c r="G134" s="39" t="str">
        <f>IFERROR(__xludf.DUMMYFUNCTION("""COMPUTED_VALUE"""),"MA-XI.5")</f>
        <v>MA-XI.5</v>
      </c>
      <c r="H134" s="36" t="str">
        <f>IFERROR(__xludf.DUMMYFUNCTION("""COMPUTED_VALUE"""),"B")</f>
        <v>B</v>
      </c>
      <c r="I134" s="40" t="str">
        <f>IFERROR(__xludf.DUMMYFUNCTION("""COMPUTED_VALUE"""),"B-1")</f>
        <v>B-1</v>
      </c>
      <c r="J134" s="40">
        <f>IFERROR(__xludf.DUMMYFUNCTION("""COMPUTED_VALUE"""),2.0)</f>
        <v>2</v>
      </c>
      <c r="K134" s="40" t="str">
        <f>IFERROR(__xludf.DUMMYFUNCTION("""COMPUTED_VALUE"""),"2 WUSTHO C PUTRI")</f>
        <v>2 WUSTHO C PUTRI</v>
      </c>
      <c r="L134" s="39" t="str">
        <f>IFERROR(__xludf.DUMMYFUNCTION("""COMPUTED_VALUE"""),"6285632444976")</f>
        <v>6285632444976</v>
      </c>
      <c r="M134" s="42">
        <f>IFERROR(__xludf.DUMMYFUNCTION("""COMPUTED_VALUE"""),600000.0)</f>
        <v>600000</v>
      </c>
      <c r="N134" s="42"/>
      <c r="O134" s="42"/>
      <c r="P134" s="42"/>
      <c r="Q134" s="42"/>
      <c r="R134" s="42"/>
      <c r="S134" s="42"/>
      <c r="T134" s="43"/>
      <c r="U134" s="43"/>
      <c r="V134" s="43"/>
      <c r="W134" s="43"/>
      <c r="X134" s="43"/>
      <c r="Y134" s="43"/>
      <c r="Z134" s="43">
        <f>IFERROR(__xludf.DUMMYFUNCTION("""COMPUTED_VALUE"""),450000.0)</f>
        <v>450000</v>
      </c>
      <c r="AA134" s="43"/>
      <c r="AB134" s="43">
        <f>IFERROR(__xludf.DUMMYFUNCTION("""COMPUTED_VALUE"""),500000.0)</f>
        <v>500000</v>
      </c>
      <c r="AC134" s="43"/>
      <c r="AD134" s="43"/>
      <c r="AE134" s="43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3">
        <f>IFERROR(__xludf.DUMMYFUNCTION("""COMPUTED_VALUE"""),500000.0)</f>
        <v>500000</v>
      </c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IFERROR(__xludf.DUMMYFUNCTION("""COMPUTED_VALUE"""),450000.0)</f>
        <v>450000</v>
      </c>
      <c r="BD134" s="43">
        <f>IFERROR(__xludf.DUMMYFUNCTION("""COMPUTED_VALUE"""),1600000.0)</f>
        <v>1600000</v>
      </c>
      <c r="BE134" s="43">
        <f>IFERROR(__xludf.DUMMYFUNCTION("""COMPUTED_VALUE"""),0.0)</f>
        <v>0</v>
      </c>
      <c r="BF134" s="44">
        <f>IFERROR(__xludf.DUMMYFUNCTION("""COMPUTED_VALUE"""),2050000.0)</f>
        <v>2050000</v>
      </c>
      <c r="BG134" s="42"/>
      <c r="BH134" s="42"/>
      <c r="BI134" s="42"/>
      <c r="BJ134" s="45"/>
      <c r="BK134" s="45"/>
      <c r="BL134" s="45"/>
      <c r="BM134" s="45"/>
      <c r="BN134" s="45"/>
      <c r="BO134" s="46"/>
    </row>
    <row r="135">
      <c r="A135" s="47">
        <f>IFERROR(__xludf.DUMMYFUNCTION("""COMPUTED_VALUE"""),134.0)</f>
        <v>134</v>
      </c>
      <c r="B135" s="48" t="str">
        <f>IFERROR(__xludf.DUMMYFUNCTION("""COMPUTED_VALUE"""),"MAULIDA BIMILATI ZAKIYAH")</f>
        <v>MAULIDA BIMILATI ZAKIYAH</v>
      </c>
      <c r="C135" s="49">
        <f>IFERROR(__xludf.DUMMYFUNCTION("""COMPUTED_VALUE"""),2.025070074E9)</f>
        <v>2025070074</v>
      </c>
      <c r="D135" s="48" t="str">
        <f>IFERROR(__xludf.DUMMYFUNCTION("""COMPUTED_VALUE"""),"SENADIANTO")</f>
        <v>SENADIANTO</v>
      </c>
      <c r="E135" s="48" t="str">
        <f>IFERROR(__xludf.DUMMYFUNCTION("""COMPUTED_VALUE"""),"ANIFAH")</f>
        <v>ANIFAH</v>
      </c>
      <c r="F135" s="48" t="str">
        <f>IFERROR(__xludf.DUMMYFUNCTION("""COMPUTED_VALUE"""),"WIDE SENDANGHARJO RT 003 RW 002 BRONDONG LAMONGAN")</f>
        <v>WIDE SENDANGHARJO RT 003 RW 002 BRONDONG LAMONGAN</v>
      </c>
      <c r="G135" s="50" t="str">
        <f>IFERROR(__xludf.DUMMYFUNCTION("""COMPUTED_VALUE"""),"MA-XI.4")</f>
        <v>MA-XI.4</v>
      </c>
      <c r="H135" s="47" t="str">
        <f>IFERROR(__xludf.DUMMYFUNCTION("""COMPUTED_VALUE"""),"B")</f>
        <v>B</v>
      </c>
      <c r="I135" s="51" t="str">
        <f>IFERROR(__xludf.DUMMYFUNCTION("""COMPUTED_VALUE"""),"B-1")</f>
        <v>B-1</v>
      </c>
      <c r="J135" s="51">
        <f>IFERROR(__xludf.DUMMYFUNCTION("""COMPUTED_VALUE"""),2.0)</f>
        <v>2</v>
      </c>
      <c r="K135" s="51" t="str">
        <f>IFERROR(__xludf.DUMMYFUNCTION("""COMPUTED_VALUE"""),"2 WUSTHO C PUTRI")</f>
        <v>2 WUSTHO C PUTRI</v>
      </c>
      <c r="L135" s="52" t="str">
        <f>IFERROR(__xludf.DUMMYFUNCTION("""COMPUTED_VALUE"""),"6285606172880")</f>
        <v>6285606172880</v>
      </c>
      <c r="M135" s="53"/>
      <c r="N135" s="53"/>
      <c r="O135" s="53"/>
      <c r="P135" s="53"/>
      <c r="Q135" s="53"/>
      <c r="R135" s="54"/>
      <c r="S135" s="54"/>
      <c r="T135" s="54"/>
      <c r="U135" s="54"/>
      <c r="V135" s="54"/>
      <c r="W135" s="54"/>
      <c r="X135" s="54"/>
      <c r="Y135" s="54"/>
      <c r="Z135" s="54"/>
      <c r="AA135" s="53"/>
      <c r="AB135" s="54">
        <f>IFERROR(__xludf.DUMMYFUNCTION("""COMPUTED_VALUE"""),500000.0)</f>
        <v>500000</v>
      </c>
      <c r="AC135" s="54"/>
      <c r="AD135" s="54"/>
      <c r="AE135" s="54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4">
        <f>IFERROR(__xludf.DUMMYFUNCTION("""COMPUTED_VALUE"""),500000.0)</f>
        <v>500000</v>
      </c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IFERROR(__xludf.DUMMYFUNCTION("""COMPUTED_VALUE"""),1000000.0)</f>
        <v>1000000</v>
      </c>
      <c r="BE135" s="54">
        <f>IFERROR(__xludf.DUMMYFUNCTION("""COMPUTED_VALUE"""),0.0)</f>
        <v>0</v>
      </c>
      <c r="BF135" s="55">
        <f>IFERROR(__xludf.DUMMYFUNCTION("""COMPUTED_VALUE"""),1000000.0)</f>
        <v>1000000</v>
      </c>
      <c r="BG135" s="53"/>
      <c r="BH135" s="53"/>
      <c r="BI135" s="53"/>
      <c r="BJ135" s="45"/>
      <c r="BK135" s="45"/>
      <c r="BL135" s="45"/>
      <c r="BM135" s="45"/>
      <c r="BN135" s="45"/>
      <c r="BO135" s="46"/>
    </row>
    <row r="136">
      <c r="A136" s="36">
        <f>IFERROR(__xludf.DUMMYFUNCTION("""COMPUTED_VALUE"""),135.0)</f>
        <v>135</v>
      </c>
      <c r="B136" s="37" t="str">
        <f>IFERROR(__xludf.DUMMYFUNCTION("""COMPUTED_VALUE"""),"MILLATUN THOYIBAH")</f>
        <v>MILLATUN THOYIBAH</v>
      </c>
      <c r="C136" s="38">
        <f>IFERROR(__xludf.DUMMYFUNCTION("""COMPUTED_VALUE"""),2.025070221E9)</f>
        <v>2025070221</v>
      </c>
      <c r="D136" s="37" t="str">
        <f>IFERROR(__xludf.DUMMYFUNCTION("""COMPUTED_VALUE"""),"MASYHADI")</f>
        <v>MASYHADI</v>
      </c>
      <c r="E136" s="37" t="str">
        <f>IFERROR(__xludf.DUMMYFUNCTION("""COMPUTED_VALUE"""),"SITI KHODIJAH")</f>
        <v>SITI KHODIJAH</v>
      </c>
      <c r="F136" s="37" t="str">
        <f>IFERROR(__xludf.DUMMYFUNCTION("""COMPUTED_VALUE"""),"JANGGAN POMAHANJANGGAN RT 006 RW 003 TURI LAMONGAN")</f>
        <v>JANGGAN POMAHANJANGGAN RT 006 RW 003 TURI LAMONGAN</v>
      </c>
      <c r="G136" s="39" t="str">
        <f>IFERROR(__xludf.DUMMYFUNCTION("""COMPUTED_VALUE"""),"MA-XI.4")</f>
        <v>MA-XI.4</v>
      </c>
      <c r="H136" s="36" t="str">
        <f>IFERROR(__xludf.DUMMYFUNCTION("""COMPUTED_VALUE"""),"B")</f>
        <v>B</v>
      </c>
      <c r="I136" s="40" t="str">
        <f>IFERROR(__xludf.DUMMYFUNCTION("""COMPUTED_VALUE"""),"B-1")</f>
        <v>B-1</v>
      </c>
      <c r="J136" s="40">
        <f>IFERROR(__xludf.DUMMYFUNCTION("""COMPUTED_VALUE"""),2.0)</f>
        <v>2</v>
      </c>
      <c r="K136" s="40" t="str">
        <f>IFERROR(__xludf.DUMMYFUNCTION("""COMPUTED_VALUE"""),"2 WUSTHO C PUTRI")</f>
        <v>2 WUSTHO C PUTRI</v>
      </c>
      <c r="L136" s="39" t="str">
        <f>IFERROR(__xludf.DUMMYFUNCTION("""COMPUTED_VALUE"""),"6285732713016")</f>
        <v>6285732713016</v>
      </c>
      <c r="M136" s="42">
        <f>IFERROR(__xludf.DUMMYFUNCTION("""COMPUTED_VALUE"""),600000.0)</f>
        <v>600000</v>
      </c>
      <c r="N136" s="42"/>
      <c r="O136" s="42"/>
      <c r="P136" s="42"/>
      <c r="Q136" s="42"/>
      <c r="R136" s="42"/>
      <c r="S136" s="42"/>
      <c r="T136" s="42"/>
      <c r="U136" s="43"/>
      <c r="V136" s="43"/>
      <c r="W136" s="43"/>
      <c r="X136" s="43">
        <f>IFERROR(__xludf.DUMMYFUNCTION("""COMPUTED_VALUE"""),450000.0)</f>
        <v>450000</v>
      </c>
      <c r="Y136" s="43">
        <f>IFERROR(__xludf.DUMMYFUNCTION("""COMPUTED_VALUE"""),450000.0)</f>
        <v>450000</v>
      </c>
      <c r="Z136" s="43">
        <f>IFERROR(__xludf.DUMMYFUNCTION("""COMPUTED_VALUE"""),450000.0)</f>
        <v>450000</v>
      </c>
      <c r="AA136" s="43"/>
      <c r="AB136" s="43">
        <f>IFERROR(__xludf.DUMMYFUNCTION("""COMPUTED_VALUE"""),500000.0)</f>
        <v>500000</v>
      </c>
      <c r="AC136" s="43"/>
      <c r="AD136" s="43"/>
      <c r="AE136" s="43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3">
        <f>IFERROR(__xludf.DUMMYFUNCTION("""COMPUTED_VALUE"""),500000.0)</f>
        <v>500000</v>
      </c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IFERROR(__xludf.DUMMYFUNCTION("""COMPUTED_VALUE"""),1350000.0)</f>
        <v>1350000</v>
      </c>
      <c r="BD136" s="43">
        <f>IFERROR(__xludf.DUMMYFUNCTION("""COMPUTED_VALUE"""),1600000.0)</f>
        <v>1600000</v>
      </c>
      <c r="BE136" s="43">
        <f>IFERROR(__xludf.DUMMYFUNCTION("""COMPUTED_VALUE"""),0.0)</f>
        <v>0</v>
      </c>
      <c r="BF136" s="44">
        <f>IFERROR(__xludf.DUMMYFUNCTION("""COMPUTED_VALUE"""),2950000.0)</f>
        <v>2950000</v>
      </c>
      <c r="BG136" s="42"/>
      <c r="BH136" s="42"/>
      <c r="BI136" s="42"/>
      <c r="BJ136" s="45"/>
      <c r="BK136" s="45"/>
      <c r="BL136" s="45"/>
      <c r="BM136" s="45"/>
      <c r="BN136" s="45"/>
      <c r="BO136" s="46"/>
    </row>
    <row r="137">
      <c r="A137" s="47">
        <f>IFERROR(__xludf.DUMMYFUNCTION("""COMPUTED_VALUE"""),136.0)</f>
        <v>136</v>
      </c>
      <c r="B137" s="48" t="str">
        <f>IFERROR(__xludf.DUMMYFUNCTION("""COMPUTED_VALUE"""),"NAFIATUL KHOIROH")</f>
        <v>NAFIATUL KHOIROH</v>
      </c>
      <c r="C137" s="49">
        <f>IFERROR(__xludf.DUMMYFUNCTION("""COMPUTED_VALUE"""),2.025070379E9)</f>
        <v>2025070379</v>
      </c>
      <c r="D137" s="48" t="str">
        <f>IFERROR(__xludf.DUMMYFUNCTION("""COMPUTED_VALUE"""),"PRIYADI")</f>
        <v>PRIYADI</v>
      </c>
      <c r="E137" s="48" t="str">
        <f>IFERROR(__xludf.DUMMYFUNCTION("""COMPUTED_VALUE"""),"SYAROFAH")</f>
        <v>SYAROFAH</v>
      </c>
      <c r="F137" s="48" t="str">
        <f>IFERROR(__xludf.DUMMYFUNCTION("""COMPUTED_VALUE"""),"BANYUBANG RT 005 RW 002 SOLOKURO LAMONGAN")</f>
        <v>BANYUBANG RT 005 RW 002 SOLOKURO LAMONGAN</v>
      </c>
      <c r="G137" s="50" t="str">
        <f>IFERROR(__xludf.DUMMYFUNCTION("""COMPUTED_VALUE"""),"MA-XI.11")</f>
        <v>MA-XI.11</v>
      </c>
      <c r="H137" s="47" t="str">
        <f>IFERROR(__xludf.DUMMYFUNCTION("""COMPUTED_VALUE"""),"B")</f>
        <v>B</v>
      </c>
      <c r="I137" s="51" t="str">
        <f>IFERROR(__xludf.DUMMYFUNCTION("""COMPUTED_VALUE"""),"B-1")</f>
        <v>B-1</v>
      </c>
      <c r="J137" s="51">
        <f>IFERROR(__xludf.DUMMYFUNCTION("""COMPUTED_VALUE"""),2.0)</f>
        <v>2</v>
      </c>
      <c r="K137" s="51" t="str">
        <f>IFERROR(__xludf.DUMMYFUNCTION("""COMPUTED_VALUE"""),"2 WUSTHO B PUTRI")</f>
        <v>2 WUSTHO B PUTRI</v>
      </c>
      <c r="L137" s="52" t="str">
        <f>IFERROR(__xludf.DUMMYFUNCTION("""COMPUTED_VALUE"""),"6285231576976")</f>
        <v>6285231576976</v>
      </c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4"/>
      <c r="AE137" s="54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4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IFERROR(__xludf.DUMMYFUNCTION("""COMPUTED_VALUE"""),0.0)</f>
        <v>0</v>
      </c>
      <c r="BE137" s="54">
        <f>IFERROR(__xludf.DUMMYFUNCTION("""COMPUTED_VALUE"""),0.0)</f>
        <v>0</v>
      </c>
      <c r="BF137" s="55">
        <f>IFERROR(__xludf.DUMMYFUNCTION("""COMPUTED_VALUE"""),0.0)</f>
        <v>0</v>
      </c>
      <c r="BG137" s="53"/>
      <c r="BH137" s="53"/>
      <c r="BI137" s="53"/>
      <c r="BJ137" s="45"/>
      <c r="BK137" s="45"/>
      <c r="BL137" s="45"/>
      <c r="BM137" s="45"/>
      <c r="BN137" s="45"/>
      <c r="BO137" s="46"/>
    </row>
    <row r="138">
      <c r="A138" s="36">
        <f>IFERROR(__xludf.DUMMYFUNCTION("""COMPUTED_VALUE"""),137.0)</f>
        <v>137</v>
      </c>
      <c r="B138" s="37" t="str">
        <f>IFERROR(__xludf.DUMMYFUNCTION("""COMPUTED_VALUE"""),"NIDIAH ANNISA` ISKARIMAH")</f>
        <v>NIDIAH ANNISA` ISKARIMAH</v>
      </c>
      <c r="C138" s="38">
        <f>IFERROR(__xludf.DUMMYFUNCTION("""COMPUTED_VALUE"""),2.025070068E9)</f>
        <v>2025070068</v>
      </c>
      <c r="D138" s="37" t="str">
        <f>IFERROR(__xludf.DUMMYFUNCTION("""COMPUTED_VALUE"""),"SHAFWAN")</f>
        <v>SHAFWAN</v>
      </c>
      <c r="E138" s="37" t="str">
        <f>IFERROR(__xludf.DUMMYFUNCTION("""COMPUTED_VALUE"""),"MUTAQIYAH")</f>
        <v>MUTAQIYAH</v>
      </c>
      <c r="F138" s="37" t="str">
        <f>IFERROR(__xludf.DUMMYFUNCTION("""COMPUTED_VALUE"""),"RAYUNG RAYUNGGUMUK RT 001 RW 003 GLAGAH LAMONGAN")</f>
        <v>RAYUNG RAYUNGGUMUK RT 001 RW 003 GLAGAH LAMONGAN</v>
      </c>
      <c r="G138" s="39" t="str">
        <f>IFERROR(__xludf.DUMMYFUNCTION("""COMPUTED_VALUE"""),"MA-XI.8")</f>
        <v>MA-XI.8</v>
      </c>
      <c r="H138" s="36" t="str">
        <f>IFERROR(__xludf.DUMMYFUNCTION("""COMPUTED_VALUE"""),"B")</f>
        <v>B</v>
      </c>
      <c r="I138" s="40" t="str">
        <f>IFERROR(__xludf.DUMMYFUNCTION("""COMPUTED_VALUE"""),"B-10")</f>
        <v>B-10</v>
      </c>
      <c r="J138" s="40">
        <f>IFERROR(__xludf.DUMMYFUNCTION("""COMPUTED_VALUE"""),2.0)</f>
        <v>2</v>
      </c>
      <c r="K138" s="40" t="str">
        <f>IFERROR(__xludf.DUMMYFUNCTION("""COMPUTED_VALUE"""),"2 WUSTHO B PUTRI")</f>
        <v>2 WUSTHO B PUTRI</v>
      </c>
      <c r="L138" s="41" t="str">
        <f>IFERROR(__xludf.DUMMYFUNCTION("""COMPUTED_VALUE"""),"6285746102022")</f>
        <v>6285746102022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>
        <f>IFERROR(__xludf.DUMMYFUNCTION("""COMPUTED_VALUE"""),450000.0)</f>
        <v>450000</v>
      </c>
      <c r="Z138" s="42">
        <f>IFERROR(__xludf.DUMMYFUNCTION("""COMPUTED_VALUE"""),450000.0)</f>
        <v>450000</v>
      </c>
      <c r="AA138" s="42"/>
      <c r="AB138" s="42"/>
      <c r="AC138" s="42"/>
      <c r="AD138" s="42"/>
      <c r="AE138" s="43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IFERROR(__xludf.DUMMYFUNCTION("""COMPUTED_VALUE"""),900000.0)</f>
        <v>900000</v>
      </c>
      <c r="BD138" s="43">
        <f>IFERROR(__xludf.DUMMYFUNCTION("""COMPUTED_VALUE"""),0.0)</f>
        <v>0</v>
      </c>
      <c r="BE138" s="43">
        <f>IFERROR(__xludf.DUMMYFUNCTION("""COMPUTED_VALUE"""),0.0)</f>
        <v>0</v>
      </c>
      <c r="BF138" s="44">
        <f>IFERROR(__xludf.DUMMYFUNCTION("""COMPUTED_VALUE"""),900000.0)</f>
        <v>900000</v>
      </c>
      <c r="BG138" s="42"/>
      <c r="BH138" s="42"/>
      <c r="BI138" s="42"/>
      <c r="BJ138" s="45"/>
      <c r="BK138" s="45"/>
      <c r="BL138" s="45"/>
      <c r="BM138" s="45"/>
      <c r="BN138" s="45"/>
      <c r="BO138" s="46"/>
    </row>
    <row r="139">
      <c r="A139" s="47">
        <f>IFERROR(__xludf.DUMMYFUNCTION("""COMPUTED_VALUE"""),138.0)</f>
        <v>138</v>
      </c>
      <c r="B139" s="48" t="str">
        <f>IFERROR(__xludf.DUMMYFUNCTION("""COMPUTED_VALUE"""),"NUR ASIVA RAHAYU")</f>
        <v>NUR ASIVA RAHAYU</v>
      </c>
      <c r="C139" s="49">
        <f>IFERROR(__xludf.DUMMYFUNCTION("""COMPUTED_VALUE"""),2.025070481E9)</f>
        <v>2025070481</v>
      </c>
      <c r="D139" s="48" t="str">
        <f>IFERROR(__xludf.DUMMYFUNCTION("""COMPUTED_VALUE"""),"AS`AD")</f>
        <v>AS`AD</v>
      </c>
      <c r="E139" s="48" t="str">
        <f>IFERROR(__xludf.DUMMYFUNCTION("""COMPUTED_VALUE"""),"ISVA UMROAH")</f>
        <v>ISVA UMROAH</v>
      </c>
      <c r="F139" s="48" t="str">
        <f>IFERROR(__xludf.DUMMYFUNCTION("""COMPUTED_VALUE"""),"TIWET RT 002 RW 003 KALITENGAH LAMONGAN")</f>
        <v>TIWET RT 002 RW 003 KALITENGAH LAMONGAN</v>
      </c>
      <c r="G139" s="50" t="str">
        <f>IFERROR(__xludf.DUMMYFUNCTION("""COMPUTED_VALUE"""),"SMP-VIII B")</f>
        <v>SMP-VIII B</v>
      </c>
      <c r="H139" s="47" t="str">
        <f>IFERROR(__xludf.DUMMYFUNCTION("""COMPUTED_VALUE"""),"B")</f>
        <v>B</v>
      </c>
      <c r="I139" s="51" t="str">
        <f>IFERROR(__xludf.DUMMYFUNCTION("""COMPUTED_VALUE"""),"B-10")</f>
        <v>B-10</v>
      </c>
      <c r="J139" s="51">
        <f>IFERROR(__xludf.DUMMYFUNCTION("""COMPUTED_VALUE"""),2.0)</f>
        <v>2</v>
      </c>
      <c r="K139" s="51" t="str">
        <f>IFERROR(__xludf.DUMMYFUNCTION("""COMPUTED_VALUE"""),"2 ULA C PUTRI")</f>
        <v>2 ULA C PUTRI</v>
      </c>
      <c r="L139" s="52" t="str">
        <f>IFERROR(__xludf.DUMMYFUNCTION("""COMPUTED_VALUE"""),"6285784441243")</f>
        <v>6285784441243</v>
      </c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>
        <f>IFERROR(__xludf.DUMMYFUNCTION("""COMPUTED_VALUE"""),450000.0)</f>
        <v>450000</v>
      </c>
      <c r="X139" s="53">
        <f>IFERROR(__xludf.DUMMYFUNCTION("""COMPUTED_VALUE"""),450000.0)</f>
        <v>450000</v>
      </c>
      <c r="Y139" s="53">
        <f>IFERROR(__xludf.DUMMYFUNCTION("""COMPUTED_VALUE"""),450000.0)</f>
        <v>450000</v>
      </c>
      <c r="Z139" s="53">
        <f>IFERROR(__xludf.DUMMYFUNCTION("""COMPUTED_VALUE"""),450000.0)</f>
        <v>450000</v>
      </c>
      <c r="AA139" s="53"/>
      <c r="AB139" s="54">
        <f>IFERROR(__xludf.DUMMYFUNCTION("""COMPUTED_VALUE"""),500000.0)</f>
        <v>500000</v>
      </c>
      <c r="AC139" s="53"/>
      <c r="AD139" s="53"/>
      <c r="AE139" s="54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4">
        <f>IFERROR(__xludf.DUMMYFUNCTION("""COMPUTED_VALUE"""),500000.0)</f>
        <v>500000</v>
      </c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IFERROR(__xludf.DUMMYFUNCTION("""COMPUTED_VALUE"""),1800000.0)</f>
        <v>1800000</v>
      </c>
      <c r="BD139" s="54">
        <f>IFERROR(__xludf.DUMMYFUNCTION("""COMPUTED_VALUE"""),1000000.0)</f>
        <v>1000000</v>
      </c>
      <c r="BE139" s="54">
        <f>IFERROR(__xludf.DUMMYFUNCTION("""COMPUTED_VALUE"""),0.0)</f>
        <v>0</v>
      </c>
      <c r="BF139" s="55">
        <f>IFERROR(__xludf.DUMMYFUNCTION("""COMPUTED_VALUE"""),2800000.0)</f>
        <v>2800000</v>
      </c>
      <c r="BG139" s="53"/>
      <c r="BH139" s="53"/>
      <c r="BI139" s="53"/>
      <c r="BJ139" s="45"/>
      <c r="BK139" s="45"/>
      <c r="BL139" s="45"/>
      <c r="BM139" s="45"/>
      <c r="BN139" s="45"/>
      <c r="BO139" s="46"/>
    </row>
    <row r="140">
      <c r="A140" s="36">
        <f>IFERROR(__xludf.DUMMYFUNCTION("""COMPUTED_VALUE"""),139.0)</f>
        <v>139</v>
      </c>
      <c r="B140" s="37" t="str">
        <f>IFERROR(__xludf.DUMMYFUNCTION("""COMPUTED_VALUE"""),"NUR ROFIDATUZ ZAHRA")</f>
        <v>NUR ROFIDATUZ ZAHRA</v>
      </c>
      <c r="C140" s="38">
        <f>IFERROR(__xludf.DUMMYFUNCTION("""COMPUTED_VALUE"""),2.025070438E9)</f>
        <v>2025070438</v>
      </c>
      <c r="D140" s="37" t="str">
        <f>IFERROR(__xludf.DUMMYFUNCTION("""COMPUTED_VALUE"""),"MUJAZIN")</f>
        <v>MUJAZIN</v>
      </c>
      <c r="E140" s="37" t="str">
        <f>IFERROR(__xludf.DUMMYFUNCTION("""COMPUTED_VALUE"""),"RINI NORHAYATI")</f>
        <v>RINI NORHAYATI</v>
      </c>
      <c r="F140" s="37" t="str">
        <f>IFERROR(__xludf.DUMMYFUNCTION("""COMPUTED_VALUE"""),"KENDALKEMLAGI RT 003 RW 001 KARANGGENENG LAMONGAN")</f>
        <v>KENDALKEMLAGI RT 003 RW 001 KARANGGENENG LAMONGAN</v>
      </c>
      <c r="G140" s="39" t="str">
        <f>IFERROR(__xludf.DUMMYFUNCTION("""COMPUTED_VALUE"""),"SMK-XI Ak")</f>
        <v>SMK-XI Ak</v>
      </c>
      <c r="H140" s="36" t="str">
        <f>IFERROR(__xludf.DUMMYFUNCTION("""COMPUTED_VALUE"""),"B")</f>
        <v>B</v>
      </c>
      <c r="I140" s="40" t="str">
        <f>IFERROR(__xludf.DUMMYFUNCTION("""COMPUTED_VALUE"""),"B-10")</f>
        <v>B-10</v>
      </c>
      <c r="J140" s="40">
        <f>IFERROR(__xludf.DUMMYFUNCTION("""COMPUTED_VALUE"""),2.0)</f>
        <v>2</v>
      </c>
      <c r="K140" s="40" t="str">
        <f>IFERROR(__xludf.DUMMYFUNCTION("""COMPUTED_VALUE"""),"2 WUSTHO C PUTRI")</f>
        <v>2 WUSTHO C PUTRI</v>
      </c>
      <c r="L140" s="41" t="str">
        <f>IFERROR(__xludf.DUMMYFUNCTION("""COMPUTED_VALUE"""),"6281553870082")</f>
        <v>6281553870082</v>
      </c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3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IFERROR(__xludf.DUMMYFUNCTION("""COMPUTED_VALUE"""),0.0)</f>
        <v>0</v>
      </c>
      <c r="BE140" s="43">
        <f>IFERROR(__xludf.DUMMYFUNCTION("""COMPUTED_VALUE"""),0.0)</f>
        <v>0</v>
      </c>
      <c r="BF140" s="44">
        <f>IFERROR(__xludf.DUMMYFUNCTION("""COMPUTED_VALUE"""),0.0)</f>
        <v>0</v>
      </c>
      <c r="BG140" s="42"/>
      <c r="BH140" s="42"/>
      <c r="BI140" s="42"/>
      <c r="BJ140" s="45"/>
      <c r="BK140" s="45"/>
      <c r="BL140" s="45"/>
      <c r="BM140" s="45"/>
      <c r="BN140" s="45"/>
      <c r="BO140" s="46"/>
    </row>
    <row r="141">
      <c r="A141" s="47">
        <f>IFERROR(__xludf.DUMMYFUNCTION("""COMPUTED_VALUE"""),140.0)</f>
        <v>140</v>
      </c>
      <c r="B141" s="48" t="str">
        <f>IFERROR(__xludf.DUMMYFUNCTION("""COMPUTED_VALUE"""),"NUZILAT SHOFWATUL MAR`AH")</f>
        <v>NUZILAT SHOFWATUL MAR`AH</v>
      </c>
      <c r="C141" s="49">
        <f>IFERROR(__xludf.DUMMYFUNCTION("""COMPUTED_VALUE"""),2.025070093E9)</f>
        <v>2025070093</v>
      </c>
      <c r="D141" s="48" t="str">
        <f>IFERROR(__xludf.DUMMYFUNCTION("""COMPUTED_VALUE"""),"SYUKUR, S.PD")</f>
        <v>SYUKUR, S.PD</v>
      </c>
      <c r="E141" s="48" t="str">
        <f>IFERROR(__xludf.DUMMYFUNCTION("""COMPUTED_VALUE"""),"ZULIYATI")</f>
        <v>ZULIYATI</v>
      </c>
      <c r="F141" s="48" t="str">
        <f>IFERROR(__xludf.DUMMYFUNCTION("""COMPUTED_VALUE"""),"PUCANGRO RT 002 RW 004 KALITENGAH LAMONGAN")</f>
        <v>PUCANGRO RT 002 RW 004 KALITENGAH LAMONGAN</v>
      </c>
      <c r="G141" s="50" t="str">
        <f>IFERROR(__xludf.DUMMYFUNCTION("""COMPUTED_VALUE"""),"MA-XI.1")</f>
        <v>MA-XI.1</v>
      </c>
      <c r="H141" s="47" t="str">
        <f>IFERROR(__xludf.DUMMYFUNCTION("""COMPUTED_VALUE"""),"B")</f>
        <v>B</v>
      </c>
      <c r="I141" s="51" t="str">
        <f>IFERROR(__xludf.DUMMYFUNCTION("""COMPUTED_VALUE"""),"B-3")</f>
        <v>B-3</v>
      </c>
      <c r="J141" s="51">
        <f>IFERROR(__xludf.DUMMYFUNCTION("""COMPUTED_VALUE"""),2.0)</f>
        <v>2</v>
      </c>
      <c r="K141" s="51" t="str">
        <f>IFERROR(__xludf.DUMMYFUNCTION("""COMPUTED_VALUE"""),"TAHFIDZ")</f>
        <v>TAHFIDZ</v>
      </c>
      <c r="L141" s="52" t="str">
        <f>IFERROR(__xludf.DUMMYFUNCTION("""COMPUTED_VALUE"""),"6281554236367")</f>
        <v>6281554236367</v>
      </c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4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4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IFERROR(__xludf.DUMMYFUNCTION("""COMPUTED_VALUE"""),0.0)</f>
        <v>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IFERROR(__xludf.DUMMYFUNCTION("""COMPUTED_VALUE"""),0.0)</f>
        <v>0</v>
      </c>
      <c r="BG141" s="53"/>
      <c r="BH141" s="53"/>
      <c r="BI141" s="53"/>
      <c r="BJ141" s="45"/>
      <c r="BK141" s="45"/>
      <c r="BL141" s="45"/>
      <c r="BM141" s="45"/>
      <c r="BN141" s="45"/>
      <c r="BO141" s="46"/>
    </row>
    <row r="142">
      <c r="A142" s="36">
        <f>IFERROR(__xludf.DUMMYFUNCTION("""COMPUTED_VALUE"""),141.0)</f>
        <v>141</v>
      </c>
      <c r="B142" s="37" t="str">
        <f>IFERROR(__xludf.DUMMYFUNCTION("""COMPUTED_VALUE"""),"OLIVIA SABITA PUTRI")</f>
        <v>OLIVIA SABITA PUTRI</v>
      </c>
      <c r="C142" s="38">
        <f>IFERROR(__xludf.DUMMYFUNCTION("""COMPUTED_VALUE"""),2.025070453E9)</f>
        <v>2025070453</v>
      </c>
      <c r="D142" s="37" t="str">
        <f>IFERROR(__xludf.DUMMYFUNCTION("""COMPUTED_VALUE"""),"MARJO")</f>
        <v>MARJO</v>
      </c>
      <c r="E142" s="37" t="str">
        <f>IFERROR(__xludf.DUMMYFUNCTION("""COMPUTED_VALUE"""),"NAIHATUL MUFIDAH")</f>
        <v>NAIHATUL MUFIDAH</v>
      </c>
      <c r="F142" s="37" t="str">
        <f>IFERROR(__xludf.DUMMYFUNCTION("""COMPUTED_VALUE"""),"BANGERAN GENENG BANGERAN RT 004 RW 002 DUKUN GRESIK")</f>
        <v>BANGERAN GENENG BANGERAN RT 004 RW 002 DUKUN GRESIK</v>
      </c>
      <c r="G142" s="39" t="str">
        <f>IFERROR(__xludf.DUMMYFUNCTION("""COMPUTED_VALUE"""),"SMK-XI DKV")</f>
        <v>SMK-XI DKV</v>
      </c>
      <c r="H142" s="36" t="str">
        <f>IFERROR(__xludf.DUMMYFUNCTION("""COMPUTED_VALUE"""),"B")</f>
        <v>B</v>
      </c>
      <c r="I142" s="40" t="str">
        <f>IFERROR(__xludf.DUMMYFUNCTION("""COMPUTED_VALUE"""),"B-3")</f>
        <v>B-3</v>
      </c>
      <c r="J142" s="40">
        <f>IFERROR(__xludf.DUMMYFUNCTION("""COMPUTED_VALUE"""),2.0)</f>
        <v>2</v>
      </c>
      <c r="K142" s="40" t="str">
        <f>IFERROR(__xludf.DUMMYFUNCTION("""COMPUTED_VALUE"""),"2 WUSTHO C PUTRI")</f>
        <v>2 WUSTHO C PUTRI</v>
      </c>
      <c r="L142" s="41" t="str">
        <f>IFERROR(__xludf.DUMMYFUNCTION("""COMPUTED_VALUE"""),"6285890583479")</f>
        <v>6285890583479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3">
        <f>IFERROR(__xludf.DUMMYFUNCTION("""COMPUTED_VALUE"""),500000.0)</f>
        <v>500000</v>
      </c>
      <c r="AC142" s="42"/>
      <c r="AD142" s="42"/>
      <c r="AE142" s="43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3">
        <f>IFERROR(__xludf.DUMMYFUNCTION("""COMPUTED_VALUE"""),500000.0)</f>
        <v>500000</v>
      </c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IFERROR(__xludf.DUMMYFUNCTION("""COMPUTED_VALUE"""),1000000.0)</f>
        <v>1000000</v>
      </c>
      <c r="BE142" s="43">
        <f>IFERROR(__xludf.DUMMYFUNCTION("""COMPUTED_VALUE"""),0.0)</f>
        <v>0</v>
      </c>
      <c r="BF142" s="44">
        <f>IFERROR(__xludf.DUMMYFUNCTION("""COMPUTED_VALUE"""),1000000.0)</f>
        <v>1000000</v>
      </c>
      <c r="BG142" s="42"/>
      <c r="BH142" s="42"/>
      <c r="BI142" s="42"/>
      <c r="BJ142" s="45"/>
      <c r="BK142" s="45"/>
      <c r="BL142" s="45"/>
      <c r="BM142" s="45"/>
      <c r="BN142" s="45"/>
      <c r="BO142" s="46"/>
    </row>
    <row r="143">
      <c r="A143" s="47">
        <f>IFERROR(__xludf.DUMMYFUNCTION("""COMPUTED_VALUE"""),142.0)</f>
        <v>142</v>
      </c>
      <c r="B143" s="48" t="str">
        <f>IFERROR(__xludf.DUMMYFUNCTION("""COMPUTED_VALUE"""),"RAEESA NABILA YAKTA WAFIQ")</f>
        <v>RAEESA NABILA YAKTA WAFIQ</v>
      </c>
      <c r="C143" s="49">
        <f>IFERROR(__xludf.DUMMYFUNCTION("""COMPUTED_VALUE"""),2.025070469E9)</f>
        <v>2025070469</v>
      </c>
      <c r="D143" s="48" t="str">
        <f>IFERROR(__xludf.DUMMYFUNCTION("""COMPUTED_VALUE"""),"MOCHAMAD THOHA FATWA")</f>
        <v>MOCHAMAD THOHA FATWA</v>
      </c>
      <c r="E143" s="48" t="str">
        <f>IFERROR(__xludf.DUMMYFUNCTION("""COMPUTED_VALUE"""),"WINARSIH")</f>
        <v>WINARSIH</v>
      </c>
      <c r="F143" s="48" t="str">
        <f>IFERROR(__xludf.DUMMYFUNCTION("""COMPUTED_VALUE"""),"BANJARGONDANG RT 002 RW 003 BLULUK LAMONGAN")</f>
        <v>BANJARGONDANG RT 002 RW 003 BLULUK LAMONGAN</v>
      </c>
      <c r="G143" s="50" t="str">
        <f>IFERROR(__xludf.DUMMYFUNCTION("""COMPUTED_VALUE"""),"SMP-VIII A")</f>
        <v>SMP-VIII A</v>
      </c>
      <c r="H143" s="47" t="str">
        <f>IFERROR(__xludf.DUMMYFUNCTION("""COMPUTED_VALUE"""),"B")</f>
        <v>B</v>
      </c>
      <c r="I143" s="51" t="str">
        <f>IFERROR(__xludf.DUMMYFUNCTION("""COMPUTED_VALUE"""),"B-3")</f>
        <v>B-3</v>
      </c>
      <c r="J143" s="51">
        <f>IFERROR(__xludf.DUMMYFUNCTION("""COMPUTED_VALUE"""),2.0)</f>
        <v>2</v>
      </c>
      <c r="K143" s="51" t="str">
        <f>IFERROR(__xludf.DUMMYFUNCTION("""COMPUTED_VALUE"""),"2 ULA B PUTRI")</f>
        <v>2 ULA B PUTRI</v>
      </c>
      <c r="L143" s="52" t="str">
        <f>IFERROR(__xludf.DUMMYFUNCTION("""COMPUTED_VALUE"""),"6281332471369")</f>
        <v>6281332471369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4"/>
      <c r="AB143" s="54"/>
      <c r="AC143" s="53"/>
      <c r="AD143" s="53"/>
      <c r="AE143" s="54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4">
        <f>IFERROR(__xludf.DUMMYFUNCTION("""COMPUTED_VALUE"""),500000.0)</f>
        <v>500000</v>
      </c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IFERROR(__xludf.DUMMYFUNCTION("""COMPUTED_VALUE"""),0.0)</f>
        <v>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IFERROR(__xludf.DUMMYFUNCTION("""COMPUTED_VALUE"""),500000.0)</f>
        <v>500000</v>
      </c>
      <c r="BG143" s="53"/>
      <c r="BH143" s="53"/>
      <c r="BI143" s="53"/>
      <c r="BJ143" s="45"/>
      <c r="BK143" s="45"/>
      <c r="BL143" s="45"/>
      <c r="BM143" s="45"/>
      <c r="BN143" s="45"/>
      <c r="BO143" s="46"/>
    </row>
    <row r="144">
      <c r="A144" s="36">
        <f>IFERROR(__xludf.DUMMYFUNCTION("""COMPUTED_VALUE"""),143.0)</f>
        <v>143</v>
      </c>
      <c r="B144" s="37" t="str">
        <f>IFERROR(__xludf.DUMMYFUNCTION("""COMPUTED_VALUE"""),"RANI HARIROTUL MAHMUDAH")</f>
        <v>RANI HARIROTUL MAHMUDAH</v>
      </c>
      <c r="C144" s="38">
        <f>IFERROR(__xludf.DUMMYFUNCTION("""COMPUTED_VALUE"""),2.025070588E9)</f>
        <v>2025070588</v>
      </c>
      <c r="D144" s="37" t="str">
        <f>IFERROR(__xludf.DUMMYFUNCTION("""COMPUTED_VALUE"""),"MAHMUDI")</f>
        <v>MAHMUDI</v>
      </c>
      <c r="E144" s="37" t="str">
        <f>IFERROR(__xludf.DUMMYFUNCTION("""COMPUTED_VALUE"""),"ALIYAH")</f>
        <v>ALIYAH</v>
      </c>
      <c r="F144" s="37" t="str">
        <f>IFERROR(__xludf.DUMMYFUNCTION("""COMPUTED_VALUE"""),"WARUK RT 003 RW 001 KARANGBINANGUN LAMONGAN")</f>
        <v>WARUK RT 003 RW 001 KARANGBINANGUN LAMONGAN</v>
      </c>
      <c r="G144" s="39" t="str">
        <f>IFERROR(__xludf.DUMMYFUNCTION("""COMPUTED_VALUE"""),"MTS-8 B")</f>
        <v>MTS-8 B</v>
      </c>
      <c r="H144" s="36" t="str">
        <f>IFERROR(__xludf.DUMMYFUNCTION("""COMPUTED_VALUE"""),"B")</f>
        <v>B</v>
      </c>
      <c r="I144" s="40" t="str">
        <f>IFERROR(__xludf.DUMMYFUNCTION("""COMPUTED_VALUE"""),"B-2")</f>
        <v>B-2</v>
      </c>
      <c r="J144" s="40">
        <f>IFERROR(__xludf.DUMMYFUNCTION("""COMPUTED_VALUE"""),2.0)</f>
        <v>2</v>
      </c>
      <c r="K144" s="40" t="str">
        <f>IFERROR(__xludf.DUMMYFUNCTION("""COMPUTED_VALUE"""),"2 ULA A PUTRI")</f>
        <v>2 ULA A PUTRI</v>
      </c>
      <c r="L144" s="41" t="str">
        <f>IFERROR(__xludf.DUMMYFUNCTION("""COMPUTED_VALUE"""),"6281336008122")</f>
        <v>6281336008122</v>
      </c>
      <c r="M144" s="42"/>
      <c r="N144" s="42"/>
      <c r="O144" s="42"/>
      <c r="P144" s="42"/>
      <c r="Q144" s="42"/>
      <c r="R144" s="42"/>
      <c r="S144" s="42"/>
      <c r="T144" s="42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3">
        <f>IFERROR(__xludf.DUMMYFUNCTION("""COMPUTED_VALUE"""),500000.0)</f>
        <v>500000</v>
      </c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IFERROR(__xludf.DUMMYFUNCTION("""COMPUTED_VALUE"""),500000.0)</f>
        <v>500000</v>
      </c>
      <c r="BE144" s="43">
        <f>IFERROR(__xludf.DUMMYFUNCTION("""COMPUTED_VALUE"""),0.0)</f>
        <v>0</v>
      </c>
      <c r="BF144" s="44">
        <f>IFERROR(__xludf.DUMMYFUNCTION("""COMPUTED_VALUE"""),500000.0)</f>
        <v>500000</v>
      </c>
      <c r="BG144" s="42"/>
      <c r="BH144" s="42"/>
      <c r="BI144" s="42"/>
      <c r="BJ144" s="45"/>
      <c r="BK144" s="45"/>
      <c r="BL144" s="45"/>
      <c r="BM144" s="45"/>
      <c r="BN144" s="45"/>
      <c r="BO144" s="46"/>
    </row>
    <row r="145">
      <c r="A145" s="47">
        <f>IFERROR(__xludf.DUMMYFUNCTION("""COMPUTED_VALUE"""),144.0)</f>
        <v>144</v>
      </c>
      <c r="B145" s="48" t="str">
        <f>IFERROR(__xludf.DUMMYFUNCTION("""COMPUTED_VALUE"""),"REVALINA INTAN PARAMITA")</f>
        <v>REVALINA INTAN PARAMITA</v>
      </c>
      <c r="C145" s="49">
        <f>IFERROR(__xludf.DUMMYFUNCTION("""COMPUTED_VALUE"""),2.025070201E9)</f>
        <v>2025070201</v>
      </c>
      <c r="D145" s="48" t="str">
        <f>IFERROR(__xludf.DUMMYFUNCTION("""COMPUTED_VALUE"""),"MARUWAN")</f>
        <v>MARUWAN</v>
      </c>
      <c r="E145" s="48" t="str">
        <f>IFERROR(__xludf.DUMMYFUNCTION("""COMPUTED_VALUE"""),"SUMARNI")</f>
        <v>SUMARNI</v>
      </c>
      <c r="F145" s="48" t="str">
        <f>IFERROR(__xludf.DUMMYFUNCTION("""COMPUTED_VALUE"""),"PLOSOLEBAK TAMBAKPLOSO RT 015 RW 003 TURI LAMONGAN")</f>
        <v>PLOSOLEBAK TAMBAKPLOSO RT 015 RW 003 TURI LAMONGAN</v>
      </c>
      <c r="G145" s="50" t="str">
        <f>IFERROR(__xludf.DUMMYFUNCTION("""COMPUTED_VALUE"""),"MA-XI.4")</f>
        <v>MA-XI.4</v>
      </c>
      <c r="H145" s="47" t="str">
        <f>IFERROR(__xludf.DUMMYFUNCTION("""COMPUTED_VALUE"""),"B")</f>
        <v>B</v>
      </c>
      <c r="I145" s="51" t="str">
        <f>IFERROR(__xludf.DUMMYFUNCTION("""COMPUTED_VALUE"""),"B-10")</f>
        <v>B-10</v>
      </c>
      <c r="J145" s="51">
        <f>IFERROR(__xludf.DUMMYFUNCTION("""COMPUTED_VALUE"""),2.0)</f>
        <v>2</v>
      </c>
      <c r="K145" s="51" t="str">
        <f>IFERROR(__xludf.DUMMYFUNCTION("""COMPUTED_VALUE"""),"2 WUSTHO C PUTRI")</f>
        <v>2 WUSTHO C PUTRI</v>
      </c>
      <c r="L145" s="52" t="str">
        <f>IFERROR(__xludf.DUMMYFUNCTION("""COMPUTED_VALUE"""),"6285806977954")</f>
        <v>6285806977954</v>
      </c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>
        <f>IFERROR(__xludf.DUMMYFUNCTION("""COMPUTED_VALUE"""),450000.0)</f>
        <v>450000</v>
      </c>
      <c r="Y145" s="53">
        <f>IFERROR(__xludf.DUMMYFUNCTION("""COMPUTED_VALUE"""),450000.0)</f>
        <v>450000</v>
      </c>
      <c r="Z145" s="53">
        <f>IFERROR(__xludf.DUMMYFUNCTION("""COMPUTED_VALUE"""),450000.0)</f>
        <v>450000</v>
      </c>
      <c r="AA145" s="53"/>
      <c r="AB145" s="54"/>
      <c r="AC145" s="53"/>
      <c r="AD145" s="53"/>
      <c r="AE145" s="54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IFERROR(__xludf.DUMMYFUNCTION("""COMPUTED_VALUE"""),1350000.0)</f>
        <v>1350000</v>
      </c>
      <c r="BD145" s="54">
        <f>IFERROR(__xludf.DUMMYFUNCTION("""COMPUTED_VALUE"""),0.0)</f>
        <v>0</v>
      </c>
      <c r="BE145" s="54">
        <f>IFERROR(__xludf.DUMMYFUNCTION("""COMPUTED_VALUE"""),0.0)</f>
        <v>0</v>
      </c>
      <c r="BF145" s="55">
        <f>IFERROR(__xludf.DUMMYFUNCTION("""COMPUTED_VALUE"""),1350000.0)</f>
        <v>1350000</v>
      </c>
      <c r="BG145" s="53"/>
      <c r="BH145" s="53"/>
      <c r="BI145" s="53"/>
      <c r="BJ145" s="45"/>
      <c r="BK145" s="45"/>
      <c r="BL145" s="45"/>
      <c r="BM145" s="45"/>
      <c r="BN145" s="45"/>
      <c r="BO145" s="46"/>
    </row>
    <row r="146">
      <c r="A146" s="36">
        <f>IFERROR(__xludf.DUMMYFUNCTION("""COMPUTED_VALUE"""),145.0)</f>
        <v>145</v>
      </c>
      <c r="B146" s="37" t="str">
        <f>IFERROR(__xludf.DUMMYFUNCTION("""COMPUTED_VALUE"""),"SEKAR AYU WARDHANI")</f>
        <v>SEKAR AYU WARDHANI</v>
      </c>
      <c r="C146" s="38">
        <f>IFERROR(__xludf.DUMMYFUNCTION("""COMPUTED_VALUE"""),2.025070475E9)</f>
        <v>2025070475</v>
      </c>
      <c r="D146" s="37" t="str">
        <f>IFERROR(__xludf.DUMMYFUNCTION("""COMPUTED_VALUE"""),"SAINULLAH")</f>
        <v>SAINULLAH</v>
      </c>
      <c r="E146" s="37" t="str">
        <f>IFERROR(__xludf.DUMMYFUNCTION("""COMPUTED_VALUE"""),"IIS HUSNAWATI")</f>
        <v>IIS HUSNAWATI</v>
      </c>
      <c r="F146" s="37" t="str">
        <f>IFERROR(__xludf.DUMMYFUNCTION("""COMPUTED_VALUE"""),"BARON RT 004 RW 002 DUKUN GRESIK")</f>
        <v>BARON RT 004 RW 002 DUKUN GRESIK</v>
      </c>
      <c r="G146" s="39" t="str">
        <f>IFERROR(__xludf.DUMMYFUNCTION("""COMPUTED_VALUE"""),"SMP-VIII A")</f>
        <v>SMP-VIII A</v>
      </c>
      <c r="H146" s="36" t="str">
        <f>IFERROR(__xludf.DUMMYFUNCTION("""COMPUTED_VALUE"""),"B")</f>
        <v>B</v>
      </c>
      <c r="I146" s="40" t="str">
        <f>IFERROR(__xludf.DUMMYFUNCTION("""COMPUTED_VALUE"""),"B-3")</f>
        <v>B-3</v>
      </c>
      <c r="J146" s="40">
        <f>IFERROR(__xludf.DUMMYFUNCTION("""COMPUTED_VALUE"""),2.0)</f>
        <v>2</v>
      </c>
      <c r="K146" s="40" t="str">
        <f>IFERROR(__xludf.DUMMYFUNCTION("""COMPUTED_VALUE"""),"2 ULA B PUTRI")</f>
        <v>2 ULA B PUTRI</v>
      </c>
      <c r="L146" s="41" t="str">
        <f>IFERROR(__xludf.DUMMYFUNCTION("""COMPUTED_VALUE"""),"6282338115599")</f>
        <v>6282338115599</v>
      </c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>
        <f>IFERROR(__xludf.DUMMYFUNCTION("""COMPUTED_VALUE"""),500000.0)</f>
        <v>500000</v>
      </c>
      <c r="AC146" s="42"/>
      <c r="AD146" s="42"/>
      <c r="AE146" s="43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>
        <f>IFERROR(__xludf.DUMMYFUNCTION("""COMPUTED_VALUE"""),500000.0)</f>
        <v>500000</v>
      </c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IFERROR(__xludf.DUMMYFUNCTION("""COMPUTED_VALUE"""),1000000.0)</f>
        <v>1000000</v>
      </c>
      <c r="BE146" s="43">
        <f>IFERROR(__xludf.DUMMYFUNCTION("""COMPUTED_VALUE"""),0.0)</f>
        <v>0</v>
      </c>
      <c r="BF146" s="44">
        <f>IFERROR(__xludf.DUMMYFUNCTION("""COMPUTED_VALUE"""),1000000.0)</f>
        <v>1000000</v>
      </c>
      <c r="BG146" s="42"/>
      <c r="BH146" s="42"/>
      <c r="BI146" s="42"/>
      <c r="BJ146" s="45"/>
      <c r="BK146" s="45"/>
      <c r="BL146" s="45"/>
      <c r="BM146" s="45"/>
      <c r="BN146" s="45"/>
      <c r="BO146" s="46"/>
    </row>
    <row r="147">
      <c r="A147" s="47">
        <f>IFERROR(__xludf.DUMMYFUNCTION("""COMPUTED_VALUE"""),146.0)</f>
        <v>146</v>
      </c>
      <c r="B147" s="48" t="str">
        <f>IFERROR(__xludf.DUMMYFUNCTION("""COMPUTED_VALUE"""),"SEVANI CHINTIA ANGELIA")</f>
        <v>SEVANI CHINTIA ANGELIA</v>
      </c>
      <c r="C147" s="49">
        <f>IFERROR(__xludf.DUMMYFUNCTION("""COMPUTED_VALUE"""),2.025070533E9)</f>
        <v>2025070533</v>
      </c>
      <c r="D147" s="48" t="str">
        <f>IFERROR(__xludf.DUMMYFUNCTION("""COMPUTED_VALUE"""),"RIEKY WAHYU HERMAWAN")</f>
        <v>RIEKY WAHYU HERMAWAN</v>
      </c>
      <c r="E147" s="48" t="str">
        <f>IFERROR(__xludf.DUMMYFUNCTION("""COMPUTED_VALUE"""),"ROMLAWATI")</f>
        <v>ROMLAWATI</v>
      </c>
      <c r="F147" s="48" t="str">
        <f>IFERROR(__xludf.DUMMYFUNCTION("""COMPUTED_VALUE"""),"GORAME BADURAME RT 001 RW 003 TURI LAMONGAN")</f>
        <v>GORAME BADURAME RT 001 RW 003 TURI LAMONGAN</v>
      </c>
      <c r="G147" s="50" t="str">
        <f>IFERROR(__xludf.DUMMYFUNCTION("""COMPUTED_VALUE"""),"MTS-8 F")</f>
        <v>MTS-8 F</v>
      </c>
      <c r="H147" s="47" t="str">
        <f>IFERROR(__xludf.DUMMYFUNCTION("""COMPUTED_VALUE"""),"B")</f>
        <v>B</v>
      </c>
      <c r="I147" s="51" t="str">
        <f>IFERROR(__xludf.DUMMYFUNCTION("""COMPUTED_VALUE"""),"B-2")</f>
        <v>B-2</v>
      </c>
      <c r="J147" s="51">
        <f>IFERROR(__xludf.DUMMYFUNCTION("""COMPUTED_VALUE"""),2.0)</f>
        <v>2</v>
      </c>
      <c r="K147" s="51" t="str">
        <f>IFERROR(__xludf.DUMMYFUNCTION("""COMPUTED_VALUE"""),"2 ULA C PUTRI")</f>
        <v>2 ULA C PUTRI</v>
      </c>
      <c r="L147" s="52" t="str">
        <f>IFERROR(__xludf.DUMMYFUNCTION("""COMPUTED_VALUE"""),"6285859644980")</f>
        <v>6285859644980</v>
      </c>
      <c r="M147" s="53"/>
      <c r="N147" s="53"/>
      <c r="O147" s="53"/>
      <c r="P147" s="53"/>
      <c r="Q147" s="53"/>
      <c r="R147" s="54"/>
      <c r="S147" s="54"/>
      <c r="T147" s="54">
        <f>IFERROR(__xludf.DUMMYFUNCTION("""COMPUTED_VALUE"""),450000.0)</f>
        <v>450000</v>
      </c>
      <c r="U147" s="54">
        <f>IFERROR(__xludf.DUMMYFUNCTION("""COMPUTED_VALUE"""),450000.0)</f>
        <v>450000</v>
      </c>
      <c r="V147" s="54">
        <f>IFERROR(__xludf.DUMMYFUNCTION("""COMPUTED_VALUE"""),450000.0)</f>
        <v>450000</v>
      </c>
      <c r="W147" s="54">
        <f>IFERROR(__xludf.DUMMYFUNCTION("""COMPUTED_VALUE"""),450000.0)</f>
        <v>450000</v>
      </c>
      <c r="X147" s="54">
        <f>IFERROR(__xludf.DUMMYFUNCTION("""COMPUTED_VALUE"""),450000.0)</f>
        <v>450000</v>
      </c>
      <c r="Y147" s="54">
        <f>IFERROR(__xludf.DUMMYFUNCTION("""COMPUTED_VALUE"""),450000.0)</f>
        <v>450000</v>
      </c>
      <c r="Z147" s="54">
        <f>IFERROR(__xludf.DUMMYFUNCTION("""COMPUTED_VALUE"""),450000.0)</f>
        <v>450000</v>
      </c>
      <c r="AA147" s="54"/>
      <c r="AB147" s="54">
        <f>IFERROR(__xludf.DUMMYFUNCTION("""COMPUTED_VALUE"""),500000.0)</f>
        <v>500000</v>
      </c>
      <c r="AC147" s="54"/>
      <c r="AD147" s="54"/>
      <c r="AE147" s="54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>
        <f>IFERROR(__xludf.DUMMYFUNCTION("""COMPUTED_VALUE"""),500000.0)</f>
        <v>500000</v>
      </c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IFERROR(__xludf.DUMMYFUNCTION("""COMPUTED_VALUE"""),3150000.0)</f>
        <v>3150000</v>
      </c>
      <c r="BD147" s="54">
        <f>IFERROR(__xludf.DUMMYFUNCTION("""COMPUTED_VALUE"""),1000000.0)</f>
        <v>1000000</v>
      </c>
      <c r="BE147" s="54">
        <f>IFERROR(__xludf.DUMMYFUNCTION("""COMPUTED_VALUE"""),0.0)</f>
        <v>0</v>
      </c>
      <c r="BF147" s="55">
        <f>IFERROR(__xludf.DUMMYFUNCTION("""COMPUTED_VALUE"""),4150000.0)</f>
        <v>4150000</v>
      </c>
      <c r="BG147" s="53"/>
      <c r="BH147" s="53"/>
      <c r="BI147" s="53"/>
      <c r="BJ147" s="45"/>
      <c r="BK147" s="45"/>
      <c r="BL147" s="45"/>
      <c r="BM147" s="45"/>
      <c r="BN147" s="45"/>
      <c r="BO147" s="46"/>
    </row>
    <row r="148">
      <c r="A148" s="36">
        <f>IFERROR(__xludf.DUMMYFUNCTION("""COMPUTED_VALUE"""),147.0)</f>
        <v>147</v>
      </c>
      <c r="B148" s="37" t="str">
        <f>IFERROR(__xludf.DUMMYFUNCTION("""COMPUTED_VALUE"""),"SHABRINA RAHMADANI")</f>
        <v>SHABRINA RAHMADANI</v>
      </c>
      <c r="C148" s="38">
        <f>IFERROR(__xludf.DUMMYFUNCTION("""COMPUTED_VALUE"""),2.025070091E9)</f>
        <v>2025070091</v>
      </c>
      <c r="D148" s="37" t="str">
        <f>IFERROR(__xludf.DUMMYFUNCTION("""COMPUTED_VALUE"""),"SULIANTO")</f>
        <v>SULIANTO</v>
      </c>
      <c r="E148" s="37" t="str">
        <f>IFERROR(__xludf.DUMMYFUNCTION("""COMPUTED_VALUE"""),"SUKINI")</f>
        <v>SUKINI</v>
      </c>
      <c r="F148" s="37" t="str">
        <f>IFERROR(__xludf.DUMMYFUNCTION("""COMPUTED_VALUE"""),"SUDIMORO MENDOGO RT 002 RW 001 GLAGAH LAMONGAN")</f>
        <v>SUDIMORO MENDOGO RT 002 RW 001 GLAGAH LAMONGAN</v>
      </c>
      <c r="G148" s="38" t="str">
        <f>IFERROR(__xludf.DUMMYFUNCTION("""COMPUTED_VALUE"""),"MA-XI.10")</f>
        <v>MA-XI.10</v>
      </c>
      <c r="H148" s="36" t="str">
        <f>IFERROR(__xludf.DUMMYFUNCTION("""COMPUTED_VALUE"""),"B")</f>
        <v>B</v>
      </c>
      <c r="I148" s="40" t="str">
        <f>IFERROR(__xludf.DUMMYFUNCTION("""COMPUTED_VALUE"""),"B-1")</f>
        <v>B-1</v>
      </c>
      <c r="J148" s="40">
        <f>IFERROR(__xludf.DUMMYFUNCTION("""COMPUTED_VALUE"""),2.0)</f>
        <v>2</v>
      </c>
      <c r="K148" s="40" t="str">
        <f>IFERROR(__xludf.DUMMYFUNCTION("""COMPUTED_VALUE"""),"2 WUSTHO B PUTRI")</f>
        <v>2 WUSTHO B PUTRI</v>
      </c>
      <c r="L148" s="41" t="str">
        <f>IFERROR(__xludf.DUMMYFUNCTION("""COMPUTED_VALUE"""),"6285831478645")</f>
        <v>6285831478645</v>
      </c>
      <c r="M148" s="42"/>
      <c r="N148" s="42"/>
      <c r="O148" s="42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3">
        <f>IFERROR(__xludf.DUMMYFUNCTION("""COMPUTED_VALUE"""),500000.0)</f>
        <v>500000</v>
      </c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IFERROR(__xludf.DUMMYFUNCTION("""COMPUTED_VALUE"""),500000.0)</f>
        <v>500000</v>
      </c>
      <c r="BE148" s="43">
        <f>IFERROR(__xludf.DUMMYFUNCTION("""COMPUTED_VALUE"""),0.0)</f>
        <v>0</v>
      </c>
      <c r="BF148" s="44">
        <f>IFERROR(__xludf.DUMMYFUNCTION("""COMPUTED_VALUE"""),500000.0)</f>
        <v>500000</v>
      </c>
      <c r="BG148" s="42"/>
      <c r="BH148" s="42"/>
      <c r="BI148" s="42"/>
      <c r="BJ148" s="45"/>
      <c r="BK148" s="45"/>
      <c r="BL148" s="45"/>
      <c r="BM148" s="45"/>
      <c r="BN148" s="45"/>
      <c r="BO148" s="46"/>
    </row>
    <row r="149">
      <c r="A149" s="47">
        <f>IFERROR(__xludf.DUMMYFUNCTION("""COMPUTED_VALUE"""),148.0)</f>
        <v>148</v>
      </c>
      <c r="B149" s="48" t="str">
        <f>IFERROR(__xludf.DUMMYFUNCTION("""COMPUTED_VALUE"""),"SHOFIYATUN NISA`")</f>
        <v>SHOFIYATUN NISA`</v>
      </c>
      <c r="C149" s="49">
        <f>IFERROR(__xludf.DUMMYFUNCTION("""COMPUTED_VALUE"""),2.025070477E9)</f>
        <v>2025070477</v>
      </c>
      <c r="D149" s="48" t="str">
        <f>IFERROR(__xludf.DUMMYFUNCTION("""COMPUTED_VALUE"""),"SUNAIN")</f>
        <v>SUNAIN</v>
      </c>
      <c r="E149" s="48" t="str">
        <f>IFERROR(__xludf.DUMMYFUNCTION("""COMPUTED_VALUE"""),"MAZROATUL AKHIROH")</f>
        <v>MAZROATUL AKHIROH</v>
      </c>
      <c r="F149" s="48" t="str">
        <f>IFERROR(__xludf.DUMMYFUNCTION("""COMPUTED_VALUE"""),"BARON RT 006 RW 003 DUKUN GRESIK")</f>
        <v>BARON RT 006 RW 003 DUKUN GRESIK</v>
      </c>
      <c r="G149" s="49" t="str">
        <f>IFERROR(__xludf.DUMMYFUNCTION("""COMPUTED_VALUE"""),"SMP-VIII B")</f>
        <v>SMP-VIII B</v>
      </c>
      <c r="H149" s="47" t="str">
        <f>IFERROR(__xludf.DUMMYFUNCTION("""COMPUTED_VALUE"""),"B")</f>
        <v>B</v>
      </c>
      <c r="I149" s="51" t="str">
        <f>IFERROR(__xludf.DUMMYFUNCTION("""COMPUTED_VALUE"""),"B-10")</f>
        <v>B-10</v>
      </c>
      <c r="J149" s="51">
        <f>IFERROR(__xludf.DUMMYFUNCTION("""COMPUTED_VALUE"""),2.0)</f>
        <v>2</v>
      </c>
      <c r="K149" s="51" t="str">
        <f>IFERROR(__xludf.DUMMYFUNCTION("""COMPUTED_VALUE"""),"2 ULA B PUTRI")</f>
        <v>2 ULA B PUTRI</v>
      </c>
      <c r="L149" s="52" t="str">
        <f>IFERROR(__xludf.DUMMYFUNCTION("""COMPUTED_VALUE"""),"6287853490818")</f>
        <v>6287853490818</v>
      </c>
      <c r="M149" s="54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4">
        <f>IFERROR(__xludf.DUMMYFUNCTION("""COMPUTED_VALUE"""),500000.0)</f>
        <v>500000</v>
      </c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IFERROR(__xludf.DUMMYFUNCTION("""COMPUTED_VALUE"""),0.0)</f>
        <v>0</v>
      </c>
      <c r="BD149" s="54">
        <f>IFERROR(__xludf.DUMMYFUNCTION("""COMPUTED_VALUE"""),500000.0)</f>
        <v>500000</v>
      </c>
      <c r="BE149" s="54">
        <f>IFERROR(__xludf.DUMMYFUNCTION("""COMPUTED_VALUE"""),0.0)</f>
        <v>0</v>
      </c>
      <c r="BF149" s="55">
        <f>IFERROR(__xludf.DUMMYFUNCTION("""COMPUTED_VALUE"""),500000.0)</f>
        <v>500000</v>
      </c>
      <c r="BG149" s="53"/>
      <c r="BH149" s="53"/>
      <c r="BI149" s="53"/>
      <c r="BJ149" s="45"/>
      <c r="BK149" s="45"/>
      <c r="BL149" s="45"/>
      <c r="BM149" s="45"/>
      <c r="BN149" s="45"/>
      <c r="BO149" s="46"/>
    </row>
    <row r="150">
      <c r="A150" s="36">
        <f>IFERROR(__xludf.DUMMYFUNCTION("""COMPUTED_VALUE"""),149.0)</f>
        <v>149</v>
      </c>
      <c r="B150" s="37" t="str">
        <f>IFERROR(__xludf.DUMMYFUNCTION("""COMPUTED_VALUE"""),"SYAIDATUN MAULIDIYA MUNAWAROH")</f>
        <v>SYAIDATUN MAULIDIYA MUNAWAROH</v>
      </c>
      <c r="C150" s="38">
        <f>IFERROR(__xludf.DUMMYFUNCTION("""COMPUTED_VALUE"""),2.02507047E9)</f>
        <v>2025070470</v>
      </c>
      <c r="D150" s="37" t="str">
        <f>IFERROR(__xludf.DUMMYFUNCTION("""COMPUTED_VALUE"""),"KARTO")</f>
        <v>KARTO</v>
      </c>
      <c r="E150" s="37" t="str">
        <f>IFERROR(__xludf.DUMMYFUNCTION("""COMPUTED_VALUE"""),"WATINI DWI LESTARI")</f>
        <v>WATINI DWI LESTARI</v>
      </c>
      <c r="F150" s="37" t="str">
        <f>IFERROR(__xludf.DUMMYFUNCTION("""COMPUTED_VALUE"""),"KALITENGAH SOKO RT 001 RW 007 TIKUNG LAMONGAN")</f>
        <v>KALITENGAH SOKO RT 001 RW 007 TIKUNG LAMONGAN</v>
      </c>
      <c r="G150" s="39" t="str">
        <f>IFERROR(__xludf.DUMMYFUNCTION("""COMPUTED_VALUE"""),"SMP-VIII C")</f>
        <v>SMP-VIII C</v>
      </c>
      <c r="H150" s="36" t="str">
        <f>IFERROR(__xludf.DUMMYFUNCTION("""COMPUTED_VALUE"""),"B")</f>
        <v>B</v>
      </c>
      <c r="I150" s="40" t="str">
        <f>IFERROR(__xludf.DUMMYFUNCTION("""COMPUTED_VALUE"""),"B-3")</f>
        <v>B-3</v>
      </c>
      <c r="J150" s="40">
        <f>IFERROR(__xludf.DUMMYFUNCTION("""COMPUTED_VALUE"""),2.0)</f>
        <v>2</v>
      </c>
      <c r="K150" s="40" t="str">
        <f>IFERROR(__xludf.DUMMYFUNCTION("""COMPUTED_VALUE"""),"2 ULA A PUTRI")</f>
        <v>2 ULA A PUTRI</v>
      </c>
      <c r="L150" s="41" t="str">
        <f>IFERROR(__xludf.DUMMYFUNCTION("""COMPUTED_VALUE"""),"6285604924379")</f>
        <v>6285604924379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3"/>
      <c r="Y150" s="43"/>
      <c r="Z150" s="43"/>
      <c r="AA150" s="43"/>
      <c r="AB150" s="43"/>
      <c r="AC150" s="43"/>
      <c r="AD150" s="43"/>
      <c r="AE150" s="43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3">
        <f>IFERROR(__xludf.DUMMYFUNCTION("""COMPUTED_VALUE"""),500000.0)</f>
        <v>500000</v>
      </c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IFERROR(__xludf.DUMMYFUNCTION("""COMPUTED_VALUE"""),0.0)</f>
        <v>0</v>
      </c>
      <c r="BD150" s="43">
        <f>IFERROR(__xludf.DUMMYFUNCTION("""COMPUTED_VALUE"""),500000.0)</f>
        <v>500000</v>
      </c>
      <c r="BE150" s="43">
        <f>IFERROR(__xludf.DUMMYFUNCTION("""COMPUTED_VALUE"""),0.0)</f>
        <v>0</v>
      </c>
      <c r="BF150" s="44">
        <f>IFERROR(__xludf.DUMMYFUNCTION("""COMPUTED_VALUE"""),500000.0)</f>
        <v>500000</v>
      </c>
      <c r="BG150" s="42"/>
      <c r="BH150" s="42"/>
      <c r="BI150" s="42"/>
      <c r="BJ150" s="45"/>
      <c r="BK150" s="45"/>
      <c r="BL150" s="45"/>
      <c r="BM150" s="45"/>
      <c r="BN150" s="45"/>
      <c r="BO150" s="46"/>
    </row>
    <row r="151">
      <c r="A151" s="47">
        <f>IFERROR(__xludf.DUMMYFUNCTION("""COMPUTED_VALUE"""),150.0)</f>
        <v>150</v>
      </c>
      <c r="B151" s="48" t="str">
        <f>IFERROR(__xludf.DUMMYFUNCTION("""COMPUTED_VALUE"""),"SYAKILA RAMADHANI")</f>
        <v>SYAKILA RAMADHANI</v>
      </c>
      <c r="C151" s="49">
        <f>IFERROR(__xludf.DUMMYFUNCTION("""COMPUTED_VALUE"""),2.02507037E9)</f>
        <v>2025070370</v>
      </c>
      <c r="D151" s="48" t="str">
        <f>IFERROR(__xludf.DUMMYFUNCTION("""COMPUTED_VALUE"""),"CHAIRUL ANAM")</f>
        <v>CHAIRUL ANAM</v>
      </c>
      <c r="E151" s="48" t="str">
        <f>IFERROR(__xludf.DUMMYFUNCTION("""COMPUTED_VALUE"""),"MASFUFAH")</f>
        <v>MASFUFAH</v>
      </c>
      <c r="F151" s="48" t="str">
        <f>IFERROR(__xludf.DUMMYFUNCTION("""COMPUTED_VALUE"""),"TUNJUNGMEKAR RT 002 RW 004 KALITENGAH LAMONGAN")</f>
        <v>TUNJUNGMEKAR RT 002 RW 004 KALITENGAH LAMONGAN</v>
      </c>
      <c r="G151" s="49" t="str">
        <f>IFERROR(__xludf.DUMMYFUNCTION("""COMPUTED_VALUE"""),"MA-XI.8")</f>
        <v>MA-XI.8</v>
      </c>
      <c r="H151" s="47" t="str">
        <f>IFERROR(__xludf.DUMMYFUNCTION("""COMPUTED_VALUE"""),"B")</f>
        <v>B</v>
      </c>
      <c r="I151" s="51" t="str">
        <f>IFERROR(__xludf.DUMMYFUNCTION("""COMPUTED_VALUE"""),"B-1")</f>
        <v>B-1</v>
      </c>
      <c r="J151" s="51">
        <f>IFERROR(__xludf.DUMMYFUNCTION("""COMPUTED_VALUE"""),2.0)</f>
        <v>2</v>
      </c>
      <c r="K151" s="51" t="str">
        <f>IFERROR(__xludf.DUMMYFUNCTION("""COMPUTED_VALUE"""),"2 WUSTHO C PUTRI")</f>
        <v>2 WUSTHO C PUTRI</v>
      </c>
      <c r="L151" s="50" t="str">
        <f>IFERROR(__xludf.DUMMYFUNCTION("""COMPUTED_VALUE"""),"6285536376619")</f>
        <v>6285536376619</v>
      </c>
      <c r="M151" s="54"/>
      <c r="N151" s="53"/>
      <c r="O151" s="53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f>IFERROR(__xludf.DUMMYFUNCTION("""COMPUTED_VALUE"""),450000.0)</f>
        <v>450000</v>
      </c>
      <c r="AA151" s="54"/>
      <c r="AB151" s="54">
        <f>IFERROR(__xludf.DUMMYFUNCTION("""COMPUTED_VALUE"""),500000.0)</f>
        <v>500000</v>
      </c>
      <c r="AC151" s="54"/>
      <c r="AD151" s="54"/>
      <c r="AE151" s="54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4">
        <f>IFERROR(__xludf.DUMMYFUNCTION("""COMPUTED_VALUE"""),500000.0)</f>
        <v>500000</v>
      </c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IFERROR(__xludf.DUMMYFUNCTION("""COMPUTED_VALUE"""),450000.0)</f>
        <v>450000</v>
      </c>
      <c r="BD151" s="54">
        <f>IFERROR(__xludf.DUMMYFUNCTION("""COMPUTED_VALUE"""),1000000.0)</f>
        <v>1000000</v>
      </c>
      <c r="BE151" s="54">
        <f>IFERROR(__xludf.DUMMYFUNCTION("""COMPUTED_VALUE"""),0.0)</f>
        <v>0</v>
      </c>
      <c r="BF151" s="55">
        <f>IFERROR(__xludf.DUMMYFUNCTION("""COMPUTED_VALUE"""),1450000.0)</f>
        <v>1450000</v>
      </c>
      <c r="BG151" s="53"/>
      <c r="BH151" s="53"/>
      <c r="BI151" s="53"/>
      <c r="BJ151" s="45"/>
      <c r="BK151" s="45"/>
      <c r="BL151" s="45"/>
      <c r="BM151" s="45"/>
      <c r="BN151" s="45"/>
      <c r="BO151" s="46"/>
    </row>
    <row r="152">
      <c r="A152" s="36">
        <f>IFERROR(__xludf.DUMMYFUNCTION("""COMPUTED_VALUE"""),151.0)</f>
        <v>151</v>
      </c>
      <c r="B152" s="37" t="str">
        <f>IFERROR(__xludf.DUMMYFUNCTION("""COMPUTED_VALUE"""),"SYARIFA ZUHRIYAH")</f>
        <v>SYARIFA ZUHRIYAH</v>
      </c>
      <c r="C152" s="38">
        <f>IFERROR(__xludf.DUMMYFUNCTION("""COMPUTED_VALUE"""),2.025070473E9)</f>
        <v>2025070473</v>
      </c>
      <c r="D152" s="37" t="str">
        <f>IFERROR(__xludf.DUMMYFUNCTION("""COMPUTED_VALUE"""),"KISWADI")</f>
        <v>KISWADI</v>
      </c>
      <c r="E152" s="37" t="str">
        <f>IFERROR(__xludf.DUMMYFUNCTION("""COMPUTED_VALUE"""),"SITI ZUMAEROH")</f>
        <v>SITI ZUMAEROH</v>
      </c>
      <c r="F152" s="37" t="str">
        <f>IFERROR(__xludf.DUMMYFUNCTION("""COMPUTED_VALUE"""),"KEDIREN RT 003 RW 002 KALITENGAH LAMONGAN")</f>
        <v>KEDIREN RT 003 RW 002 KALITENGAH LAMONGAN</v>
      </c>
      <c r="G152" s="39" t="str">
        <f>IFERROR(__xludf.DUMMYFUNCTION("""COMPUTED_VALUE"""),"SMP-VIII A")</f>
        <v>SMP-VIII A</v>
      </c>
      <c r="H152" s="36" t="str">
        <f>IFERROR(__xludf.DUMMYFUNCTION("""COMPUTED_VALUE"""),"B")</f>
        <v>B</v>
      </c>
      <c r="I152" s="40" t="str">
        <f>IFERROR(__xludf.DUMMYFUNCTION("""COMPUTED_VALUE"""),"B-3")</f>
        <v>B-3</v>
      </c>
      <c r="J152" s="40">
        <f>IFERROR(__xludf.DUMMYFUNCTION("""COMPUTED_VALUE"""),2.0)</f>
        <v>2</v>
      </c>
      <c r="K152" s="40" t="str">
        <f>IFERROR(__xludf.DUMMYFUNCTION("""COMPUTED_VALUE"""),"2 ULA A PUTRI")</f>
        <v>2 ULA A PUTRI</v>
      </c>
      <c r="L152" s="39" t="str">
        <f>IFERROR(__xludf.DUMMYFUNCTION("""COMPUTED_VALUE"""),"6285739096483")</f>
        <v>6285739096483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3"/>
      <c r="AB152" s="43">
        <f>IFERROR(__xludf.DUMMYFUNCTION("""COMPUTED_VALUE"""),500000.0)</f>
        <v>500000</v>
      </c>
      <c r="AC152" s="43"/>
      <c r="AD152" s="43"/>
      <c r="AE152" s="43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3">
        <f>IFERROR(__xludf.DUMMYFUNCTION("""COMPUTED_VALUE"""),500000.0)</f>
        <v>500000</v>
      </c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IFERROR(__xludf.DUMMYFUNCTION("""COMPUTED_VALUE"""),1000000.0)</f>
        <v>1000000</v>
      </c>
      <c r="BE152" s="43">
        <f>IFERROR(__xludf.DUMMYFUNCTION("""COMPUTED_VALUE"""),0.0)</f>
        <v>0</v>
      </c>
      <c r="BF152" s="44">
        <f>IFERROR(__xludf.DUMMYFUNCTION("""COMPUTED_VALUE"""),1000000.0)</f>
        <v>1000000</v>
      </c>
      <c r="BG152" s="42"/>
      <c r="BH152" s="42"/>
      <c r="BI152" s="42"/>
      <c r="BJ152" s="45"/>
      <c r="BK152" s="45"/>
      <c r="BL152" s="45"/>
      <c r="BM152" s="45"/>
      <c r="BN152" s="45"/>
      <c r="BO152" s="46"/>
    </row>
    <row r="153">
      <c r="A153" s="47">
        <f>IFERROR(__xludf.DUMMYFUNCTION("""COMPUTED_VALUE"""),152.0)</f>
        <v>152</v>
      </c>
      <c r="B153" s="48" t="str">
        <f>IFERROR(__xludf.DUMMYFUNCTION("""COMPUTED_VALUE"""),"THEA CLARESTA")</f>
        <v>THEA CLARESTA</v>
      </c>
      <c r="C153" s="49">
        <f>IFERROR(__xludf.DUMMYFUNCTION("""COMPUTED_VALUE"""),2.025070545E9)</f>
        <v>2025070545</v>
      </c>
      <c r="D153" s="48" t="str">
        <f>IFERROR(__xludf.DUMMYFUNCTION("""COMPUTED_VALUE"""),"SISWANTO")</f>
        <v>SISWANTO</v>
      </c>
      <c r="E153" s="48" t="str">
        <f>IFERROR(__xludf.DUMMYFUNCTION("""COMPUTED_VALUE"""),"DWI KRISTINA")</f>
        <v>DWI KRISTINA</v>
      </c>
      <c r="F153" s="48" t="str">
        <f>IFERROR(__xludf.DUMMYFUNCTION("""COMPUTED_VALUE"""),"BUCUKIDUL MENGANTI RT 004 RW 001 GLAGAH LAMONGAN")</f>
        <v>BUCUKIDUL MENGANTI RT 004 RW 001 GLAGAH LAMONGAN</v>
      </c>
      <c r="G153" s="50" t="str">
        <f>IFERROR(__xludf.DUMMYFUNCTION("""COMPUTED_VALUE"""),"MTS-8 C")</f>
        <v>MTS-8 C</v>
      </c>
      <c r="H153" s="47" t="str">
        <f>IFERROR(__xludf.DUMMYFUNCTION("""COMPUTED_VALUE"""),"B")</f>
        <v>B</v>
      </c>
      <c r="I153" s="51" t="str">
        <f>IFERROR(__xludf.DUMMYFUNCTION("""COMPUTED_VALUE"""),"B-2")</f>
        <v>B-2</v>
      </c>
      <c r="J153" s="51">
        <f>IFERROR(__xludf.DUMMYFUNCTION("""COMPUTED_VALUE"""),2.0)</f>
        <v>2</v>
      </c>
      <c r="K153" s="51" t="str">
        <f>IFERROR(__xludf.DUMMYFUNCTION("""COMPUTED_VALUE"""),"2 ULA C PUTRI")</f>
        <v>2 ULA C PUTRI</v>
      </c>
      <c r="L153" s="52" t="str">
        <f>IFERROR(__xludf.DUMMYFUNCTION("""COMPUTED_VALUE"""),"6285806503341")</f>
        <v>6285806503341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>
        <f>IFERROR(__xludf.DUMMYFUNCTION("""COMPUTED_VALUE"""),450000.0)</f>
        <v>450000</v>
      </c>
      <c r="Z153" s="53">
        <f>IFERROR(__xludf.DUMMYFUNCTION("""COMPUTED_VALUE"""),450000.0)</f>
        <v>450000</v>
      </c>
      <c r="AA153" s="53"/>
      <c r="AB153" s="53">
        <f>IFERROR(__xludf.DUMMYFUNCTION("""COMPUTED_VALUE"""),500000.0)</f>
        <v>500000</v>
      </c>
      <c r="AC153" s="53"/>
      <c r="AD153" s="53"/>
      <c r="AE153" s="54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4">
        <f>IFERROR(__xludf.DUMMYFUNCTION("""COMPUTED_VALUE"""),500000.0)</f>
        <v>500000</v>
      </c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IFERROR(__xludf.DUMMYFUNCTION("""COMPUTED_VALUE"""),900000.0)</f>
        <v>900000</v>
      </c>
      <c r="BD153" s="54">
        <f>IFERROR(__xludf.DUMMYFUNCTION("""COMPUTED_VALUE"""),1000000.0)</f>
        <v>1000000</v>
      </c>
      <c r="BE153" s="54">
        <f>IFERROR(__xludf.DUMMYFUNCTION("""COMPUTED_VALUE"""),0.0)</f>
        <v>0</v>
      </c>
      <c r="BF153" s="55">
        <f>IFERROR(__xludf.DUMMYFUNCTION("""COMPUTED_VALUE"""),1900000.0)</f>
        <v>1900000</v>
      </c>
      <c r="BG153" s="53"/>
      <c r="BH153" s="53"/>
      <c r="BI153" s="53"/>
      <c r="BJ153" s="45"/>
      <c r="BK153" s="45"/>
      <c r="BL153" s="45"/>
      <c r="BM153" s="45"/>
      <c r="BN153" s="45"/>
      <c r="BO153" s="46"/>
    </row>
    <row r="154">
      <c r="A154" s="36">
        <f>IFERROR(__xludf.DUMMYFUNCTION("""COMPUTED_VALUE"""),153.0)</f>
        <v>153</v>
      </c>
      <c r="B154" s="37" t="str">
        <f>IFERROR(__xludf.DUMMYFUNCTION("""COMPUTED_VALUE"""),"TITIN NUR MAULIDIA")</f>
        <v>TITIN NUR MAULIDIA</v>
      </c>
      <c r="C154" s="38">
        <f>IFERROR(__xludf.DUMMYFUNCTION("""COMPUTED_VALUE"""),2.025070621E9)</f>
        <v>2025070621</v>
      </c>
      <c r="D154" s="37" t="str">
        <f>IFERROR(__xludf.DUMMYFUNCTION("""COMPUTED_VALUE"""),"ALI AFANDI")</f>
        <v>ALI AFANDI</v>
      </c>
      <c r="E154" s="37" t="str">
        <f>IFERROR(__xludf.DUMMYFUNCTION("""COMPUTED_VALUE"""),"PIYATI")</f>
        <v>PIYATI</v>
      </c>
      <c r="F154" s="37" t="str">
        <f>IFERROR(__xludf.DUMMYFUNCTION("""COMPUTED_VALUE"""),"RANGKAH NGUJUNGREJO RT 011 RW 005 TURI LAMONGAN")</f>
        <v>RANGKAH NGUJUNGREJO RT 011 RW 005 TURI LAMONGAN</v>
      </c>
      <c r="G154" s="39" t="str">
        <f>IFERROR(__xludf.DUMMYFUNCTION("""COMPUTED_VALUE"""),"MTS-8 F")</f>
        <v>MTS-8 F</v>
      </c>
      <c r="H154" s="36" t="str">
        <f>IFERROR(__xludf.DUMMYFUNCTION("""COMPUTED_VALUE"""),"B")</f>
        <v>B</v>
      </c>
      <c r="I154" s="40" t="str">
        <f>IFERROR(__xludf.DUMMYFUNCTION("""COMPUTED_VALUE"""),"B-2")</f>
        <v>B-2</v>
      </c>
      <c r="J154" s="40">
        <f>IFERROR(__xludf.DUMMYFUNCTION("""COMPUTED_VALUE"""),2.0)</f>
        <v>2</v>
      </c>
      <c r="K154" s="40" t="str">
        <f>IFERROR(__xludf.DUMMYFUNCTION("""COMPUTED_VALUE"""),"2 ULA B PUTRI")</f>
        <v>2 ULA B PUTRI</v>
      </c>
      <c r="L154" s="39" t="str">
        <f>IFERROR(__xludf.DUMMYFUNCTION("""COMPUTED_VALUE"""),"6285859264732")</f>
        <v>6285859264732</v>
      </c>
      <c r="M154" s="43"/>
      <c r="N154" s="42"/>
      <c r="O154" s="42"/>
      <c r="P154" s="42"/>
      <c r="Q154" s="42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>
        <f>IFERROR(__xludf.DUMMYFUNCTION("""COMPUTED_VALUE"""),500000.0)</f>
        <v>500000</v>
      </c>
      <c r="AC154" s="43"/>
      <c r="AD154" s="43"/>
      <c r="AE154" s="43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3">
        <f>IFERROR(__xludf.DUMMYFUNCTION("""COMPUTED_VALUE"""),500000.0)</f>
        <v>500000</v>
      </c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IFERROR(__xludf.DUMMYFUNCTION("""COMPUTED_VALUE"""),0.0)</f>
        <v>0</v>
      </c>
      <c r="BD154" s="43">
        <f>IFERROR(__xludf.DUMMYFUNCTION("""COMPUTED_VALUE"""),1000000.0)</f>
        <v>1000000</v>
      </c>
      <c r="BE154" s="43">
        <f>IFERROR(__xludf.DUMMYFUNCTION("""COMPUTED_VALUE"""),0.0)</f>
        <v>0</v>
      </c>
      <c r="BF154" s="44">
        <f>IFERROR(__xludf.DUMMYFUNCTION("""COMPUTED_VALUE"""),1000000.0)</f>
        <v>1000000</v>
      </c>
      <c r="BG154" s="42"/>
      <c r="BH154" s="42"/>
      <c r="BI154" s="42"/>
      <c r="BJ154" s="45"/>
      <c r="BK154" s="45"/>
      <c r="BL154" s="45"/>
      <c r="BM154" s="45"/>
      <c r="BN154" s="45"/>
      <c r="BO154" s="46"/>
    </row>
    <row r="155">
      <c r="A155" s="47">
        <f>IFERROR(__xludf.DUMMYFUNCTION("""COMPUTED_VALUE"""),154.0)</f>
        <v>154</v>
      </c>
      <c r="B155" s="48" t="str">
        <f>IFERROR(__xludf.DUMMYFUNCTION("""COMPUTED_VALUE"""),"TRIANOVA AMALIA AZ-ZAHRA")</f>
        <v>TRIANOVA AMALIA AZ-ZAHRA</v>
      </c>
      <c r="C155" s="49">
        <f>IFERROR(__xludf.DUMMYFUNCTION("""COMPUTED_VALUE"""),2.025070578E9)</f>
        <v>2025070578</v>
      </c>
      <c r="D155" s="48" t="str">
        <f>IFERROR(__xludf.DUMMYFUNCTION("""COMPUTED_VALUE"""),"ABDULLAH UBET")</f>
        <v>ABDULLAH UBET</v>
      </c>
      <c r="E155" s="48" t="str">
        <f>IFERROR(__xludf.DUMMYFUNCTION("""COMPUTED_VALUE"""),"DWI DIAH ANGGRAINI")</f>
        <v>DWI DIAH ANGGRAINI</v>
      </c>
      <c r="F155" s="48" t="str">
        <f>IFERROR(__xludf.DUMMYFUNCTION("""COMPUTED_VALUE"""),"JL. KH. A. DAHLAN GG. MAWAR MERAH II TLOGOANYAR RT 001 RW 001 LAMONGAN LAMONGAN")</f>
        <v>JL. KH. A. DAHLAN GG. MAWAR MERAH II TLOGOANYAR RT 001 RW 001 LAMONGAN LAMONGAN</v>
      </c>
      <c r="G155" s="50" t="str">
        <f>IFERROR(__xludf.DUMMYFUNCTION("""COMPUTED_VALUE"""),"MTS-8 E")</f>
        <v>MTS-8 E</v>
      </c>
      <c r="H155" s="47" t="str">
        <f>IFERROR(__xludf.DUMMYFUNCTION("""COMPUTED_VALUE"""),"B")</f>
        <v>B</v>
      </c>
      <c r="I155" s="51" t="str">
        <f>IFERROR(__xludf.DUMMYFUNCTION("""COMPUTED_VALUE"""),"B-2")</f>
        <v>B-2</v>
      </c>
      <c r="J155" s="51">
        <f>IFERROR(__xludf.DUMMYFUNCTION("""COMPUTED_VALUE"""),2.0)</f>
        <v>2</v>
      </c>
      <c r="K155" s="51" t="str">
        <f>IFERROR(__xludf.DUMMYFUNCTION("""COMPUTED_VALUE"""),"2 ULA C PUTRI")</f>
        <v>2 ULA C PUTRI</v>
      </c>
      <c r="L155" s="52" t="str">
        <f>IFERROR(__xludf.DUMMYFUNCTION("""COMPUTED_VALUE"""),"6281357970159")</f>
        <v>6281357970159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 t="str">
        <f>IFERROR(__xludf.DUMMYFUNCTION("""COMPUTED_VALUE""")," ")</f>
        <v> </v>
      </c>
      <c r="Y155" s="53">
        <f>IFERROR(__xludf.DUMMYFUNCTION("""COMPUTED_VALUE"""),450000.0)</f>
        <v>450000</v>
      </c>
      <c r="Z155" s="53">
        <f>IFERROR(__xludf.DUMMYFUNCTION("""COMPUTED_VALUE"""),450000.0)</f>
        <v>450000</v>
      </c>
      <c r="AA155" s="53"/>
      <c r="AB155" s="54">
        <f>IFERROR(__xludf.DUMMYFUNCTION("""COMPUTED_VALUE"""),500000.0)</f>
        <v>500000</v>
      </c>
      <c r="AC155" s="54"/>
      <c r="AD155" s="54"/>
      <c r="AE155" s="54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4">
        <f>IFERROR(__xludf.DUMMYFUNCTION("""COMPUTED_VALUE"""),500000.0)</f>
        <v>500000</v>
      </c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IFERROR(__xludf.DUMMYFUNCTION("""COMPUTED_VALUE"""),900000.0)</f>
        <v>900000</v>
      </c>
      <c r="BD155" s="54">
        <f>IFERROR(__xludf.DUMMYFUNCTION("""COMPUTED_VALUE"""),1000000.0)</f>
        <v>1000000</v>
      </c>
      <c r="BE155" s="54">
        <f>IFERROR(__xludf.DUMMYFUNCTION("""COMPUTED_VALUE"""),0.0)</f>
        <v>0</v>
      </c>
      <c r="BF155" s="55">
        <f>IFERROR(__xludf.DUMMYFUNCTION("""COMPUTED_VALUE"""),1900000.0)</f>
        <v>1900000</v>
      </c>
      <c r="BG155" s="53"/>
      <c r="BH155" s="53"/>
      <c r="BI155" s="53"/>
      <c r="BJ155" s="45"/>
      <c r="BK155" s="45"/>
      <c r="BL155" s="45"/>
      <c r="BM155" s="45"/>
      <c r="BN155" s="45"/>
      <c r="BO155" s="46"/>
    </row>
    <row r="156">
      <c r="A156" s="36">
        <f>IFERROR(__xludf.DUMMYFUNCTION("""COMPUTED_VALUE"""),155.0)</f>
        <v>155</v>
      </c>
      <c r="B156" s="37" t="str">
        <f>IFERROR(__xludf.DUMMYFUNCTION("""COMPUTED_VALUE"""),"ZAHRIATUL MUHIMATUN NISA`")</f>
        <v>ZAHRIATUL MUHIMATUN NISA`</v>
      </c>
      <c r="C156" s="38">
        <f>IFERROR(__xludf.DUMMYFUNCTION("""COMPUTED_VALUE"""),2.025070094E9)</f>
        <v>2025070094</v>
      </c>
      <c r="D156" s="37" t="str">
        <f>IFERROR(__xludf.DUMMYFUNCTION("""COMPUTED_VALUE"""),"MOHAMMAD ZAERI")</f>
        <v>MOHAMMAD ZAERI</v>
      </c>
      <c r="E156" s="37" t="str">
        <f>IFERROR(__xludf.DUMMYFUNCTION("""COMPUTED_VALUE"""),"ANISATUR ROSIDAH")</f>
        <v>ANISATUR ROSIDAH</v>
      </c>
      <c r="F156" s="37" t="str">
        <f>IFERROR(__xludf.DUMMYFUNCTION("""COMPUTED_VALUE"""),"RAYUNG RAYUNGGUMUK RT 003 RW 003 GLAGAH LAMONGAN")</f>
        <v>RAYUNG RAYUNGGUMUK RT 003 RW 003 GLAGAH LAMONGAN</v>
      </c>
      <c r="G156" s="39" t="str">
        <f>IFERROR(__xludf.DUMMYFUNCTION("""COMPUTED_VALUE"""),"MA-XI.1")</f>
        <v>MA-XI.1</v>
      </c>
      <c r="H156" s="36" t="str">
        <f>IFERROR(__xludf.DUMMYFUNCTION("""COMPUTED_VALUE"""),"B")</f>
        <v>B</v>
      </c>
      <c r="I156" s="40" t="str">
        <f>IFERROR(__xludf.DUMMYFUNCTION("""COMPUTED_VALUE"""),"B-3")</f>
        <v>B-3</v>
      </c>
      <c r="J156" s="40">
        <f>IFERROR(__xludf.DUMMYFUNCTION("""COMPUTED_VALUE"""),2.0)</f>
        <v>2</v>
      </c>
      <c r="K156" s="40" t="str">
        <f>IFERROR(__xludf.DUMMYFUNCTION("""COMPUTED_VALUE"""),"TAHFIDZ")</f>
        <v>TAHFIDZ</v>
      </c>
      <c r="L156" s="41" t="str">
        <f>IFERROR(__xludf.DUMMYFUNCTION("""COMPUTED_VALUE"""),"6285607132023")</f>
        <v>6285607132023</v>
      </c>
      <c r="M156" s="42"/>
      <c r="N156" s="42">
        <f>IFERROR(__xludf.DUMMYFUNCTION("""COMPUTED_VALUE"""),200000.0)</f>
        <v>200000</v>
      </c>
      <c r="O156" s="42">
        <f>IFERROR(__xludf.DUMMYFUNCTION("""COMPUTED_VALUE"""),450000.0)</f>
        <v>450000</v>
      </c>
      <c r="P156" s="42">
        <f>IFERROR(__xludf.DUMMYFUNCTION("""COMPUTED_VALUE"""),450000.0)</f>
        <v>450000</v>
      </c>
      <c r="Q156" s="42">
        <f>IFERROR(__xludf.DUMMYFUNCTION("""COMPUTED_VALUE"""),450000.0)</f>
        <v>450000</v>
      </c>
      <c r="R156" s="42">
        <f>IFERROR(__xludf.DUMMYFUNCTION("""COMPUTED_VALUE"""),450000.0)</f>
        <v>450000</v>
      </c>
      <c r="S156" s="42">
        <f>IFERROR(__xludf.DUMMYFUNCTION("""COMPUTED_VALUE"""),450000.0)</f>
        <v>450000</v>
      </c>
      <c r="T156" s="42">
        <f>IFERROR(__xludf.DUMMYFUNCTION("""COMPUTED_VALUE"""),450000.0)</f>
        <v>450000</v>
      </c>
      <c r="U156" s="42">
        <f>IFERROR(__xludf.DUMMYFUNCTION("""COMPUTED_VALUE"""),450000.0)</f>
        <v>450000</v>
      </c>
      <c r="V156" s="43">
        <f>IFERROR(__xludf.DUMMYFUNCTION("""COMPUTED_VALUE"""),450000.0)</f>
        <v>450000</v>
      </c>
      <c r="W156" s="43">
        <f>IFERROR(__xludf.DUMMYFUNCTION("""COMPUTED_VALUE"""),450000.0)</f>
        <v>450000</v>
      </c>
      <c r="X156" s="43">
        <f>IFERROR(__xludf.DUMMYFUNCTION("""COMPUTED_VALUE"""),450000.0)</f>
        <v>450000</v>
      </c>
      <c r="Y156" s="43">
        <f>IFERROR(__xludf.DUMMYFUNCTION("""COMPUTED_VALUE"""),450000.0)</f>
        <v>450000</v>
      </c>
      <c r="Z156" s="43">
        <f>IFERROR(__xludf.DUMMYFUNCTION("""COMPUTED_VALUE"""),450000.0)</f>
        <v>450000</v>
      </c>
      <c r="AA156" s="43"/>
      <c r="AB156" s="43"/>
      <c r="AC156" s="43"/>
      <c r="AD156" s="43"/>
      <c r="AE156" s="43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3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IFERROR(__xludf.DUMMYFUNCTION("""COMPUTED_VALUE"""),5400000.0)</f>
        <v>5400000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IFERROR(__xludf.DUMMYFUNCTION("""COMPUTED_VALUE"""),5400000.0)</f>
        <v>5400000</v>
      </c>
      <c r="BG156" s="42"/>
      <c r="BH156" s="42"/>
      <c r="BI156" s="42"/>
      <c r="BJ156" s="45"/>
      <c r="BK156" s="45"/>
      <c r="BL156" s="45"/>
      <c r="BM156" s="45"/>
      <c r="BN156" s="45"/>
      <c r="BO156" s="46"/>
    </row>
    <row r="157">
      <c r="A157" s="47">
        <f>IFERROR(__xludf.DUMMYFUNCTION("""COMPUTED_VALUE"""),156.0)</f>
        <v>156</v>
      </c>
      <c r="B157" s="48" t="str">
        <f>IFERROR(__xludf.DUMMYFUNCTION("""COMPUTED_VALUE"""),"ZUNI SARAH")</f>
        <v>ZUNI SARAH</v>
      </c>
      <c r="C157" s="49">
        <f>IFERROR(__xludf.DUMMYFUNCTION("""COMPUTED_VALUE"""),2.025070269E9)</f>
        <v>2025070269</v>
      </c>
      <c r="D157" s="48" t="str">
        <f>IFERROR(__xludf.DUMMYFUNCTION("""COMPUTED_VALUE"""),"TASMAN")</f>
        <v>TASMAN</v>
      </c>
      <c r="E157" s="48" t="str">
        <f>IFERROR(__xludf.DUMMYFUNCTION("""COMPUTED_VALUE"""),"SULIMAH")</f>
        <v>SULIMAH</v>
      </c>
      <c r="F157" s="48" t="str">
        <f>IFERROR(__xludf.DUMMYFUNCTION("""COMPUTED_VALUE"""),"JANGGAN POMAHANJANGGAN RT 005 RW 003 TURI LAMONGAN")</f>
        <v>JANGGAN POMAHANJANGGAN RT 005 RW 003 TURI LAMONGAN</v>
      </c>
      <c r="G157" s="50" t="str">
        <f>IFERROR(__xludf.DUMMYFUNCTION("""COMPUTED_VALUE"""),"MA-XI.11")</f>
        <v>MA-XI.11</v>
      </c>
      <c r="H157" s="47" t="str">
        <f>IFERROR(__xludf.DUMMYFUNCTION("""COMPUTED_VALUE"""),"B")</f>
        <v>B</v>
      </c>
      <c r="I157" s="51" t="str">
        <f>IFERROR(__xludf.DUMMYFUNCTION("""COMPUTED_VALUE"""),"B-1")</f>
        <v>B-1</v>
      </c>
      <c r="J157" s="51">
        <f>IFERROR(__xludf.DUMMYFUNCTION("""COMPUTED_VALUE"""),2.0)</f>
        <v>2</v>
      </c>
      <c r="K157" s="51" t="str">
        <f>IFERROR(__xludf.DUMMYFUNCTION("""COMPUTED_VALUE"""),"2 WUSTHO D PUTRI")</f>
        <v>2 WUSTHO D PUTRI</v>
      </c>
      <c r="L157" s="52" t="str">
        <f>IFERROR(__xludf.DUMMYFUNCTION("""COMPUTED_VALUE"""),"628507967794")</f>
        <v>628507967794</v>
      </c>
      <c r="M157" s="53">
        <f>IFERROR(__xludf.DUMMYFUNCTION("""COMPUTED_VALUE"""),600000.0)</f>
        <v>600000</v>
      </c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4">
        <f>IFERROR(__xludf.DUMMYFUNCTION("""COMPUTED_VALUE"""),500000.0)</f>
        <v>500000</v>
      </c>
      <c r="AC157" s="53"/>
      <c r="AD157" s="54"/>
      <c r="AE157" s="54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4">
        <f>IFERROR(__xludf.DUMMYFUNCTION("""COMPUTED_VALUE"""),500000.0)</f>
        <v>500000</v>
      </c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IFERROR(__xludf.DUMMYFUNCTION("""COMPUTED_VALUE"""),1600000.0)</f>
        <v>1600000</v>
      </c>
      <c r="BE157" s="54">
        <f>IFERROR(__xludf.DUMMYFUNCTION("""COMPUTED_VALUE"""),0.0)</f>
        <v>0</v>
      </c>
      <c r="BF157" s="55">
        <f>IFERROR(__xludf.DUMMYFUNCTION("""COMPUTED_VALUE"""),1600000.0)</f>
        <v>1600000</v>
      </c>
      <c r="BG157" s="53"/>
      <c r="BH157" s="53"/>
      <c r="BI157" s="53"/>
      <c r="BJ157" s="45"/>
      <c r="BK157" s="45"/>
      <c r="BL157" s="45"/>
      <c r="BM157" s="45"/>
      <c r="BN157" s="45"/>
      <c r="BO157" s="46"/>
    </row>
    <row r="158">
      <c r="A158" s="36">
        <f>IFERROR(__xludf.DUMMYFUNCTION("""COMPUTED_VALUE"""),157.0)</f>
        <v>157</v>
      </c>
      <c r="B158" s="37" t="str">
        <f>IFERROR(__xludf.DUMMYFUNCTION("""COMPUTED_VALUE"""),"ABNA NADHROH KAMALA FEBRIANI")</f>
        <v>ABNA NADHROH KAMALA FEBRIANI</v>
      </c>
      <c r="C158" s="38">
        <f>IFERROR(__xludf.DUMMYFUNCTION("""COMPUTED_VALUE"""),2.02507064E9)</f>
        <v>2025070640</v>
      </c>
      <c r="D158" s="37" t="str">
        <f>IFERROR(__xludf.DUMMYFUNCTION("""COMPUTED_VALUE"""),"KOMARI")</f>
        <v>KOMARI</v>
      </c>
      <c r="E158" s="37" t="str">
        <f>IFERROR(__xludf.DUMMYFUNCTION("""COMPUTED_VALUE"""),"NUR AFIFAH")</f>
        <v>NUR AFIFAH</v>
      </c>
      <c r="F158" s="37" t="str">
        <f>IFERROR(__xludf.DUMMYFUNCTION("""COMPUTED_VALUE"""),"SUGIHWARAS RT 002 RW 002 DEKET LAMONGAN")</f>
        <v>SUGIHWARAS RT 002 RW 002 DEKET LAMONGAN</v>
      </c>
      <c r="G158" s="38" t="str">
        <f>IFERROR(__xludf.DUMMYFUNCTION("""COMPUTED_VALUE"""),"MTS-8 G")</f>
        <v>MTS-8 G</v>
      </c>
      <c r="H158" s="36" t="str">
        <f>IFERROR(__xludf.DUMMYFUNCTION("""COMPUTED_VALUE"""),"C")</f>
        <v>C</v>
      </c>
      <c r="I158" s="40" t="str">
        <f>IFERROR(__xludf.DUMMYFUNCTION("""COMPUTED_VALUE"""),"C-6")</f>
        <v>C-6</v>
      </c>
      <c r="J158" s="40">
        <f>IFERROR(__xludf.DUMMYFUNCTION("""COMPUTED_VALUE"""),2.0)</f>
        <v>2</v>
      </c>
      <c r="K158" s="40" t="str">
        <f>IFERROR(__xludf.DUMMYFUNCTION("""COMPUTED_VALUE"""),"2 ULA B PUTRI")</f>
        <v>2 ULA B PUTRI</v>
      </c>
      <c r="L158" s="41" t="str">
        <f>IFERROR(__xludf.DUMMYFUNCTION("""COMPUTED_VALUE"""),"6289530455442")</f>
        <v>6289530455442</v>
      </c>
      <c r="M158" s="42"/>
      <c r="N158" s="42"/>
      <c r="O158" s="42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>
        <f>IFERROR(__xludf.DUMMYFUNCTION("""COMPUTED_VALUE"""),500000.0)</f>
        <v>500000</v>
      </c>
      <c r="AC158" s="43"/>
      <c r="AD158" s="43"/>
      <c r="AE158" s="43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3">
        <f>IFERROR(__xludf.DUMMYFUNCTION("""COMPUTED_VALUE"""),500000.0)</f>
        <v>500000</v>
      </c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IFERROR(__xludf.DUMMYFUNCTION("""COMPUTED_VALUE"""),0.0)</f>
        <v>0</v>
      </c>
      <c r="BD158" s="43">
        <f>IFERROR(__xludf.DUMMYFUNCTION("""COMPUTED_VALUE"""),1000000.0)</f>
        <v>1000000</v>
      </c>
      <c r="BE158" s="43">
        <f>IFERROR(__xludf.DUMMYFUNCTION("""COMPUTED_VALUE"""),0.0)</f>
        <v>0</v>
      </c>
      <c r="BF158" s="44">
        <f>IFERROR(__xludf.DUMMYFUNCTION("""COMPUTED_VALUE"""),1000000.0)</f>
        <v>1000000</v>
      </c>
      <c r="BG158" s="42"/>
      <c r="BH158" s="42"/>
      <c r="BI158" s="42"/>
      <c r="BJ158" s="45"/>
      <c r="BK158" s="45"/>
      <c r="BL158" s="45"/>
      <c r="BM158" s="45"/>
      <c r="BN158" s="45"/>
      <c r="BO158" s="46"/>
    </row>
    <row r="159">
      <c r="A159" s="47">
        <f>IFERROR(__xludf.DUMMYFUNCTION("""COMPUTED_VALUE"""),158.0)</f>
        <v>158</v>
      </c>
      <c r="B159" s="48" t="str">
        <f>IFERROR(__xludf.DUMMYFUNCTION("""COMPUTED_VALUE"""),"AFIFATUT THOHIRO")</f>
        <v>AFIFATUT THOHIRO</v>
      </c>
      <c r="C159" s="49">
        <f>IFERROR(__xludf.DUMMYFUNCTION("""COMPUTED_VALUE"""),2.0250702E9)</f>
        <v>2025070200</v>
      </c>
      <c r="D159" s="48" t="str">
        <f>IFERROR(__xludf.DUMMYFUNCTION("""COMPUTED_VALUE"""),"NURUL ZUBAD")</f>
        <v>NURUL ZUBAD</v>
      </c>
      <c r="E159" s="48" t="str">
        <f>IFERROR(__xludf.DUMMYFUNCTION("""COMPUTED_VALUE"""),"NISWATUL FAIZUN")</f>
        <v>NISWATUL FAIZUN</v>
      </c>
      <c r="F159" s="48" t="str">
        <f>IFERROR(__xludf.DUMMYFUNCTION("""COMPUTED_VALUE"""),"TEBLURU RT 005 RW 001 SOLOKURO LAMONGAN")</f>
        <v>TEBLURU RT 005 RW 001 SOLOKURO LAMONGAN</v>
      </c>
      <c r="G159" s="50" t="str">
        <f>IFERROR(__xludf.DUMMYFUNCTION("""COMPUTED_VALUE"""),"MA-XI.4")</f>
        <v>MA-XI.4</v>
      </c>
      <c r="H159" s="47" t="str">
        <f>IFERROR(__xludf.DUMMYFUNCTION("""COMPUTED_VALUE"""),"C")</f>
        <v>C</v>
      </c>
      <c r="I159" s="51" t="str">
        <f>IFERROR(__xludf.DUMMYFUNCTION("""COMPUTED_VALUE"""),"C-10")</f>
        <v>C-10</v>
      </c>
      <c r="J159" s="51">
        <f>IFERROR(__xludf.DUMMYFUNCTION("""COMPUTED_VALUE"""),2.0)</f>
        <v>2</v>
      </c>
      <c r="K159" s="51" t="str">
        <f>IFERROR(__xludf.DUMMYFUNCTION("""COMPUTED_VALUE"""),"2 WUSTHO D PUTRI")</f>
        <v>2 WUSTHO D PUTRI</v>
      </c>
      <c r="L159" s="52" t="str">
        <f>IFERROR(__xludf.DUMMYFUNCTION("""COMPUTED_VALUE"""),"6288973733770")</f>
        <v>6288973733770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4"/>
      <c r="AB159" s="54">
        <f>IFERROR(__xludf.DUMMYFUNCTION("""COMPUTED_VALUE"""),500000.0)</f>
        <v>500000</v>
      </c>
      <c r="AC159" s="53"/>
      <c r="AD159" s="54"/>
      <c r="AE159" s="54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4">
        <f>IFERROR(__xludf.DUMMYFUNCTION("""COMPUTED_VALUE"""),500000.0)</f>
        <v>500000</v>
      </c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IFERROR(__xludf.DUMMYFUNCTION("""COMPUTED_VALUE"""),1000000.0)</f>
        <v>1000000</v>
      </c>
      <c r="BE159" s="54">
        <f>IFERROR(__xludf.DUMMYFUNCTION("""COMPUTED_VALUE"""),0.0)</f>
        <v>0</v>
      </c>
      <c r="BF159" s="55">
        <f>IFERROR(__xludf.DUMMYFUNCTION("""COMPUTED_VALUE"""),1000000.0)</f>
        <v>1000000</v>
      </c>
      <c r="BG159" s="53"/>
      <c r="BH159" s="53"/>
      <c r="BI159" s="53"/>
      <c r="BJ159" s="45"/>
      <c r="BK159" s="45"/>
      <c r="BL159" s="45"/>
      <c r="BM159" s="45"/>
      <c r="BN159" s="45"/>
      <c r="BO159" s="46"/>
    </row>
    <row r="160">
      <c r="A160" s="36">
        <f>IFERROR(__xludf.DUMMYFUNCTION("""COMPUTED_VALUE"""),159.0)</f>
        <v>159</v>
      </c>
      <c r="B160" s="37" t="str">
        <f>IFERROR(__xludf.DUMMYFUNCTION("""COMPUTED_VALUE"""),"AINUR ZULFA AL-FARIKHAH")</f>
        <v>AINUR ZULFA AL-FARIKHAH</v>
      </c>
      <c r="C160" s="38">
        <f>IFERROR(__xludf.DUMMYFUNCTION("""COMPUTED_VALUE"""),2.025070016E9)</f>
        <v>2025070016</v>
      </c>
      <c r="D160" s="37" t="str">
        <f>IFERROR(__xludf.DUMMYFUNCTION("""COMPUTED_VALUE"""),"SUTRISNO")</f>
        <v>SUTRISNO</v>
      </c>
      <c r="E160" s="37" t="str">
        <f>IFERROR(__xludf.DUMMYFUNCTION("""COMPUTED_VALUE"""),"UMIYATI")</f>
        <v>UMIYATI</v>
      </c>
      <c r="F160" s="37" t="str">
        <f>IFERROR(__xludf.DUMMYFUNCTION("""COMPUTED_VALUE"""),"SUGIHAN RT 011 RW 002 SOLOKURO LAMONGAN")</f>
        <v>SUGIHAN RT 011 RW 002 SOLOKURO LAMONGAN</v>
      </c>
      <c r="G160" s="38" t="str">
        <f>IFERROR(__xludf.DUMMYFUNCTION("""COMPUTED_VALUE"""),"MA-XI.2")</f>
        <v>MA-XI.2</v>
      </c>
      <c r="H160" s="36" t="str">
        <f>IFERROR(__xludf.DUMMYFUNCTION("""COMPUTED_VALUE"""),"C")</f>
        <v>C</v>
      </c>
      <c r="I160" s="40" t="str">
        <f>IFERROR(__xludf.DUMMYFUNCTION("""COMPUTED_VALUE"""),"C-10")</f>
        <v>C-10</v>
      </c>
      <c r="J160" s="40">
        <f>IFERROR(__xludf.DUMMYFUNCTION("""COMPUTED_VALUE"""),2.0)</f>
        <v>2</v>
      </c>
      <c r="K160" s="40" t="str">
        <f>IFERROR(__xludf.DUMMYFUNCTION("""COMPUTED_VALUE"""),"2 WUSTHO B PUTRI")</f>
        <v>2 WUSTHO B PUTRI</v>
      </c>
      <c r="L160" s="41" t="str">
        <f>IFERROR(__xludf.DUMMYFUNCTION("""COMPUTED_VALUE"""),"6285746835653")</f>
        <v>6285746835653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>
        <f>IFERROR(__xludf.DUMMYFUNCTION("""COMPUTED_VALUE"""),500000.0)</f>
        <v>500000</v>
      </c>
      <c r="AC160" s="43"/>
      <c r="AD160" s="43"/>
      <c r="AE160" s="43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>
        <f>IFERROR(__xludf.DUMMYFUNCTION("""COMPUTED_VALUE"""),500000.0)</f>
        <v>500000</v>
      </c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IFERROR(__xludf.DUMMYFUNCTION("""COMPUTED_VALUE"""),1000000.0)</f>
        <v>1000000</v>
      </c>
      <c r="BE160" s="43">
        <f>IFERROR(__xludf.DUMMYFUNCTION("""COMPUTED_VALUE"""),0.0)</f>
        <v>0</v>
      </c>
      <c r="BF160" s="44">
        <f>IFERROR(__xludf.DUMMYFUNCTION("""COMPUTED_VALUE"""),1000000.0)</f>
        <v>1000000</v>
      </c>
      <c r="BG160" s="42"/>
      <c r="BH160" s="42"/>
      <c r="BI160" s="42"/>
      <c r="BJ160" s="45"/>
      <c r="BK160" s="45"/>
      <c r="BL160" s="45"/>
      <c r="BM160" s="45"/>
      <c r="BN160" s="45"/>
      <c r="BO160" s="46"/>
    </row>
    <row r="161">
      <c r="A161" s="47">
        <f>IFERROR(__xludf.DUMMYFUNCTION("""COMPUTED_VALUE"""),160.0)</f>
        <v>160</v>
      </c>
      <c r="B161" s="48" t="str">
        <f>IFERROR(__xludf.DUMMYFUNCTION("""COMPUTED_VALUE"""),"AISYA DWI FITRIANI")</f>
        <v>AISYA DWI FITRIANI</v>
      </c>
      <c r="C161" s="49">
        <f>IFERROR(__xludf.DUMMYFUNCTION("""COMPUTED_VALUE"""),2.025070504E9)</f>
        <v>2025070504</v>
      </c>
      <c r="D161" s="48" t="str">
        <f>IFERROR(__xludf.DUMMYFUNCTION("""COMPUTED_VALUE"""),"SUWAJI")</f>
        <v>SUWAJI</v>
      </c>
      <c r="E161" s="48" t="str">
        <f>IFERROR(__xludf.DUMMYFUNCTION("""COMPUTED_VALUE"""),"MARJINEM")</f>
        <v>MARJINEM</v>
      </c>
      <c r="F161" s="48" t="str">
        <f>IFERROR(__xludf.DUMMYFUNCTION("""COMPUTED_VALUE"""),"GUNUNG LINGKAS TARAKAN TIMUR RT 006 RW 003  ")</f>
        <v>GUNUNG LINGKAS TARAKAN TIMUR RT 006 RW 003  </v>
      </c>
      <c r="G161" s="50" t="str">
        <f>IFERROR(__xludf.DUMMYFUNCTION("""COMPUTED_VALUE"""),"MTS-8 G")</f>
        <v>MTS-8 G</v>
      </c>
      <c r="H161" s="47" t="str">
        <f>IFERROR(__xludf.DUMMYFUNCTION("""COMPUTED_VALUE"""),"C")</f>
        <v>C</v>
      </c>
      <c r="I161" s="51" t="str">
        <f>IFERROR(__xludf.DUMMYFUNCTION("""COMPUTED_VALUE"""),"C-12")</f>
        <v>C-12</v>
      </c>
      <c r="J161" s="51">
        <f>IFERROR(__xludf.DUMMYFUNCTION("""COMPUTED_VALUE"""),2.0)</f>
        <v>2</v>
      </c>
      <c r="K161" s="51" t="str">
        <f>IFERROR(__xludf.DUMMYFUNCTION("""COMPUTED_VALUE"""),"2 ULA C PUTRI")</f>
        <v>2 ULA C PUTRI</v>
      </c>
      <c r="L161" s="50" t="str">
        <f>IFERROR(__xludf.DUMMYFUNCTION("""COMPUTED_VALUE"""),"6281273814498")</f>
        <v>6281273814498</v>
      </c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4"/>
      <c r="AA161" s="53"/>
      <c r="AB161" s="54">
        <f>IFERROR(__xludf.DUMMYFUNCTION("""COMPUTED_VALUE"""),500000.0)</f>
        <v>500000</v>
      </c>
      <c r="AC161" s="54"/>
      <c r="AD161" s="54"/>
      <c r="AE161" s="54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4">
        <f>IFERROR(__xludf.DUMMYFUNCTION("""COMPUTED_VALUE"""),500000.0)</f>
        <v>500000</v>
      </c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IFERROR(__xludf.DUMMYFUNCTION("""COMPUTED_VALUE"""),0.0)</f>
        <v>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IFERROR(__xludf.DUMMYFUNCTION("""COMPUTED_VALUE"""),1000000.0)</f>
        <v>1000000</v>
      </c>
      <c r="BG161" s="53"/>
      <c r="BH161" s="53"/>
      <c r="BI161" s="53"/>
      <c r="BJ161" s="45"/>
      <c r="BK161" s="45"/>
      <c r="BL161" s="45"/>
      <c r="BM161" s="45"/>
      <c r="BN161" s="45"/>
      <c r="BO161" s="46"/>
    </row>
    <row r="162">
      <c r="A162" s="36">
        <f>IFERROR(__xludf.DUMMYFUNCTION("""COMPUTED_VALUE"""),161.0)</f>
        <v>161</v>
      </c>
      <c r="B162" s="37" t="str">
        <f>IFERROR(__xludf.DUMMYFUNCTION("""COMPUTED_VALUE"""),"AISYAH INDAH FARAWANSYAH")</f>
        <v>AISYAH INDAH FARAWANSYAH</v>
      </c>
      <c r="C162" s="38">
        <f>IFERROR(__xludf.DUMMYFUNCTION("""COMPUTED_VALUE"""),2.02507002E9)</f>
        <v>2025070020</v>
      </c>
      <c r="D162" s="37" t="str">
        <f>IFERROR(__xludf.DUMMYFUNCTION("""COMPUTED_VALUE"""),"EKO CAHYONO")</f>
        <v>EKO CAHYONO</v>
      </c>
      <c r="E162" s="37" t="str">
        <f>IFERROR(__xludf.DUMMYFUNCTION("""COMPUTED_VALUE"""),"UMI MUDHOLIFAH")</f>
        <v>UMI MUDHOLIFAH</v>
      </c>
      <c r="F162" s="37" t="str">
        <f>IFERROR(__xludf.DUMMYFUNCTION("""COMPUTED_VALUE"""),"SETRO BARU UTARA 10/113 DUKUH SETRO RT 008 RW 004 TAMBAKSARI SURABAYA")</f>
        <v>SETRO BARU UTARA 10/113 DUKUH SETRO RT 008 RW 004 TAMBAKSARI SURABAYA</v>
      </c>
      <c r="G162" s="56" t="str">
        <f>IFERROR(__xludf.DUMMYFUNCTION("""COMPUTED_VALUE"""),"MA-XI.1")</f>
        <v>MA-XI.1</v>
      </c>
      <c r="H162" s="36" t="str">
        <f>IFERROR(__xludf.DUMMYFUNCTION("""COMPUTED_VALUE"""),"C")</f>
        <v>C</v>
      </c>
      <c r="I162" s="40" t="str">
        <f>IFERROR(__xludf.DUMMYFUNCTION("""COMPUTED_VALUE"""),"C-6")</f>
        <v>C-6</v>
      </c>
      <c r="J162" s="40">
        <f>IFERROR(__xludf.DUMMYFUNCTION("""COMPUTED_VALUE"""),2.0)</f>
        <v>2</v>
      </c>
      <c r="K162" s="40" t="str">
        <f>IFERROR(__xludf.DUMMYFUNCTION("""COMPUTED_VALUE"""),"TAHFIDZ")</f>
        <v>TAHFIDZ</v>
      </c>
      <c r="L162" s="41" t="str">
        <f>IFERROR(__xludf.DUMMYFUNCTION("""COMPUTED_VALUE"""),"6281330346915")</f>
        <v>6281330346915</v>
      </c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>
        <f>IFERROR(__xludf.DUMMYFUNCTION("""COMPUTED_VALUE"""),500000.0)</f>
        <v>500000</v>
      </c>
      <c r="AC162" s="42"/>
      <c r="AD162" s="43"/>
      <c r="AE162" s="43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>
        <f>IFERROR(__xludf.DUMMYFUNCTION("""COMPUTED_VALUE"""),500000.0)</f>
        <v>500000</v>
      </c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IFERROR(__xludf.DUMMYFUNCTION("""COMPUTED_VALUE"""),1000000.0)</f>
        <v>1000000</v>
      </c>
      <c r="BE162" s="43">
        <f>IFERROR(__xludf.DUMMYFUNCTION("""COMPUTED_VALUE"""),0.0)</f>
        <v>0</v>
      </c>
      <c r="BF162" s="44">
        <f>IFERROR(__xludf.DUMMYFUNCTION("""COMPUTED_VALUE"""),1000000.0)</f>
        <v>1000000</v>
      </c>
      <c r="BG162" s="42"/>
      <c r="BH162" s="42"/>
      <c r="BI162" s="42"/>
      <c r="BJ162" s="45"/>
      <c r="BK162" s="45"/>
      <c r="BL162" s="45"/>
      <c r="BM162" s="45"/>
      <c r="BN162" s="45"/>
      <c r="BO162" s="46"/>
    </row>
    <row r="163">
      <c r="A163" s="47">
        <f>IFERROR(__xludf.DUMMYFUNCTION("""COMPUTED_VALUE"""),162.0)</f>
        <v>162</v>
      </c>
      <c r="B163" s="48" t="str">
        <f>IFERROR(__xludf.DUMMYFUNCTION("""COMPUTED_VALUE"""),"AISYAH NUR KHOLIFAH")</f>
        <v>AISYAH NUR KHOLIFAH</v>
      </c>
      <c r="C163" s="49">
        <f>IFERROR(__xludf.DUMMYFUNCTION("""COMPUTED_VALUE"""),2.025070509E9)</f>
        <v>2025070509</v>
      </c>
      <c r="D163" s="48" t="str">
        <f>IFERROR(__xludf.DUMMYFUNCTION("""COMPUTED_VALUE"""),"SUPARMAN")</f>
        <v>SUPARMAN</v>
      </c>
      <c r="E163" s="48" t="str">
        <f>IFERROR(__xludf.DUMMYFUNCTION("""COMPUTED_VALUE"""),"SRIYATI")</f>
        <v>SRIYATI</v>
      </c>
      <c r="F163" s="48" t="str">
        <f>IFERROR(__xludf.DUMMYFUNCTION("""COMPUTED_VALUE"""),"NGAYUNG RT 009 RW 003 MADURAN LAMONGAN")</f>
        <v>NGAYUNG RT 009 RW 003 MADURAN LAMONGAN</v>
      </c>
      <c r="G163" s="50" t="str">
        <f>IFERROR(__xludf.DUMMYFUNCTION("""COMPUTED_VALUE"""),"MTS-8 C")</f>
        <v>MTS-8 C</v>
      </c>
      <c r="H163" s="47" t="str">
        <f>IFERROR(__xludf.DUMMYFUNCTION("""COMPUTED_VALUE"""),"C")</f>
        <v>C</v>
      </c>
      <c r="I163" s="51" t="str">
        <f>IFERROR(__xludf.DUMMYFUNCTION("""COMPUTED_VALUE"""),"C-13")</f>
        <v>C-13</v>
      </c>
      <c r="J163" s="51">
        <f>IFERROR(__xludf.DUMMYFUNCTION("""COMPUTED_VALUE"""),2.0)</f>
        <v>2</v>
      </c>
      <c r="K163" s="51" t="str">
        <f>IFERROR(__xludf.DUMMYFUNCTION("""COMPUTED_VALUE"""),"2 ULA B PUTRI")</f>
        <v>2 ULA B PUTRI</v>
      </c>
      <c r="L163" s="52" t="str">
        <f>IFERROR(__xludf.DUMMYFUNCTION("""COMPUTED_VALUE"""),"6281511152728")</f>
        <v>6281511152728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4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4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IFERROR(__xludf.DUMMYFUNCTION("""COMPUTED_VALUE"""),0.0)</f>
        <v>0</v>
      </c>
      <c r="BD163" s="54">
        <f>IFERROR(__xludf.DUMMYFUNCTION("""COMPUTED_VALUE"""),0.0)</f>
        <v>0</v>
      </c>
      <c r="BE163" s="54">
        <f>IFERROR(__xludf.DUMMYFUNCTION("""COMPUTED_VALUE"""),0.0)</f>
        <v>0</v>
      </c>
      <c r="BF163" s="55">
        <f>IFERROR(__xludf.DUMMYFUNCTION("""COMPUTED_VALUE"""),0.0)</f>
        <v>0</v>
      </c>
      <c r="BG163" s="53"/>
      <c r="BH163" s="53"/>
      <c r="BI163" s="53"/>
      <c r="BJ163" s="45"/>
      <c r="BK163" s="45"/>
      <c r="BL163" s="45"/>
      <c r="BM163" s="45"/>
      <c r="BN163" s="45"/>
      <c r="BO163" s="46"/>
    </row>
    <row r="164">
      <c r="A164" s="36">
        <f>IFERROR(__xludf.DUMMYFUNCTION("""COMPUTED_VALUE"""),163.0)</f>
        <v>163</v>
      </c>
      <c r="B164" s="37" t="str">
        <f>IFERROR(__xludf.DUMMYFUNCTION("""COMPUTED_VALUE"""),"AISYAH REGINA FAHMI AZ-ZAHRA")</f>
        <v>AISYAH REGINA FAHMI AZ-ZAHRA</v>
      </c>
      <c r="C164" s="38">
        <f>IFERROR(__xludf.DUMMYFUNCTION("""COMPUTED_VALUE"""),2.025070331E9)</f>
        <v>2025070331</v>
      </c>
      <c r="D164" s="37" t="str">
        <f>IFERROR(__xludf.DUMMYFUNCTION("""COMPUTED_VALUE"""),"M. FATCHUL HADI")</f>
        <v>M. FATCHUL HADI</v>
      </c>
      <c r="E164" s="37" t="str">
        <f>IFERROR(__xludf.DUMMYFUNCTION("""COMPUTED_VALUE"""),"MARDLIYAH")</f>
        <v>MARDLIYAH</v>
      </c>
      <c r="F164" s="37" t="str">
        <f>IFERROR(__xludf.DUMMYFUNCTION("""COMPUTED_VALUE"""),"GUNUNG ANYAR TAMBAK RT 001 RW 001 GUNUNG ANYAR SURABAYA")</f>
        <v>GUNUNG ANYAR TAMBAK RT 001 RW 001 GUNUNG ANYAR SURABAYA</v>
      </c>
      <c r="G164" s="38" t="str">
        <f>IFERROR(__xludf.DUMMYFUNCTION("""COMPUTED_VALUE"""),"MA-XI.10")</f>
        <v>MA-XI.10</v>
      </c>
      <c r="H164" s="36" t="str">
        <f>IFERROR(__xludf.DUMMYFUNCTION("""COMPUTED_VALUE"""),"C")</f>
        <v>C</v>
      </c>
      <c r="I164" s="40" t="str">
        <f>IFERROR(__xludf.DUMMYFUNCTION("""COMPUTED_VALUE"""),"C-10")</f>
        <v>C-10</v>
      </c>
      <c r="J164" s="40">
        <f>IFERROR(__xludf.DUMMYFUNCTION("""COMPUTED_VALUE"""),2.0)</f>
        <v>2</v>
      </c>
      <c r="K164" s="40" t="str">
        <f>IFERROR(__xludf.DUMMYFUNCTION("""COMPUTED_VALUE"""),"2 WUSTHO D PUTRI")</f>
        <v>2 WUSTHO D PUTRI</v>
      </c>
      <c r="L164" s="41" t="str">
        <f>IFERROR(__xludf.DUMMYFUNCTION("""COMPUTED_VALUE"""),"6281775072287")</f>
        <v>6281775072287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3"/>
      <c r="AB164" s="43"/>
      <c r="AC164" s="43"/>
      <c r="AD164" s="43"/>
      <c r="AE164" s="43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3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IFERROR(__xludf.DUMMYFUNCTION("""COMPUTED_VALUE"""),0.0)</f>
        <v>0</v>
      </c>
      <c r="BD164" s="43">
        <f>IFERROR(__xludf.DUMMYFUNCTION("""COMPUTED_VALUE"""),0.0)</f>
        <v>0</v>
      </c>
      <c r="BE164" s="43">
        <f>IFERROR(__xludf.DUMMYFUNCTION("""COMPUTED_VALUE"""),0.0)</f>
        <v>0</v>
      </c>
      <c r="BF164" s="44">
        <f>IFERROR(__xludf.DUMMYFUNCTION("""COMPUTED_VALUE"""),0.0)</f>
        <v>0</v>
      </c>
      <c r="BG164" s="42"/>
      <c r="BH164" s="42"/>
      <c r="BI164" s="42"/>
      <c r="BJ164" s="45"/>
      <c r="BK164" s="45"/>
      <c r="BL164" s="45"/>
      <c r="BM164" s="45"/>
      <c r="BN164" s="45"/>
      <c r="BO164" s="46"/>
    </row>
    <row r="165">
      <c r="A165" s="47">
        <f>IFERROR(__xludf.DUMMYFUNCTION("""COMPUTED_VALUE"""),164.0)</f>
        <v>164</v>
      </c>
      <c r="B165" s="48" t="str">
        <f>IFERROR(__xludf.DUMMYFUNCTION("""COMPUTED_VALUE"""),"ALESSIA SYIFA RAMADHANI")</f>
        <v>ALESSIA SYIFA RAMADHANI</v>
      </c>
      <c r="C165" s="49">
        <f>IFERROR(__xludf.DUMMYFUNCTION("""COMPUTED_VALUE"""),2.025070055E9)</f>
        <v>2025070055</v>
      </c>
      <c r="D165" s="48" t="str">
        <f>IFERROR(__xludf.DUMMYFUNCTION("""COMPUTED_VALUE"""),"DIDIK SUHARTO")</f>
        <v>DIDIK SUHARTO</v>
      </c>
      <c r="E165" s="48" t="str">
        <f>IFERROR(__xludf.DUMMYFUNCTION("""COMPUTED_VALUE"""),"ANIK TRI HANDAYANI")</f>
        <v>ANIK TRI HANDAYANI</v>
      </c>
      <c r="F165" s="48" t="str">
        <f>IFERROR(__xludf.DUMMYFUNCTION("""COMPUTED_VALUE"""),"GLOGOK SUMBERWUDI RT 002 RW 001 KARANGGENENG LAMONGAN")</f>
        <v>GLOGOK SUMBERWUDI RT 002 RW 001 KARANGGENENG LAMONGAN</v>
      </c>
      <c r="G165" s="49" t="str">
        <f>IFERROR(__xludf.DUMMYFUNCTION("""COMPUTED_VALUE"""),"MA-XI.1")</f>
        <v>MA-XI.1</v>
      </c>
      <c r="H165" s="47" t="str">
        <f>IFERROR(__xludf.DUMMYFUNCTION("""COMPUTED_VALUE"""),"C")</f>
        <v>C</v>
      </c>
      <c r="I165" s="51" t="str">
        <f>IFERROR(__xludf.DUMMYFUNCTION("""COMPUTED_VALUE"""),"C-6")</f>
        <v>C-6</v>
      </c>
      <c r="J165" s="51">
        <f>IFERROR(__xludf.DUMMYFUNCTION("""COMPUTED_VALUE"""),2.0)</f>
        <v>2</v>
      </c>
      <c r="K165" s="51" t="str">
        <f>IFERROR(__xludf.DUMMYFUNCTION("""COMPUTED_VALUE"""),"TAHFIDZ")</f>
        <v>TAHFIDZ</v>
      </c>
      <c r="L165" s="52" t="str">
        <f>IFERROR(__xludf.DUMMYFUNCTION("""COMPUTED_VALUE"""),"6285812350778")</f>
        <v>6285812350778</v>
      </c>
      <c r="M165" s="54">
        <f>IFERROR(__xludf.DUMMYFUNCTION("""COMPUTED_VALUE"""),600000.0)</f>
        <v>600000</v>
      </c>
      <c r="N165" s="53"/>
      <c r="O165" s="53"/>
      <c r="P165" s="53"/>
      <c r="Q165" s="53"/>
      <c r="R165" s="54"/>
      <c r="S165" s="54"/>
      <c r="T165" s="54"/>
      <c r="U165" s="54"/>
      <c r="V165" s="54"/>
      <c r="W165" s="54"/>
      <c r="X165" s="54"/>
      <c r="Y165" s="54"/>
      <c r="Z165" s="54">
        <f>IFERROR(__xludf.DUMMYFUNCTION("""COMPUTED_VALUE"""),450000.0)</f>
        <v>450000</v>
      </c>
      <c r="AA165" s="54"/>
      <c r="AB165" s="54">
        <f>IFERROR(__xludf.DUMMYFUNCTION("""COMPUTED_VALUE"""),500000.0)</f>
        <v>500000</v>
      </c>
      <c r="AC165" s="54"/>
      <c r="AD165" s="54"/>
      <c r="AE165" s="54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4">
        <f>IFERROR(__xludf.DUMMYFUNCTION("""COMPUTED_VALUE"""),500000.0)</f>
        <v>500000</v>
      </c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IFERROR(__xludf.DUMMYFUNCTION("""COMPUTED_VALUE"""),450000.0)</f>
        <v>450000</v>
      </c>
      <c r="BD165" s="54">
        <f>IFERROR(__xludf.DUMMYFUNCTION("""COMPUTED_VALUE"""),1600000.0)</f>
        <v>1600000</v>
      </c>
      <c r="BE165" s="54">
        <f>IFERROR(__xludf.DUMMYFUNCTION("""COMPUTED_VALUE"""),0.0)</f>
        <v>0</v>
      </c>
      <c r="BF165" s="55">
        <f>IFERROR(__xludf.DUMMYFUNCTION("""COMPUTED_VALUE"""),2050000.0)</f>
        <v>2050000</v>
      </c>
      <c r="BG165" s="53"/>
      <c r="BH165" s="53"/>
      <c r="BI165" s="53"/>
      <c r="BJ165" s="45"/>
      <c r="BK165" s="45"/>
      <c r="BL165" s="45"/>
      <c r="BM165" s="45"/>
      <c r="BN165" s="45"/>
      <c r="BO165" s="46"/>
    </row>
    <row r="166">
      <c r="A166" s="36">
        <f>IFERROR(__xludf.DUMMYFUNCTION("""COMPUTED_VALUE"""),165.0)</f>
        <v>165</v>
      </c>
      <c r="B166" s="37" t="str">
        <f>IFERROR(__xludf.DUMMYFUNCTION("""COMPUTED_VALUE"""),"ALFIYATIN NASHIROH")</f>
        <v>ALFIYATIN NASHIROH</v>
      </c>
      <c r="C166" s="38">
        <f>IFERROR(__xludf.DUMMYFUNCTION("""COMPUTED_VALUE"""),2.025070096E9)</f>
        <v>2025070096</v>
      </c>
      <c r="D166" s="37" t="str">
        <f>IFERROR(__xludf.DUMMYFUNCTION("""COMPUTED_VALUE"""),"MUHAMMAD HAMIDUN")</f>
        <v>MUHAMMAD HAMIDUN</v>
      </c>
      <c r="E166" s="37" t="str">
        <f>IFERROR(__xludf.DUMMYFUNCTION("""COMPUTED_VALUE"""),"WATIRAH")</f>
        <v>WATIRAH</v>
      </c>
      <c r="F166" s="37" t="str">
        <f>IFERROR(__xludf.DUMMYFUNCTION("""COMPUTED_VALUE"""),"TEBLURU RT 007 RW 002 SOLOKURO LAMONGAN")</f>
        <v>TEBLURU RT 007 RW 002 SOLOKURO LAMONGAN</v>
      </c>
      <c r="G166" s="38" t="str">
        <f>IFERROR(__xludf.DUMMYFUNCTION("""COMPUTED_VALUE"""),"MA-XI.8")</f>
        <v>MA-XI.8</v>
      </c>
      <c r="H166" s="36" t="str">
        <f>IFERROR(__xludf.DUMMYFUNCTION("""COMPUTED_VALUE"""),"C")</f>
        <v>C</v>
      </c>
      <c r="I166" s="40" t="str">
        <f>IFERROR(__xludf.DUMMYFUNCTION("""COMPUTED_VALUE"""),"C-10")</f>
        <v>C-10</v>
      </c>
      <c r="J166" s="40">
        <f>IFERROR(__xludf.DUMMYFUNCTION("""COMPUTED_VALUE"""),2.0)</f>
        <v>2</v>
      </c>
      <c r="K166" s="40" t="str">
        <f>IFERROR(__xludf.DUMMYFUNCTION("""COMPUTED_VALUE"""),"2 WUSTHO C PUTRI")</f>
        <v>2 WUSTHO C PUTRI</v>
      </c>
      <c r="L166" s="58" t="str">
        <f>IFERROR(__xludf.DUMMYFUNCTION("""COMPUTED_VALUE"""),"6285655845161")</f>
        <v>6285655845161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3"/>
      <c r="AC166" s="43"/>
      <c r="AD166" s="43"/>
      <c r="AE166" s="43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3">
        <f>IFERROR(__xludf.DUMMYFUNCTION("""COMPUTED_VALUE"""),500000.0)</f>
        <v>500000</v>
      </c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42"/>
      <c r="BH166" s="42"/>
      <c r="BI166" s="42"/>
      <c r="BJ166" s="45"/>
      <c r="BK166" s="45"/>
      <c r="BL166" s="45"/>
      <c r="BM166" s="45"/>
      <c r="BN166" s="45"/>
      <c r="BO166" s="46"/>
    </row>
    <row r="167">
      <c r="A167" s="47">
        <f>IFERROR(__xludf.DUMMYFUNCTION("""COMPUTED_VALUE"""),166.0)</f>
        <v>166</v>
      </c>
      <c r="B167" s="48" t="str">
        <f>IFERROR(__xludf.DUMMYFUNCTION("""COMPUTED_VALUE"""),"ALICYA RAHMADITA")</f>
        <v>ALICYA RAHMADITA</v>
      </c>
      <c r="C167" s="49">
        <f>IFERROR(__xludf.DUMMYFUNCTION("""COMPUTED_VALUE"""),2.025070525E9)</f>
        <v>2025070525</v>
      </c>
      <c r="D167" s="48" t="str">
        <f>IFERROR(__xludf.DUMMYFUNCTION("""COMPUTED_VALUE"""),"MOCH. ALEK")</f>
        <v>MOCH. ALEK</v>
      </c>
      <c r="E167" s="48" t="str">
        <f>IFERROR(__xludf.DUMMYFUNCTION("""COMPUTED_VALUE"""),"ASTUTIK")</f>
        <v>ASTUTIK</v>
      </c>
      <c r="F167" s="48" t="str">
        <f>IFERROR(__xludf.DUMMYFUNCTION("""COMPUTED_VALUE"""),"BABATKULON BABATAGUNG RT 002 RW 003 DEKET LAMONGAN")</f>
        <v>BABATKULON BABATAGUNG RT 002 RW 003 DEKET LAMONGAN</v>
      </c>
      <c r="G167" s="50" t="str">
        <f>IFERROR(__xludf.DUMMYFUNCTION("""COMPUTED_VALUE"""),"MTS-8 D")</f>
        <v>MTS-8 D</v>
      </c>
      <c r="H167" s="47" t="str">
        <f>IFERROR(__xludf.DUMMYFUNCTION("""COMPUTED_VALUE"""),"C")</f>
        <v>C</v>
      </c>
      <c r="I167" s="51" t="str">
        <f>IFERROR(__xludf.DUMMYFUNCTION("""COMPUTED_VALUE"""),"C-6")</f>
        <v>C-6</v>
      </c>
      <c r="J167" s="51">
        <f>IFERROR(__xludf.DUMMYFUNCTION("""COMPUTED_VALUE"""),2.0)</f>
        <v>2</v>
      </c>
      <c r="K167" s="51" t="str">
        <f>IFERROR(__xludf.DUMMYFUNCTION("""COMPUTED_VALUE"""),"2 ULA A PUTRI")</f>
        <v>2 ULA A PUTRI</v>
      </c>
      <c r="L167" s="52" t="str">
        <f>IFERROR(__xludf.DUMMYFUNCTION("""COMPUTED_VALUE"""),"6285877753654")</f>
        <v>6285877753654</v>
      </c>
      <c r="M167" s="53"/>
      <c r="N167" s="53"/>
      <c r="O167" s="53"/>
      <c r="P167" s="53"/>
      <c r="Q167" s="53"/>
      <c r="R167" s="53"/>
      <c r="S167" s="53"/>
      <c r="T167" s="53"/>
      <c r="U167" s="53"/>
      <c r="V167" s="53">
        <f>IFERROR(__xludf.DUMMYFUNCTION("""COMPUTED_VALUE"""),450000.0)</f>
        <v>450000</v>
      </c>
      <c r="W167" s="53">
        <f>IFERROR(__xludf.DUMMYFUNCTION("""COMPUTED_VALUE"""),450000.0)</f>
        <v>450000</v>
      </c>
      <c r="X167" s="53">
        <f>IFERROR(__xludf.DUMMYFUNCTION("""COMPUTED_VALUE"""),450000.0)</f>
        <v>450000</v>
      </c>
      <c r="Y167" s="53">
        <f>IFERROR(__xludf.DUMMYFUNCTION("""COMPUTED_VALUE"""),450000.0)</f>
        <v>450000</v>
      </c>
      <c r="Z167" s="53">
        <f>IFERROR(__xludf.DUMMYFUNCTION("""COMPUTED_VALUE"""),450000.0)</f>
        <v>450000</v>
      </c>
      <c r="AA167" s="53"/>
      <c r="AB167" s="54">
        <f>IFERROR(__xludf.DUMMYFUNCTION("""COMPUTED_VALUE"""),500000.0)</f>
        <v>500000</v>
      </c>
      <c r="AC167" s="53"/>
      <c r="AD167" s="54"/>
      <c r="AE167" s="54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4">
        <f>IFERROR(__xludf.DUMMYFUNCTION("""COMPUTED_VALUE"""),500000.0)</f>
        <v>500000</v>
      </c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IFERROR(__xludf.DUMMYFUNCTION("""COMPUTED_VALUE"""),2250000.0)</f>
        <v>2250000</v>
      </c>
      <c r="BD167" s="54">
        <f>IFERROR(__xludf.DUMMYFUNCTION("""COMPUTED_VALUE"""),1000000.0)</f>
        <v>1000000</v>
      </c>
      <c r="BE167" s="54">
        <f>IFERROR(__xludf.DUMMYFUNCTION("""COMPUTED_VALUE"""),0.0)</f>
        <v>0</v>
      </c>
      <c r="BF167" s="55">
        <f>IFERROR(__xludf.DUMMYFUNCTION("""COMPUTED_VALUE"""),3250000.0)</f>
        <v>3250000</v>
      </c>
      <c r="BG167" s="53"/>
      <c r="BH167" s="53"/>
      <c r="BI167" s="53"/>
      <c r="BJ167" s="45"/>
      <c r="BK167" s="45"/>
      <c r="BL167" s="45"/>
      <c r="BM167" s="45"/>
      <c r="BN167" s="45"/>
      <c r="BO167" s="46"/>
    </row>
    <row r="168">
      <c r="A168" s="36">
        <f>IFERROR(__xludf.DUMMYFUNCTION("""COMPUTED_VALUE"""),167.0)</f>
        <v>167</v>
      </c>
      <c r="B168" s="37" t="str">
        <f>IFERROR(__xludf.DUMMYFUNCTION("""COMPUTED_VALUE"""),"ALINDIKA AYU FAHRABI")</f>
        <v>ALINDIKA AYU FAHRABI</v>
      </c>
      <c r="C168" s="38">
        <f>IFERROR(__xludf.DUMMYFUNCTION("""COMPUTED_VALUE"""),2.025070507E9)</f>
        <v>2025070507</v>
      </c>
      <c r="D168" s="37" t="str">
        <f>IFERROR(__xludf.DUMMYFUNCTION("""COMPUTED_VALUE"""),"JUNAIDI ABDILLAH")</f>
        <v>JUNAIDI ABDILLAH</v>
      </c>
      <c r="E168" s="37" t="str">
        <f>IFERROR(__xludf.DUMMYFUNCTION("""COMPUTED_VALUE"""),"MUFLIHAH")</f>
        <v>MUFLIHAH</v>
      </c>
      <c r="F168" s="37" t="str">
        <f>IFERROR(__xludf.DUMMYFUNCTION("""COMPUTED_VALUE"""),"KEBALANPELANG RT 002 RW 002 BABAT LAMONGAN")</f>
        <v>KEBALANPELANG RT 002 RW 002 BABAT LAMONGAN</v>
      </c>
      <c r="G168" s="38" t="str">
        <f>IFERROR(__xludf.DUMMYFUNCTION("""COMPUTED_VALUE"""),"MTS-8 B")</f>
        <v>MTS-8 B</v>
      </c>
      <c r="H168" s="36" t="str">
        <f>IFERROR(__xludf.DUMMYFUNCTION("""COMPUTED_VALUE"""),"C")</f>
        <v>C</v>
      </c>
      <c r="I168" s="40" t="str">
        <f>IFERROR(__xludf.DUMMYFUNCTION("""COMPUTED_VALUE"""),"C-5")</f>
        <v>C-5</v>
      </c>
      <c r="J168" s="40">
        <f>IFERROR(__xludf.DUMMYFUNCTION("""COMPUTED_VALUE"""),2.0)</f>
        <v>2</v>
      </c>
      <c r="K168" s="40" t="str">
        <f>IFERROR(__xludf.DUMMYFUNCTION("""COMPUTED_VALUE"""),"2 ULA A PUTRI")</f>
        <v>2 ULA A PUTRI</v>
      </c>
      <c r="L168" s="41" t="str">
        <f>IFERROR(__xludf.DUMMYFUNCTION("""COMPUTED_VALUE"""),"6281336343938")</f>
        <v>6281336343938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3"/>
      <c r="AB168" s="42">
        <f>IFERROR(__xludf.DUMMYFUNCTION("""COMPUTED_VALUE"""),500000.0)</f>
        <v>500000</v>
      </c>
      <c r="AC168" s="43"/>
      <c r="AD168" s="43"/>
      <c r="AE168" s="43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>
        <f>IFERROR(__xludf.DUMMYFUNCTION("""COMPUTED_VALUE"""),500000.0)</f>
        <v>500000</v>
      </c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IFERROR(__xludf.DUMMYFUNCTION("""COMPUTED_VALUE"""),0.0)</f>
        <v>0</v>
      </c>
      <c r="BD168" s="43">
        <f>IFERROR(__xludf.DUMMYFUNCTION("""COMPUTED_VALUE"""),1000000.0)</f>
        <v>1000000</v>
      </c>
      <c r="BE168" s="43">
        <f>IFERROR(__xludf.DUMMYFUNCTION("""COMPUTED_VALUE"""),0.0)</f>
        <v>0</v>
      </c>
      <c r="BF168" s="44">
        <f>IFERROR(__xludf.DUMMYFUNCTION("""COMPUTED_VALUE"""),1000000.0)</f>
        <v>1000000</v>
      </c>
      <c r="BG168" s="42"/>
      <c r="BH168" s="42"/>
      <c r="BI168" s="42"/>
      <c r="BJ168" s="45"/>
      <c r="BK168" s="45"/>
      <c r="BL168" s="45"/>
      <c r="BM168" s="45"/>
      <c r="BN168" s="45"/>
      <c r="BO168" s="46"/>
    </row>
    <row r="169">
      <c r="A169" s="47">
        <f>IFERROR(__xludf.DUMMYFUNCTION("""COMPUTED_VALUE"""),168.0)</f>
        <v>168</v>
      </c>
      <c r="B169" s="48" t="str">
        <f>IFERROR(__xludf.DUMMYFUNCTION("""COMPUTED_VALUE"""),"ALYA WAHIDAH DIVA ADINATA")</f>
        <v>ALYA WAHIDAH DIVA ADINATA</v>
      </c>
      <c r="C169" s="49">
        <f>IFERROR(__xludf.DUMMYFUNCTION("""COMPUTED_VALUE"""),2.025070006E9)</f>
        <v>2025070006</v>
      </c>
      <c r="D169" s="48" t="str">
        <f>IFERROR(__xludf.DUMMYFUNCTION("""COMPUTED_VALUE"""),"MAHMUDI ADINATA")</f>
        <v>MAHMUDI ADINATA</v>
      </c>
      <c r="E169" s="48" t="str">
        <f>IFERROR(__xludf.DUMMYFUNCTION("""COMPUTED_VALUE"""),"IVA CHUSUMAWATI")</f>
        <v>IVA CHUSUMAWATI</v>
      </c>
      <c r="F169" s="48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G169" s="49" t="str">
        <f>IFERROR(__xludf.DUMMYFUNCTION("""COMPUTED_VALUE"""),"MA-XI.5")</f>
        <v>MA-XI.5</v>
      </c>
      <c r="H169" s="47" t="str">
        <f>IFERROR(__xludf.DUMMYFUNCTION("""COMPUTED_VALUE"""),"C")</f>
        <v>C</v>
      </c>
      <c r="I169" s="51" t="str">
        <f>IFERROR(__xludf.DUMMYFUNCTION("""COMPUTED_VALUE"""),"C-5")</f>
        <v>C-5</v>
      </c>
      <c r="J169" s="51">
        <f>IFERROR(__xludf.DUMMYFUNCTION("""COMPUTED_VALUE"""),2.0)</f>
        <v>2</v>
      </c>
      <c r="K169" s="51" t="str">
        <f>IFERROR(__xludf.DUMMYFUNCTION("""COMPUTED_VALUE"""),"2 WUSTHO D PUTRI")</f>
        <v>2 WUSTHO D PUTRI</v>
      </c>
      <c r="L169" s="52" t="str">
        <f>IFERROR(__xludf.DUMMYFUNCTION("""COMPUTED_VALUE"""),"6282334095226")</f>
        <v>6282334095226</v>
      </c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>
        <f>IFERROR(__xludf.DUMMYFUNCTION("""COMPUTED_VALUE"""),500000.0)</f>
        <v>500000</v>
      </c>
      <c r="AC169" s="54"/>
      <c r="AD169" s="54"/>
      <c r="AE169" s="54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4">
        <f>IFERROR(__xludf.DUMMYFUNCTION("""COMPUTED_VALUE"""),500000.0)</f>
        <v>500000</v>
      </c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IFERROR(__xludf.DUMMYFUNCTION("""COMPUTED_VALUE"""),0.0)</f>
        <v>0</v>
      </c>
      <c r="BD169" s="54">
        <f>IFERROR(__xludf.DUMMYFUNCTION("""COMPUTED_VALUE"""),1000000.0)</f>
        <v>1000000</v>
      </c>
      <c r="BE169" s="54">
        <f>IFERROR(__xludf.DUMMYFUNCTION("""COMPUTED_VALUE"""),0.0)</f>
        <v>0</v>
      </c>
      <c r="BF169" s="55">
        <f>IFERROR(__xludf.DUMMYFUNCTION("""COMPUTED_VALUE"""),1000000.0)</f>
        <v>1000000</v>
      </c>
      <c r="BG169" s="53"/>
      <c r="BH169" s="53"/>
      <c r="BI169" s="53"/>
      <c r="BJ169" s="45"/>
      <c r="BK169" s="45"/>
      <c r="BL169" s="45"/>
      <c r="BM169" s="45"/>
      <c r="BN169" s="45"/>
      <c r="BO169" s="46"/>
    </row>
    <row r="170">
      <c r="A170" s="36">
        <f>IFERROR(__xludf.DUMMYFUNCTION("""COMPUTED_VALUE"""),169.0)</f>
        <v>169</v>
      </c>
      <c r="B170" s="37" t="str">
        <f>IFERROR(__xludf.DUMMYFUNCTION("""COMPUTED_VALUE"""),"ANDHIRA REGINA PRAMESTI")</f>
        <v>ANDHIRA REGINA PRAMESTI</v>
      </c>
      <c r="C170" s="38">
        <f>IFERROR(__xludf.DUMMYFUNCTION("""COMPUTED_VALUE"""),2.025070559E9)</f>
        <v>2025070559</v>
      </c>
      <c r="D170" s="37" t="str">
        <f>IFERROR(__xludf.DUMMYFUNCTION("""COMPUTED_VALUE"""),"KHOLIS")</f>
        <v>KHOLIS</v>
      </c>
      <c r="E170" s="37" t="str">
        <f>IFERROR(__xludf.DUMMYFUNCTION("""COMPUTED_VALUE"""),"SUKARTI")</f>
        <v>SUKARTI</v>
      </c>
      <c r="F170" s="37" t="str">
        <f>IFERROR(__xludf.DUMMYFUNCTION("""COMPUTED_VALUE"""),"NGUJUNG NGUJUNGREJO RT 003 RW 002 TURI LAMONGAN")</f>
        <v>NGUJUNG NGUJUNGREJO RT 003 RW 002 TURI LAMONGAN</v>
      </c>
      <c r="G170" s="38" t="str">
        <f>IFERROR(__xludf.DUMMYFUNCTION("""COMPUTED_VALUE"""),"MTS-8 D")</f>
        <v>MTS-8 D</v>
      </c>
      <c r="H170" s="36" t="str">
        <f>IFERROR(__xludf.DUMMYFUNCTION("""COMPUTED_VALUE"""),"C")</f>
        <v>C</v>
      </c>
      <c r="I170" s="40" t="str">
        <f>IFERROR(__xludf.DUMMYFUNCTION("""COMPUTED_VALUE"""),"C-13")</f>
        <v>C-13</v>
      </c>
      <c r="J170" s="40">
        <f>IFERROR(__xludf.DUMMYFUNCTION("""COMPUTED_VALUE"""),2.0)</f>
        <v>2</v>
      </c>
      <c r="K170" s="40" t="str">
        <f>IFERROR(__xludf.DUMMYFUNCTION("""COMPUTED_VALUE"""),"2 ULA B PUTRI")</f>
        <v>2 ULA B PUTRI</v>
      </c>
      <c r="L170" s="41" t="str">
        <f>IFERROR(__xludf.DUMMYFUNCTION("""COMPUTED_VALUE"""),"6288804968028")</f>
        <v>6288804968028</v>
      </c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>
        <f>IFERROR(__xludf.DUMMYFUNCTION("""COMPUTED_VALUE"""),450000.0)</f>
        <v>450000</v>
      </c>
      <c r="Y170" s="42">
        <f>IFERROR(__xludf.DUMMYFUNCTION("""COMPUTED_VALUE"""),450000.0)</f>
        <v>450000</v>
      </c>
      <c r="Z170" s="42">
        <f>IFERROR(__xludf.DUMMYFUNCTION("""COMPUTED_VALUE"""),450000.0)</f>
        <v>450000</v>
      </c>
      <c r="AA170" s="42"/>
      <c r="AB170" s="43">
        <f>IFERROR(__xludf.DUMMYFUNCTION("""COMPUTED_VALUE"""),500000.0)</f>
        <v>500000</v>
      </c>
      <c r="AC170" s="42"/>
      <c r="AD170" s="42"/>
      <c r="AE170" s="43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3">
        <f>IFERROR(__xludf.DUMMYFUNCTION("""COMPUTED_VALUE"""),500000.0)</f>
        <v>500000</v>
      </c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IFERROR(__xludf.DUMMYFUNCTION("""COMPUTED_VALUE"""),1350000.0)</f>
        <v>1350000</v>
      </c>
      <c r="BD170" s="43">
        <f>IFERROR(__xludf.DUMMYFUNCTION("""COMPUTED_VALUE"""),1000000.0)</f>
        <v>1000000</v>
      </c>
      <c r="BE170" s="43">
        <f>IFERROR(__xludf.DUMMYFUNCTION("""COMPUTED_VALUE"""),0.0)</f>
        <v>0</v>
      </c>
      <c r="BF170" s="44">
        <f>IFERROR(__xludf.DUMMYFUNCTION("""COMPUTED_VALUE"""),2350000.0)</f>
        <v>2350000</v>
      </c>
      <c r="BG170" s="42"/>
      <c r="BH170" s="42"/>
      <c r="BI170" s="42"/>
      <c r="BJ170" s="45"/>
      <c r="BK170" s="45"/>
      <c r="BL170" s="45"/>
      <c r="BM170" s="45"/>
      <c r="BN170" s="45"/>
      <c r="BO170" s="46"/>
    </row>
    <row r="171">
      <c r="A171" s="47">
        <f>IFERROR(__xludf.DUMMYFUNCTION("""COMPUTED_VALUE"""),170.0)</f>
        <v>170</v>
      </c>
      <c r="B171" s="48" t="str">
        <f>IFERROR(__xludf.DUMMYFUNCTION("""COMPUTED_VALUE"""),"ARINA NIDA AL QUDSIYAH")</f>
        <v>ARINA NIDA AL QUDSIYAH</v>
      </c>
      <c r="C171" s="49">
        <f>IFERROR(__xludf.DUMMYFUNCTION("""COMPUTED_VALUE"""),2.025070052E9)</f>
        <v>2025070052</v>
      </c>
      <c r="D171" s="48" t="str">
        <f>IFERROR(__xludf.DUMMYFUNCTION("""COMPUTED_VALUE"""),"MOH. RODLI")</f>
        <v>MOH. RODLI</v>
      </c>
      <c r="E171" s="48" t="str">
        <f>IFERROR(__xludf.DUMMYFUNCTION("""COMPUTED_VALUE"""),"IFADAH")</f>
        <v>IFADAH</v>
      </c>
      <c r="F171" s="48" t="str">
        <f>IFERROR(__xludf.DUMMYFUNCTION("""COMPUTED_VALUE"""),"JL. KARANG ASEM DRAJAT RT 001 RW 003 PACIRAN LAMONGAN")</f>
        <v>JL. KARANG ASEM DRAJAT RT 001 RW 003 PACIRAN LAMONGAN</v>
      </c>
      <c r="G171" s="50" t="str">
        <f>IFERROR(__xludf.DUMMYFUNCTION("""COMPUTED_VALUE"""),"MA-XI.1")</f>
        <v>MA-XI.1</v>
      </c>
      <c r="H171" s="47" t="str">
        <f>IFERROR(__xludf.DUMMYFUNCTION("""COMPUTED_VALUE"""),"C")</f>
        <v>C</v>
      </c>
      <c r="I171" s="51" t="str">
        <f>IFERROR(__xludf.DUMMYFUNCTION("""COMPUTED_VALUE"""),"C-6")</f>
        <v>C-6</v>
      </c>
      <c r="J171" s="51">
        <f>IFERROR(__xludf.DUMMYFUNCTION("""COMPUTED_VALUE"""),2.0)</f>
        <v>2</v>
      </c>
      <c r="K171" s="51" t="str">
        <f>IFERROR(__xludf.DUMMYFUNCTION("""COMPUTED_VALUE"""),"TAHFIDZ")</f>
        <v>TAHFIDZ</v>
      </c>
      <c r="L171" s="52" t="str">
        <f>IFERROR(__xludf.DUMMYFUNCTION("""COMPUTED_VALUE"""),"6285872618634")</f>
        <v>6285872618634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4"/>
      <c r="AC171" s="53"/>
      <c r="AD171" s="53"/>
      <c r="AE171" s="54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4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IFERROR(__xludf.DUMMYFUNCTION("""COMPUTED_VALUE"""),0.0)</f>
        <v>0</v>
      </c>
      <c r="BD171" s="54">
        <f>IFERROR(__xludf.DUMMYFUNCTION("""COMPUTED_VALUE"""),0.0)</f>
        <v>0</v>
      </c>
      <c r="BE171" s="54">
        <f>IFERROR(__xludf.DUMMYFUNCTION("""COMPUTED_VALUE"""),0.0)</f>
        <v>0</v>
      </c>
      <c r="BF171" s="55">
        <f>IFERROR(__xludf.DUMMYFUNCTION("""COMPUTED_VALUE"""),0.0)</f>
        <v>0</v>
      </c>
      <c r="BG171" s="53"/>
      <c r="BH171" s="53"/>
      <c r="BI171" s="53"/>
      <c r="BJ171" s="45"/>
      <c r="BK171" s="45"/>
      <c r="BL171" s="45"/>
      <c r="BM171" s="45"/>
      <c r="BN171" s="45"/>
      <c r="BO171" s="46"/>
    </row>
    <row r="172">
      <c r="A172" s="36">
        <f>IFERROR(__xludf.DUMMYFUNCTION("""COMPUTED_VALUE"""),171.0)</f>
        <v>171</v>
      </c>
      <c r="B172" s="37" t="str">
        <f>IFERROR(__xludf.DUMMYFUNCTION("""COMPUTED_VALUE"""),"ARINAH DINA DHABITAH")</f>
        <v>ARINAH DINA DHABITAH</v>
      </c>
      <c r="C172" s="38">
        <f>IFERROR(__xludf.DUMMYFUNCTION("""COMPUTED_VALUE"""),2.025070108E9)</f>
        <v>2025070108</v>
      </c>
      <c r="D172" s="37" t="str">
        <f>IFERROR(__xludf.DUMMYFUNCTION("""COMPUTED_VALUE"""),"MOHAMMAD YASIN")</f>
        <v>MOHAMMAD YASIN</v>
      </c>
      <c r="E172" s="37" t="str">
        <f>IFERROR(__xludf.DUMMYFUNCTION("""COMPUTED_VALUE"""),"ERLI NUR INDA SARI")</f>
        <v>ERLI NUR INDA SARI</v>
      </c>
      <c r="F172" s="37" t="str">
        <f>IFERROR(__xludf.DUMMYFUNCTION("""COMPUTED_VALUE"""),"TAKERHARJO RT 004 RW 002 SOLOKURO LAMONGAN")</f>
        <v>TAKERHARJO RT 004 RW 002 SOLOKURO LAMONGAN</v>
      </c>
      <c r="G172" s="39" t="str">
        <f>IFERROR(__xludf.DUMMYFUNCTION("""COMPUTED_VALUE"""),"MA-XI.10")</f>
        <v>MA-XI.10</v>
      </c>
      <c r="H172" s="36" t="str">
        <f>IFERROR(__xludf.DUMMYFUNCTION("""COMPUTED_VALUE"""),"C")</f>
        <v>C</v>
      </c>
      <c r="I172" s="40" t="str">
        <f>IFERROR(__xludf.DUMMYFUNCTION("""COMPUTED_VALUE"""),"C-5")</f>
        <v>C-5</v>
      </c>
      <c r="J172" s="40">
        <f>IFERROR(__xludf.DUMMYFUNCTION("""COMPUTED_VALUE"""),2.0)</f>
        <v>2</v>
      </c>
      <c r="K172" s="40" t="str">
        <f>IFERROR(__xludf.DUMMYFUNCTION("""COMPUTED_VALUE"""),"2 WUSTHO B PUTRI")</f>
        <v>2 WUSTHO B PUTRI</v>
      </c>
      <c r="L172" s="39" t="str">
        <f>IFERROR(__xludf.DUMMYFUNCTION("""COMPUTED_VALUE"""),"6285732236800")</f>
        <v>6285732236800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>
        <f>IFERROR(__xludf.DUMMYFUNCTION("""COMPUTED_VALUE"""),500000.0)</f>
        <v>500000</v>
      </c>
      <c r="AC172" s="42"/>
      <c r="AD172" s="42"/>
      <c r="AE172" s="43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3">
        <f>IFERROR(__xludf.DUMMYFUNCTION("""COMPUTED_VALUE"""),500000.0)</f>
        <v>500000</v>
      </c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IFERROR(__xludf.DUMMYFUNCTION("""COMPUTED_VALUE"""),1000000.0)</f>
        <v>1000000</v>
      </c>
      <c r="BE172" s="43">
        <f>IFERROR(__xludf.DUMMYFUNCTION("""COMPUTED_VALUE"""),0.0)</f>
        <v>0</v>
      </c>
      <c r="BF172" s="44">
        <f>IFERROR(__xludf.DUMMYFUNCTION("""COMPUTED_VALUE"""),1000000.0)</f>
        <v>1000000</v>
      </c>
      <c r="BG172" s="42"/>
      <c r="BH172" s="42"/>
      <c r="BI172" s="42"/>
      <c r="BJ172" s="45"/>
      <c r="BK172" s="45"/>
      <c r="BL172" s="45"/>
      <c r="BM172" s="45"/>
      <c r="BN172" s="45"/>
      <c r="BO172" s="46"/>
    </row>
    <row r="173">
      <c r="A173" s="47">
        <f>IFERROR(__xludf.DUMMYFUNCTION("""COMPUTED_VALUE"""),172.0)</f>
        <v>172</v>
      </c>
      <c r="B173" s="48" t="str">
        <f>IFERROR(__xludf.DUMMYFUNCTION("""COMPUTED_VALUE"""),"ARIS TANIA PUTRI")</f>
        <v>ARIS TANIA PUTRI</v>
      </c>
      <c r="C173" s="49">
        <f>IFERROR(__xludf.DUMMYFUNCTION("""COMPUTED_VALUE"""),2.025070346E9)</f>
        <v>2025070346</v>
      </c>
      <c r="D173" s="48" t="str">
        <f>IFERROR(__xludf.DUMMYFUNCTION("""COMPUTED_VALUE"""),"HASAN ANSORI")</f>
        <v>HASAN ANSORI</v>
      </c>
      <c r="E173" s="48" t="str">
        <f>IFERROR(__xludf.DUMMYFUNCTION("""COMPUTED_VALUE"""),"UMI SUNZAITIN")</f>
        <v>UMI SUNZAITIN</v>
      </c>
      <c r="F173" s="48" t="str">
        <f>IFERROR(__xludf.DUMMYFUNCTION("""COMPUTED_VALUE"""),"SUGIHAN RT 007 RW 002 SOLOKURO LAMONGAN")</f>
        <v>SUGIHAN RT 007 RW 002 SOLOKURO LAMONGAN</v>
      </c>
      <c r="G173" s="50" t="str">
        <f>IFERROR(__xludf.DUMMYFUNCTION("""COMPUTED_VALUE"""),"MA-XI.10")</f>
        <v>MA-XI.10</v>
      </c>
      <c r="H173" s="47" t="str">
        <f>IFERROR(__xludf.DUMMYFUNCTION("""COMPUTED_VALUE"""),"C")</f>
        <v>C</v>
      </c>
      <c r="I173" s="51"/>
      <c r="J173" s="51">
        <f>IFERROR(__xludf.DUMMYFUNCTION("""COMPUTED_VALUE"""),2.0)</f>
        <v>2</v>
      </c>
      <c r="K173" s="51" t="str">
        <f>IFERROR(__xludf.DUMMYFUNCTION("""COMPUTED_VALUE"""),"2 WUSTHO B PUTRI")</f>
        <v>2 WUSTHO B PUTRI</v>
      </c>
      <c r="L173" s="52" t="str">
        <f>IFERROR(__xludf.DUMMYFUNCTION("""COMPUTED_VALUE"""),"6285730004247")</f>
        <v>6285730004247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4">
        <f>IFERROR(__xludf.DUMMYFUNCTION("""COMPUTED_VALUE"""),500000.0)</f>
        <v>500000</v>
      </c>
      <c r="AC173" s="53"/>
      <c r="AD173" s="53"/>
      <c r="AE173" s="54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4">
        <f>IFERROR(__xludf.DUMMYFUNCTION("""COMPUTED_VALUE"""),500000.0)</f>
        <v>500000</v>
      </c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IFERROR(__xludf.DUMMYFUNCTION("""COMPUTED_VALUE"""),0.0)</f>
        <v>0</v>
      </c>
      <c r="BD173" s="54">
        <f>IFERROR(__xludf.DUMMYFUNCTION("""COMPUTED_VALUE"""),1000000.0)</f>
        <v>1000000</v>
      </c>
      <c r="BE173" s="54">
        <f>IFERROR(__xludf.DUMMYFUNCTION("""COMPUTED_VALUE"""),0.0)</f>
        <v>0</v>
      </c>
      <c r="BF173" s="55">
        <f>IFERROR(__xludf.DUMMYFUNCTION("""COMPUTED_VALUE"""),1000000.0)</f>
        <v>1000000</v>
      </c>
      <c r="BG173" s="53"/>
      <c r="BH173" s="53"/>
      <c r="BI173" s="53"/>
      <c r="BJ173" s="45"/>
      <c r="BK173" s="45"/>
      <c r="BL173" s="45"/>
      <c r="BM173" s="45"/>
      <c r="BN173" s="45"/>
      <c r="BO173" s="46"/>
    </row>
    <row r="174">
      <c r="A174" s="36">
        <f>IFERROR(__xludf.DUMMYFUNCTION("""COMPUTED_VALUE"""),173.0)</f>
        <v>173</v>
      </c>
      <c r="B174" s="37" t="str">
        <f>IFERROR(__xludf.DUMMYFUNCTION("""COMPUTED_VALUE"""),"AS SYIFANI NUR KHOLIF")</f>
        <v>AS SYIFANI NUR KHOLIF</v>
      </c>
      <c r="C174" s="38">
        <f>IFERROR(__xludf.DUMMYFUNCTION("""COMPUTED_VALUE"""),2.025070641E9)</f>
        <v>2025070641</v>
      </c>
      <c r="D174" s="37" t="str">
        <f>IFERROR(__xludf.DUMMYFUNCTION("""COMPUTED_VALUE"""),"MISKAN")</f>
        <v>MISKAN</v>
      </c>
      <c r="E174" s="37" t="str">
        <f>IFERROR(__xludf.DUMMYFUNCTION("""COMPUTED_VALUE"""),"SITI MAEMONAH")</f>
        <v>SITI MAEMONAH</v>
      </c>
      <c r="F174" s="37" t="str">
        <f>IFERROR(__xludf.DUMMYFUNCTION("""COMPUTED_VALUE"""),"NGAYUNG RT 008 RW 003 MADURAN LAMONGAN")</f>
        <v>NGAYUNG RT 008 RW 003 MADURAN LAMONGAN</v>
      </c>
      <c r="G174" s="39" t="str">
        <f>IFERROR(__xludf.DUMMYFUNCTION("""COMPUTED_VALUE"""),"MTS-8 C")</f>
        <v>MTS-8 C</v>
      </c>
      <c r="H174" s="36" t="str">
        <f>IFERROR(__xludf.DUMMYFUNCTION("""COMPUTED_VALUE"""),"C")</f>
        <v>C</v>
      </c>
      <c r="I174" s="40" t="str">
        <f>IFERROR(__xludf.DUMMYFUNCTION("""COMPUTED_VALUE"""),"C-13")</f>
        <v>C-13</v>
      </c>
      <c r="J174" s="40">
        <f>IFERROR(__xludf.DUMMYFUNCTION("""COMPUTED_VALUE"""),2.0)</f>
        <v>2</v>
      </c>
      <c r="K174" s="40" t="str">
        <f>IFERROR(__xludf.DUMMYFUNCTION("""COMPUTED_VALUE"""),"2 ULA B PUTRI")</f>
        <v>2 ULA B PUTRI</v>
      </c>
      <c r="L174" s="41" t="str">
        <f>IFERROR(__xludf.DUMMYFUNCTION("""COMPUTED_VALUE"""),"6281259603646")</f>
        <v>6281259603646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3"/>
      <c r="AB174" s="43">
        <f>IFERROR(__xludf.DUMMYFUNCTION("""COMPUTED_VALUE"""),500000.0)</f>
        <v>500000</v>
      </c>
      <c r="AC174" s="42"/>
      <c r="AD174" s="43"/>
      <c r="AE174" s="43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3">
        <f>IFERROR(__xludf.DUMMYFUNCTION("""COMPUTED_VALUE"""),500000.0)</f>
        <v>500000</v>
      </c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IFERROR(__xludf.DUMMYFUNCTION("""COMPUTED_VALUE"""),1000000.0)</f>
        <v>1000000</v>
      </c>
      <c r="BE174" s="43">
        <f>IFERROR(__xludf.DUMMYFUNCTION("""COMPUTED_VALUE"""),0.0)</f>
        <v>0</v>
      </c>
      <c r="BF174" s="44">
        <f>IFERROR(__xludf.DUMMYFUNCTION("""COMPUTED_VALUE"""),1000000.0)</f>
        <v>1000000</v>
      </c>
      <c r="BG174" s="42"/>
      <c r="BH174" s="42"/>
      <c r="BI174" s="42"/>
      <c r="BJ174" s="45"/>
      <c r="BK174" s="45"/>
      <c r="BL174" s="45"/>
      <c r="BM174" s="45"/>
      <c r="BN174" s="45"/>
      <c r="BO174" s="46"/>
    </row>
    <row r="175">
      <c r="A175" s="47">
        <f>IFERROR(__xludf.DUMMYFUNCTION("""COMPUTED_VALUE"""),174.0)</f>
        <v>174</v>
      </c>
      <c r="B175" s="48" t="str">
        <f>IFERROR(__xludf.DUMMYFUNCTION("""COMPUTED_VALUE"""),"ASMA WAFIYAH")</f>
        <v>ASMA WAFIYAH</v>
      </c>
      <c r="C175" s="49">
        <f>IFERROR(__xludf.DUMMYFUNCTION("""COMPUTED_VALUE"""),2.025070148E9)</f>
        <v>2025070148</v>
      </c>
      <c r="D175" s="48" t="str">
        <f>IFERROR(__xludf.DUMMYFUNCTION("""COMPUTED_VALUE"""),"ASMAN")</f>
        <v>ASMAN</v>
      </c>
      <c r="E175" s="48" t="str">
        <f>IFERROR(__xludf.DUMMYFUNCTION("""COMPUTED_VALUE"""),"KASIYATUN")</f>
        <v>KASIYATUN</v>
      </c>
      <c r="F175" s="48" t="str">
        <f>IFERROR(__xludf.DUMMYFUNCTION("""COMPUTED_VALUE"""),"BESUR RT 005 RW 003 SEKARAN LAMONGAN")</f>
        <v>BESUR RT 005 RW 003 SEKARAN LAMONGAN</v>
      </c>
      <c r="G175" s="50" t="str">
        <f>IFERROR(__xludf.DUMMYFUNCTION("""COMPUTED_VALUE"""),"MA-XI.4")</f>
        <v>MA-XI.4</v>
      </c>
      <c r="H175" s="47" t="str">
        <f>IFERROR(__xludf.DUMMYFUNCTION("""COMPUTED_VALUE"""),"C")</f>
        <v>C</v>
      </c>
      <c r="I175" s="51" t="str">
        <f>IFERROR(__xludf.DUMMYFUNCTION("""COMPUTED_VALUE"""),"C-10")</f>
        <v>C-10</v>
      </c>
      <c r="J175" s="51">
        <f>IFERROR(__xludf.DUMMYFUNCTION("""COMPUTED_VALUE"""),2.0)</f>
        <v>2</v>
      </c>
      <c r="K175" s="51" t="str">
        <f>IFERROR(__xludf.DUMMYFUNCTION("""COMPUTED_VALUE"""),"2 WUSTHO D PUTRI")</f>
        <v>2 WUSTHO D PUTRI</v>
      </c>
      <c r="L175" s="52" t="str">
        <f>IFERROR(__xludf.DUMMYFUNCTION("""COMPUTED_VALUE"""),"6285853464204")</f>
        <v>6285853464204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4">
        <f>IFERROR(__xludf.DUMMYFUNCTION("""COMPUTED_VALUE"""),500000.0)</f>
        <v>500000</v>
      </c>
      <c r="AC175" s="53"/>
      <c r="AD175" s="54"/>
      <c r="AE175" s="54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4">
        <f>IFERROR(__xludf.DUMMYFUNCTION("""COMPUTED_VALUE"""),500000.0)</f>
        <v>500000</v>
      </c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IFERROR(__xludf.DUMMYFUNCTION("""COMPUTED_VALUE"""),1000000.0)</f>
        <v>1000000</v>
      </c>
      <c r="BE175" s="54">
        <f>IFERROR(__xludf.DUMMYFUNCTION("""COMPUTED_VALUE"""),0.0)</f>
        <v>0</v>
      </c>
      <c r="BF175" s="55">
        <f>IFERROR(__xludf.DUMMYFUNCTION("""COMPUTED_VALUE"""),1000000.0)</f>
        <v>1000000</v>
      </c>
      <c r="BG175" s="53"/>
      <c r="BH175" s="53"/>
      <c r="BI175" s="53"/>
      <c r="BJ175" s="45"/>
      <c r="BK175" s="45"/>
      <c r="BL175" s="45"/>
      <c r="BM175" s="45"/>
      <c r="BN175" s="45"/>
      <c r="BO175" s="46"/>
    </row>
    <row r="176">
      <c r="A176" s="36">
        <f>IFERROR(__xludf.DUMMYFUNCTION("""COMPUTED_VALUE"""),175.0)</f>
        <v>175</v>
      </c>
      <c r="B176" s="37" t="str">
        <f>IFERROR(__xludf.DUMMYFUNCTION("""COMPUTED_VALUE"""),"ASYIFAH KAMILATUN NI`AMI")</f>
        <v>ASYIFAH KAMILATUN NI`AMI</v>
      </c>
      <c r="C176" s="38">
        <f>IFERROR(__xludf.DUMMYFUNCTION("""COMPUTED_VALUE"""),2.025070494E9)</f>
        <v>2025070494</v>
      </c>
      <c r="D176" s="37" t="str">
        <f>IFERROR(__xludf.DUMMYFUNCTION("""COMPUTED_VALUE"""),"ASNAWI")</f>
        <v>ASNAWI</v>
      </c>
      <c r="E176" s="37" t="str">
        <f>IFERROR(__xludf.DUMMYFUNCTION("""COMPUTED_VALUE"""),"ERNA EKONAWATI")</f>
        <v>ERNA EKONAWATI</v>
      </c>
      <c r="F176" s="37" t="str">
        <f>IFERROR(__xludf.DUMMYFUNCTION("""COMPUTED_VALUE"""),"DORO KARANGWEDORO RT 007 RW 003 TURI LAMONGAN")</f>
        <v>DORO KARANGWEDORO RT 007 RW 003 TURI LAMONGAN</v>
      </c>
      <c r="G176" s="38" t="str">
        <f>IFERROR(__xludf.DUMMYFUNCTION("""COMPUTED_VALUE"""),"SMP-VIII A")</f>
        <v>SMP-VIII A</v>
      </c>
      <c r="H176" s="36" t="str">
        <f>IFERROR(__xludf.DUMMYFUNCTION("""COMPUTED_VALUE"""),"C")</f>
        <v>C</v>
      </c>
      <c r="I176" s="40" t="str">
        <f>IFERROR(__xludf.DUMMYFUNCTION("""COMPUTED_VALUE"""),"C-12")</f>
        <v>C-12</v>
      </c>
      <c r="J176" s="40">
        <f>IFERROR(__xludf.DUMMYFUNCTION("""COMPUTED_VALUE"""),2.0)</f>
        <v>2</v>
      </c>
      <c r="K176" s="40" t="str">
        <f>IFERROR(__xludf.DUMMYFUNCTION("""COMPUTED_VALUE"""),"2 ULA B PUTRI")</f>
        <v>2 ULA B PUTRI</v>
      </c>
      <c r="L176" s="41" t="str">
        <f>IFERROR(__xludf.DUMMYFUNCTION("""COMPUTED_VALUE"""),"6285812349021")</f>
        <v>6285812349021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3"/>
      <c r="W176" s="43"/>
      <c r="X176" s="43"/>
      <c r="Y176" s="43"/>
      <c r="Z176" s="43"/>
      <c r="AA176" s="43"/>
      <c r="AB176" s="43">
        <f>IFERROR(__xludf.DUMMYFUNCTION("""COMPUTED_VALUE"""),500000.0)</f>
        <v>500000</v>
      </c>
      <c r="AC176" s="43"/>
      <c r="AD176" s="43"/>
      <c r="AE176" s="43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3">
        <f>IFERROR(__xludf.DUMMYFUNCTION("""COMPUTED_VALUE"""),500000.0)</f>
        <v>500000</v>
      </c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IFERROR(__xludf.DUMMYFUNCTION("""COMPUTED_VALUE"""),0.0)</f>
        <v>0</v>
      </c>
      <c r="BD176" s="43">
        <f>IFERROR(__xludf.DUMMYFUNCTION("""COMPUTED_VALUE"""),1000000.0)</f>
        <v>1000000</v>
      </c>
      <c r="BE176" s="43">
        <f>IFERROR(__xludf.DUMMYFUNCTION("""COMPUTED_VALUE"""),0.0)</f>
        <v>0</v>
      </c>
      <c r="BF176" s="44">
        <f>IFERROR(__xludf.DUMMYFUNCTION("""COMPUTED_VALUE"""),1000000.0)</f>
        <v>1000000</v>
      </c>
      <c r="BG176" s="42"/>
      <c r="BH176" s="42"/>
      <c r="BI176" s="42"/>
      <c r="BJ176" s="45"/>
      <c r="BK176" s="45"/>
      <c r="BL176" s="45"/>
      <c r="BM176" s="45"/>
      <c r="BN176" s="45"/>
      <c r="BO176" s="46"/>
    </row>
    <row r="177">
      <c r="A177" s="47">
        <f>IFERROR(__xludf.DUMMYFUNCTION("""COMPUTED_VALUE"""),176.0)</f>
        <v>176</v>
      </c>
      <c r="B177" s="48" t="str">
        <f>IFERROR(__xludf.DUMMYFUNCTION("""COMPUTED_VALUE"""),"ATIKA NIDYA SHOFWA")</f>
        <v>ATIKA NIDYA SHOFWA</v>
      </c>
      <c r="C177" s="49">
        <f>IFERROR(__xludf.DUMMYFUNCTION("""COMPUTED_VALUE"""),2.025070275E9)</f>
        <v>2025070275</v>
      </c>
      <c r="D177" s="48" t="str">
        <f>IFERROR(__xludf.DUMMYFUNCTION("""COMPUTED_VALUE"""),"ABDUL MUJIB")</f>
        <v>ABDUL MUJIB</v>
      </c>
      <c r="E177" s="48" t="str">
        <f>IFERROR(__xludf.DUMMYFUNCTION("""COMPUTED_VALUE"""),"SUMARNI")</f>
        <v>SUMARNI</v>
      </c>
      <c r="F177" s="48" t="str">
        <f>IFERROR(__xludf.DUMMYFUNCTION("""COMPUTED_VALUE"""),"WOTAN RT 009 RW 003 PANCENG GRESIK")</f>
        <v>WOTAN RT 009 RW 003 PANCENG GRESIK</v>
      </c>
      <c r="G177" s="49" t="str">
        <f>IFERROR(__xludf.DUMMYFUNCTION("""COMPUTED_VALUE"""),"MA-XI.1")</f>
        <v>MA-XI.1</v>
      </c>
      <c r="H177" s="47" t="str">
        <f>IFERROR(__xludf.DUMMYFUNCTION("""COMPUTED_VALUE"""),"C")</f>
        <v>C</v>
      </c>
      <c r="I177" s="51" t="str">
        <f>IFERROR(__xludf.DUMMYFUNCTION("""COMPUTED_VALUE"""),"C-6")</f>
        <v>C-6</v>
      </c>
      <c r="J177" s="51">
        <f>IFERROR(__xludf.DUMMYFUNCTION("""COMPUTED_VALUE"""),2.0)</f>
        <v>2</v>
      </c>
      <c r="K177" s="51" t="str">
        <f>IFERROR(__xludf.DUMMYFUNCTION("""COMPUTED_VALUE"""),"TAHFIDZ")</f>
        <v>TAHFIDZ</v>
      </c>
      <c r="L177" s="52" t="str">
        <f>IFERROR(__xludf.DUMMYFUNCTION("""COMPUTED_VALUE"""),"6282140161650")</f>
        <v>6282140161650</v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 t="str">
        <f>IFERROR(__xludf.DUMMYFUNCTION("""COMPUTED_VALUE"""),"    ")</f>
        <v>    </v>
      </c>
      <c r="AB177" s="54">
        <f>IFERROR(__xludf.DUMMYFUNCTION("""COMPUTED_VALUE"""),500000.0)</f>
        <v>500000</v>
      </c>
      <c r="AC177" s="54"/>
      <c r="AD177" s="54"/>
      <c r="AE177" s="54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4">
        <f>IFERROR(__xludf.DUMMYFUNCTION("""COMPUTED_VALUE"""),500000.0)</f>
        <v>500000</v>
      </c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IFERROR(__xludf.DUMMYFUNCTION("""COMPUTED_VALUE"""),0.0)</f>
        <v>0</v>
      </c>
      <c r="BD177" s="54">
        <f>IFERROR(__xludf.DUMMYFUNCTION("""COMPUTED_VALUE"""),1000000.0)</f>
        <v>1000000</v>
      </c>
      <c r="BE177" s="54" t="str">
        <f>IFERROR(__xludf.DUMMYFUNCTION("""COMPUTED_VALUE"""),"#VALUE!")</f>
        <v>#VALUE!</v>
      </c>
      <c r="BF177" s="55" t="str">
        <f>IFERROR(__xludf.DUMMYFUNCTION("""COMPUTED_VALUE"""),"#VALUE!")</f>
        <v>#VALUE!</v>
      </c>
      <c r="BG177" s="53"/>
      <c r="BH177" s="53"/>
      <c r="BI177" s="53"/>
      <c r="BJ177" s="45"/>
      <c r="BK177" s="45"/>
      <c r="BL177" s="45"/>
      <c r="BM177" s="45"/>
      <c r="BN177" s="45"/>
      <c r="BO177" s="46"/>
    </row>
    <row r="178">
      <c r="A178" s="36">
        <f>IFERROR(__xludf.DUMMYFUNCTION("""COMPUTED_VALUE"""),177.0)</f>
        <v>177</v>
      </c>
      <c r="B178" s="37" t="str">
        <f>IFERROR(__xludf.DUMMYFUNCTION("""COMPUTED_VALUE"""),"AULIA SARAH RAHMAWATI")</f>
        <v>AULIA SARAH RAHMAWATI</v>
      </c>
      <c r="C178" s="38">
        <f>IFERROR(__xludf.DUMMYFUNCTION("""COMPUTED_VALUE"""),2.025070561E9)</f>
        <v>2025070561</v>
      </c>
      <c r="D178" s="37" t="str">
        <f>IFERROR(__xludf.DUMMYFUNCTION("""COMPUTED_VALUE"""),"ASRODI")</f>
        <v>ASRODI</v>
      </c>
      <c r="E178" s="37" t="str">
        <f>IFERROR(__xludf.DUMMYFUNCTION("""COMPUTED_VALUE"""),"RUPIATUN")</f>
        <v>RUPIATUN</v>
      </c>
      <c r="F178" s="37" t="str">
        <f>IFERROR(__xludf.DUMMYFUNCTION("""COMPUTED_VALUE"""),"KEDIREN RT 002 RW 001 KALITENGAH LAMONGAN")</f>
        <v>KEDIREN RT 002 RW 001 KALITENGAH LAMONGAN</v>
      </c>
      <c r="G178" s="39" t="str">
        <f>IFERROR(__xludf.DUMMYFUNCTION("""COMPUTED_VALUE"""),"MTS-8 G")</f>
        <v>MTS-8 G</v>
      </c>
      <c r="H178" s="36" t="str">
        <f>IFERROR(__xludf.DUMMYFUNCTION("""COMPUTED_VALUE"""),"C")</f>
        <v>C</v>
      </c>
      <c r="I178" s="40" t="str">
        <f>IFERROR(__xludf.DUMMYFUNCTION("""COMPUTED_VALUE"""),"C-12")</f>
        <v>C-12</v>
      </c>
      <c r="J178" s="40">
        <f>IFERROR(__xludf.DUMMYFUNCTION("""COMPUTED_VALUE"""),2.0)</f>
        <v>2</v>
      </c>
      <c r="K178" s="40" t="str">
        <f>IFERROR(__xludf.DUMMYFUNCTION("""COMPUTED_VALUE"""),"2 ULA B PUTRI")</f>
        <v>2 ULA B PUTRI</v>
      </c>
      <c r="L178" s="41" t="str">
        <f>IFERROR(__xludf.DUMMYFUNCTION("""COMPUTED_VALUE"""),"6285804221107")</f>
        <v>6285804221107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3"/>
      <c r="AB178" s="43">
        <f>IFERROR(__xludf.DUMMYFUNCTION("""COMPUTED_VALUE"""),500000.0)</f>
        <v>500000</v>
      </c>
      <c r="AC178" s="43"/>
      <c r="AD178" s="43"/>
      <c r="AE178" s="43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3">
        <f>IFERROR(__xludf.DUMMYFUNCTION("""COMPUTED_VALUE"""),500000.0)</f>
        <v>500000</v>
      </c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IFERROR(__xludf.DUMMYFUNCTION("""COMPUTED_VALUE"""),1000000.0)</f>
        <v>1000000</v>
      </c>
      <c r="BE178" s="43">
        <f>IFERROR(__xludf.DUMMYFUNCTION("""COMPUTED_VALUE"""),0.0)</f>
        <v>0</v>
      </c>
      <c r="BF178" s="44">
        <f>IFERROR(__xludf.DUMMYFUNCTION("""COMPUTED_VALUE"""),1000000.0)</f>
        <v>1000000</v>
      </c>
      <c r="BG178" s="42"/>
      <c r="BH178" s="42"/>
      <c r="BI178" s="42"/>
      <c r="BJ178" s="45"/>
      <c r="BK178" s="45"/>
      <c r="BL178" s="45"/>
      <c r="BM178" s="45"/>
      <c r="BN178" s="45"/>
      <c r="BO178" s="46"/>
    </row>
    <row r="179">
      <c r="A179" s="47">
        <f>IFERROR(__xludf.DUMMYFUNCTION("""COMPUTED_VALUE"""),178.0)</f>
        <v>178</v>
      </c>
      <c r="B179" s="48" t="str">
        <f>IFERROR(__xludf.DUMMYFUNCTION("""COMPUTED_VALUE"""),"AULIYA QONITA ALMAIRA")</f>
        <v>AULIYA QONITA ALMAIRA</v>
      </c>
      <c r="C179" s="49">
        <f>IFERROR(__xludf.DUMMYFUNCTION("""COMPUTED_VALUE"""),2.025070547E9)</f>
        <v>2025070547</v>
      </c>
      <c r="D179" s="48" t="str">
        <f>IFERROR(__xludf.DUMMYFUNCTION("""COMPUTED_VALUE"""),"MAHMUDIN")</f>
        <v>MAHMUDIN</v>
      </c>
      <c r="E179" s="48" t="str">
        <f>IFERROR(__xludf.DUMMYFUNCTION("""COMPUTED_VALUE"""),"MUSLICHAH")</f>
        <v>MUSLICHAH</v>
      </c>
      <c r="F179" s="48" t="str">
        <f>IFERROR(__xludf.DUMMYFUNCTION("""COMPUTED_VALUE"""),"BADU BADURAME RT 001 RW 004 TURI LAMONGAN")</f>
        <v>BADU BADURAME RT 001 RW 004 TURI LAMONGAN</v>
      </c>
      <c r="G179" s="50" t="str">
        <f>IFERROR(__xludf.DUMMYFUNCTION("""COMPUTED_VALUE"""),"MTS-8 B")</f>
        <v>MTS-8 B</v>
      </c>
      <c r="H179" s="47" t="str">
        <f>IFERROR(__xludf.DUMMYFUNCTION("""COMPUTED_VALUE"""),"C")</f>
        <v>C</v>
      </c>
      <c r="I179" s="51" t="str">
        <f>IFERROR(__xludf.DUMMYFUNCTION("""COMPUTED_VALUE"""),"C-12")</f>
        <v>C-12</v>
      </c>
      <c r="J179" s="51">
        <f>IFERROR(__xludf.DUMMYFUNCTION("""COMPUTED_VALUE"""),2.0)</f>
        <v>2</v>
      </c>
      <c r="K179" s="51" t="str">
        <f>IFERROR(__xludf.DUMMYFUNCTION("""COMPUTED_VALUE"""),"2 ULA B PUTRI")</f>
        <v>2 ULA B PUTRI</v>
      </c>
      <c r="L179" s="52" t="str">
        <f>IFERROR(__xludf.DUMMYFUNCTION("""COMPUTED_VALUE"""),"6283870992471")</f>
        <v>6283870992471</v>
      </c>
      <c r="M179" s="53"/>
      <c r="N179" s="53"/>
      <c r="O179" s="53"/>
      <c r="P179" s="53"/>
      <c r="Q179" s="53"/>
      <c r="R179" s="53"/>
      <c r="S179" s="54"/>
      <c r="T179" s="54"/>
      <c r="U179" s="54"/>
      <c r="V179" s="54"/>
      <c r="W179" s="54"/>
      <c r="X179" s="54"/>
      <c r="Y179" s="54"/>
      <c r="Z179" s="54">
        <f>IFERROR(__xludf.DUMMYFUNCTION("""COMPUTED_VALUE"""),450000.0)</f>
        <v>450000</v>
      </c>
      <c r="AA179" s="54"/>
      <c r="AB179" s="54">
        <f>IFERROR(__xludf.DUMMYFUNCTION("""COMPUTED_VALUE"""),500000.0)</f>
        <v>500000</v>
      </c>
      <c r="AC179" s="54"/>
      <c r="AD179" s="54"/>
      <c r="AE179" s="54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4">
        <f>IFERROR(__xludf.DUMMYFUNCTION("""COMPUTED_VALUE"""),500000.0)</f>
        <v>500000</v>
      </c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IFERROR(__xludf.DUMMYFUNCTION("""COMPUTED_VALUE"""),450000.0)</f>
        <v>450000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IFERROR(__xludf.DUMMYFUNCTION("""COMPUTED_VALUE"""),1450000.0)</f>
        <v>1450000</v>
      </c>
      <c r="BG179" s="53"/>
      <c r="BH179" s="53"/>
      <c r="BI179" s="53"/>
      <c r="BJ179" s="45"/>
      <c r="BK179" s="45"/>
      <c r="BL179" s="45"/>
      <c r="BM179" s="45"/>
      <c r="BN179" s="45"/>
      <c r="BO179" s="46"/>
    </row>
    <row r="180">
      <c r="A180" s="36">
        <f>IFERROR(__xludf.DUMMYFUNCTION("""COMPUTED_VALUE"""),179.0)</f>
        <v>179</v>
      </c>
      <c r="B180" s="37" t="str">
        <f>IFERROR(__xludf.DUMMYFUNCTION("""COMPUTED_VALUE"""),"AZZA ULFHIEYANNA FATYYN")</f>
        <v>AZZA ULFHIEYANNA FATYYN</v>
      </c>
      <c r="C180" s="38">
        <f>IFERROR(__xludf.DUMMYFUNCTION("""COMPUTED_VALUE"""),2.025070565E9)</f>
        <v>2025070565</v>
      </c>
      <c r="D180" s="37" t="str">
        <f>IFERROR(__xludf.DUMMYFUNCTION("""COMPUTED_VALUE"""),"RUMIJO")</f>
        <v>RUMIJO</v>
      </c>
      <c r="E180" s="37" t="str">
        <f>IFERROR(__xludf.DUMMYFUNCTION("""COMPUTED_VALUE"""),"KARIYANTI")</f>
        <v>KARIYANTI</v>
      </c>
      <c r="F180" s="37" t="str">
        <f>IFERROR(__xludf.DUMMYFUNCTION("""COMPUTED_VALUE"""),"KEDIREN RT 001 RW 001 KALITENGAH LAMONGAN")</f>
        <v>KEDIREN RT 001 RW 001 KALITENGAH LAMONGAN</v>
      </c>
      <c r="G180" s="39" t="str">
        <f>IFERROR(__xludf.DUMMYFUNCTION("""COMPUTED_VALUE"""),"MTS-8 F")</f>
        <v>MTS-8 F</v>
      </c>
      <c r="H180" s="36" t="str">
        <f>IFERROR(__xludf.DUMMYFUNCTION("""COMPUTED_VALUE"""),"C")</f>
        <v>C</v>
      </c>
      <c r="I180" s="40" t="str">
        <f>IFERROR(__xludf.DUMMYFUNCTION("""COMPUTED_VALUE"""),"C-12")</f>
        <v>C-12</v>
      </c>
      <c r="J180" s="40">
        <f>IFERROR(__xludf.DUMMYFUNCTION("""COMPUTED_VALUE"""),2.0)</f>
        <v>2</v>
      </c>
      <c r="K180" s="40" t="str">
        <f>IFERROR(__xludf.DUMMYFUNCTION("""COMPUTED_VALUE"""),"2 ULA C PUTRI")</f>
        <v>2 ULA C PUTRI</v>
      </c>
      <c r="L180" s="39" t="str">
        <f>IFERROR(__xludf.DUMMYFUNCTION("""COMPUTED_VALUE"""),"6285785367894")</f>
        <v>6285785367894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3"/>
      <c r="AB180" s="43"/>
      <c r="AC180" s="43"/>
      <c r="AD180" s="43"/>
      <c r="AE180" s="43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3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42"/>
      <c r="BH180" s="42"/>
      <c r="BI180" s="42"/>
      <c r="BJ180" s="45"/>
      <c r="BK180" s="45"/>
      <c r="BL180" s="45"/>
      <c r="BM180" s="45"/>
      <c r="BN180" s="45"/>
      <c r="BO180" s="46"/>
    </row>
    <row r="181">
      <c r="A181" s="47">
        <f>IFERROR(__xludf.DUMMYFUNCTION("""COMPUTED_VALUE"""),180.0)</f>
        <v>180</v>
      </c>
      <c r="B181" s="48" t="str">
        <f>IFERROR(__xludf.DUMMYFUNCTION("""COMPUTED_VALUE"""),"BISSILMIKAAFA AULIA")</f>
        <v>BISSILMIKAAFA AULIA</v>
      </c>
      <c r="C181" s="49">
        <f>IFERROR(__xludf.DUMMYFUNCTION("""COMPUTED_VALUE"""),2.025070323E9)</f>
        <v>2025070323</v>
      </c>
      <c r="D181" s="48" t="str">
        <f>IFERROR(__xludf.DUMMYFUNCTION("""COMPUTED_VALUE"""),"KUSENO")</f>
        <v>KUSENO</v>
      </c>
      <c r="E181" s="48" t="str">
        <f>IFERROR(__xludf.DUMMYFUNCTION("""COMPUTED_VALUE"""),"NURUL FATMAWATI")</f>
        <v>NURUL FATMAWATI</v>
      </c>
      <c r="F181" s="48" t="str">
        <f>IFERROR(__xludf.DUMMYFUNCTION("""COMPUTED_VALUE"""),"TEBLURU RT 006 RW 001 SOLOKURO LAMONGAN")</f>
        <v>TEBLURU RT 006 RW 001 SOLOKURO LAMONGAN</v>
      </c>
      <c r="G181" s="50" t="str">
        <f>IFERROR(__xludf.DUMMYFUNCTION("""COMPUTED_VALUE"""),"MA-XI.11")</f>
        <v>MA-XI.11</v>
      </c>
      <c r="H181" s="47" t="str">
        <f>IFERROR(__xludf.DUMMYFUNCTION("""COMPUTED_VALUE"""),"C")</f>
        <v>C</v>
      </c>
      <c r="I181" s="51" t="str">
        <f>IFERROR(__xludf.DUMMYFUNCTION("""COMPUTED_VALUE"""),"C-10")</f>
        <v>C-10</v>
      </c>
      <c r="J181" s="51">
        <f>IFERROR(__xludf.DUMMYFUNCTION("""COMPUTED_VALUE"""),2.0)</f>
        <v>2</v>
      </c>
      <c r="K181" s="51" t="str">
        <f>IFERROR(__xludf.DUMMYFUNCTION("""COMPUTED_VALUE"""),"2 WUSTHO C PUTRI")</f>
        <v>2 WUSTHO C PUTRI</v>
      </c>
      <c r="L181" s="52" t="str">
        <f>IFERROR(__xludf.DUMMYFUNCTION("""COMPUTED_VALUE"""),"6285706493322")</f>
        <v>6285706493322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4">
        <f>IFERROR(__xludf.DUMMYFUNCTION("""COMPUTED_VALUE"""),500000.0)</f>
        <v>500000</v>
      </c>
      <c r="AC181" s="53"/>
      <c r="AD181" s="53"/>
      <c r="AE181" s="54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4">
        <f>IFERROR(__xludf.DUMMYFUNCTION("""COMPUTED_VALUE"""),500000.0)</f>
        <v>500000</v>
      </c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IFERROR(__xludf.DUMMYFUNCTION("""COMPUTED_VALUE"""),1000000.0)</f>
        <v>1000000</v>
      </c>
      <c r="BE181" s="54">
        <f>IFERROR(__xludf.DUMMYFUNCTION("""COMPUTED_VALUE"""),0.0)</f>
        <v>0</v>
      </c>
      <c r="BF181" s="55">
        <f>IFERROR(__xludf.DUMMYFUNCTION("""COMPUTED_VALUE"""),1000000.0)</f>
        <v>1000000</v>
      </c>
      <c r="BG181" s="53"/>
      <c r="BH181" s="53"/>
      <c r="BI181" s="53"/>
      <c r="BJ181" s="45"/>
      <c r="BK181" s="45"/>
      <c r="BL181" s="45"/>
      <c r="BM181" s="45"/>
      <c r="BN181" s="45"/>
      <c r="BO181" s="46"/>
    </row>
    <row r="182">
      <c r="A182" s="36">
        <f>IFERROR(__xludf.DUMMYFUNCTION("""COMPUTED_VALUE"""),181.0)</f>
        <v>181</v>
      </c>
      <c r="B182" s="37" t="str">
        <f>IFERROR(__xludf.DUMMYFUNCTION("""COMPUTED_VALUE"""),"BUNGA OKTAVIA SASKIA")</f>
        <v>BUNGA OKTAVIA SASKIA</v>
      </c>
      <c r="C182" s="38">
        <f>IFERROR(__xludf.DUMMYFUNCTION("""COMPUTED_VALUE"""),2.025070622E9)</f>
        <v>2025070622</v>
      </c>
      <c r="D182" s="37" t="str">
        <f>IFERROR(__xludf.DUMMYFUNCTION("""COMPUTED_VALUE"""),"HUSNAN MARZUQI")</f>
        <v>HUSNAN MARZUQI</v>
      </c>
      <c r="E182" s="37" t="str">
        <f>IFERROR(__xludf.DUMMYFUNCTION("""COMPUTED_VALUE"""),"SITI UMAYAH")</f>
        <v>SITI UMAYAH</v>
      </c>
      <c r="F182" s="37" t="str">
        <f>IFERROR(__xludf.DUMMYFUNCTION("""COMPUTED_VALUE"""),"UJUNG KRAWANG PULO GEBANG RT 009 RW 005 CAKUNG JAKARTA TIMUR")</f>
        <v>UJUNG KRAWANG PULO GEBANG RT 009 RW 005 CAKUNG JAKARTA TIMUR</v>
      </c>
      <c r="G182" s="39" t="str">
        <f>IFERROR(__xludf.DUMMYFUNCTION("""COMPUTED_VALUE"""),"MTS-8 D")</f>
        <v>MTS-8 D</v>
      </c>
      <c r="H182" s="36" t="str">
        <f>IFERROR(__xludf.DUMMYFUNCTION("""COMPUTED_VALUE"""),"C")</f>
        <v>C</v>
      </c>
      <c r="I182" s="40" t="str">
        <f>IFERROR(__xludf.DUMMYFUNCTION("""COMPUTED_VALUE"""),"C-12")</f>
        <v>C-12</v>
      </c>
      <c r="J182" s="40">
        <f>IFERROR(__xludf.DUMMYFUNCTION("""COMPUTED_VALUE"""),2.0)</f>
        <v>2</v>
      </c>
      <c r="K182" s="40" t="str">
        <f>IFERROR(__xludf.DUMMYFUNCTION("""COMPUTED_VALUE"""),"2 ULA C PUTRI")</f>
        <v>2 ULA C PUTRI</v>
      </c>
      <c r="L182" s="41" t="str">
        <f>IFERROR(__xludf.DUMMYFUNCTION("""COMPUTED_VALUE"""),"6282334563206")</f>
        <v>6282334563206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>
        <f>IFERROR(__xludf.DUMMYFUNCTION("""COMPUTED_VALUE"""),450000.0)</f>
        <v>450000</v>
      </c>
      <c r="AA182" s="42"/>
      <c r="AB182" s="43">
        <f>IFERROR(__xludf.DUMMYFUNCTION("""COMPUTED_VALUE"""),500000.0)</f>
        <v>500000</v>
      </c>
      <c r="AC182" s="43"/>
      <c r="AD182" s="43"/>
      <c r="AE182" s="43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3">
        <f>IFERROR(__xludf.DUMMYFUNCTION("""COMPUTED_VALUE"""),500000.0)</f>
        <v>500000</v>
      </c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42"/>
      <c r="BH182" s="42"/>
      <c r="BI182" s="42"/>
      <c r="BJ182" s="45"/>
      <c r="BK182" s="45"/>
      <c r="BL182" s="45"/>
      <c r="BM182" s="45"/>
      <c r="BN182" s="45"/>
      <c r="BO182" s="46"/>
    </row>
    <row r="183">
      <c r="A183" s="47">
        <f>IFERROR(__xludf.DUMMYFUNCTION("""COMPUTED_VALUE"""),182.0)</f>
        <v>182</v>
      </c>
      <c r="B183" s="48" t="str">
        <f>IFERROR(__xludf.DUMMYFUNCTION("""COMPUTED_VALUE"""),"CHAVINA MUFIDAH HARIYANTO")</f>
        <v>CHAVINA MUFIDAH HARIYANTO</v>
      </c>
      <c r="C183" s="49">
        <f>IFERROR(__xludf.DUMMYFUNCTION("""COMPUTED_VALUE"""),2.025070113E9)</f>
        <v>2025070113</v>
      </c>
      <c r="D183" s="48" t="str">
        <f>IFERROR(__xludf.DUMMYFUNCTION("""COMPUTED_VALUE"""),"BAMBANG HARIYANTO")</f>
        <v>BAMBANG HARIYANTO</v>
      </c>
      <c r="E183" s="48" t="str">
        <f>IFERROR(__xludf.DUMMYFUNCTION("""COMPUTED_VALUE"""),"YULIA MAGHFIROH")</f>
        <v>YULIA MAGHFIROH</v>
      </c>
      <c r="F183" s="48" t="str">
        <f>IFERROR(__xludf.DUMMYFUNCTION("""COMPUTED_VALUE"""),"SEMPU DRADAHBLUMBANG RT 003 RW 010 KEDUNGPRING LAMONGAN")</f>
        <v>SEMPU DRADAHBLUMBANG RT 003 RW 010 KEDUNGPRING LAMONGAN</v>
      </c>
      <c r="G183" s="50" t="str">
        <f>IFERROR(__xludf.DUMMYFUNCTION("""COMPUTED_VALUE"""),"MA-XI.11")</f>
        <v>MA-XI.11</v>
      </c>
      <c r="H183" s="47" t="str">
        <f>IFERROR(__xludf.DUMMYFUNCTION("""COMPUTED_VALUE"""),"C")</f>
        <v>C</v>
      </c>
      <c r="I183" s="51" t="str">
        <f>IFERROR(__xludf.DUMMYFUNCTION("""COMPUTED_VALUE"""),"C-10")</f>
        <v>C-10</v>
      </c>
      <c r="J183" s="51">
        <f>IFERROR(__xludf.DUMMYFUNCTION("""COMPUTED_VALUE"""),2.0)</f>
        <v>2</v>
      </c>
      <c r="K183" s="51" t="str">
        <f>IFERROR(__xludf.DUMMYFUNCTION("""COMPUTED_VALUE"""),"2 WUSTHO B PUTRI")</f>
        <v>2 WUSTHO B PUTRI</v>
      </c>
      <c r="L183" s="52" t="str">
        <f>IFERROR(__xludf.DUMMYFUNCTION("""COMPUTED_VALUE"""),"6281235578444")</f>
        <v>6281235578444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4"/>
      <c r="AC183" s="53"/>
      <c r="AD183" s="53"/>
      <c r="AE183" s="54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4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IFERROR(__xludf.DUMMYFUNCTION("""COMPUTED_VALUE"""),0.0)</f>
        <v>0</v>
      </c>
      <c r="BD183" s="54">
        <f>IFERROR(__xludf.DUMMYFUNCTION("""COMPUTED_VALUE"""),0.0)</f>
        <v>0</v>
      </c>
      <c r="BE183" s="54">
        <f>IFERROR(__xludf.DUMMYFUNCTION("""COMPUTED_VALUE"""),0.0)</f>
        <v>0</v>
      </c>
      <c r="BF183" s="55">
        <f>IFERROR(__xludf.DUMMYFUNCTION("""COMPUTED_VALUE"""),0.0)</f>
        <v>0</v>
      </c>
      <c r="BG183" s="53"/>
      <c r="BH183" s="53"/>
      <c r="BI183" s="53"/>
      <c r="BJ183" s="45"/>
      <c r="BK183" s="45"/>
      <c r="BL183" s="45"/>
      <c r="BM183" s="45"/>
      <c r="BN183" s="45"/>
      <c r="BO183" s="46"/>
    </row>
    <row r="184">
      <c r="A184" s="36">
        <f>IFERROR(__xludf.DUMMYFUNCTION("""COMPUTED_VALUE"""),183.0)</f>
        <v>183</v>
      </c>
      <c r="B184" s="37" t="str">
        <f>IFERROR(__xludf.DUMMYFUNCTION("""COMPUTED_VALUE"""),"CIKA YULISTINA ADILATUZ ZAFIRAH LI`IZZATI")</f>
        <v>CIKA YULISTINA ADILATUZ ZAFIRAH LI`IZZATI</v>
      </c>
      <c r="C184" s="38">
        <f>IFERROR(__xludf.DUMMYFUNCTION("""COMPUTED_VALUE"""),2.025070214E9)</f>
        <v>2025070214</v>
      </c>
      <c r="D184" s="37" t="str">
        <f>IFERROR(__xludf.DUMMYFUNCTION("""COMPUTED_VALUE"""),"MIFTAHUL ARIF")</f>
        <v>MIFTAHUL ARIF</v>
      </c>
      <c r="E184" s="37" t="str">
        <f>IFERROR(__xludf.DUMMYFUNCTION("""COMPUTED_VALUE"""),"QONI`AH")</f>
        <v>QONI`AH</v>
      </c>
      <c r="F184" s="37" t="str">
        <f>IFERROR(__xludf.DUMMYFUNCTION("""COMPUTED_VALUE"""),"WONOKERTO RT 012 RW 003 DUKUN GRESIK")</f>
        <v>WONOKERTO RT 012 RW 003 DUKUN GRESIK</v>
      </c>
      <c r="G184" s="39" t="str">
        <f>IFERROR(__xludf.DUMMYFUNCTION("""COMPUTED_VALUE"""),"MA-XI.2")</f>
        <v>MA-XI.2</v>
      </c>
      <c r="H184" s="36" t="str">
        <f>IFERROR(__xludf.DUMMYFUNCTION("""COMPUTED_VALUE"""),"C")</f>
        <v>C</v>
      </c>
      <c r="I184" s="40" t="str">
        <f>IFERROR(__xludf.DUMMYFUNCTION("""COMPUTED_VALUE"""),"C-6")</f>
        <v>C-6</v>
      </c>
      <c r="J184" s="40">
        <f>IFERROR(__xludf.DUMMYFUNCTION("""COMPUTED_VALUE"""),2.0)</f>
        <v>2</v>
      </c>
      <c r="K184" s="40" t="str">
        <f>IFERROR(__xludf.DUMMYFUNCTION("""COMPUTED_VALUE"""),"2 WUSTHO B PUTRI")</f>
        <v>2 WUSTHO B PUTRI</v>
      </c>
      <c r="L184" s="41" t="str">
        <f>IFERROR(__xludf.DUMMYFUNCTION("""COMPUTED_VALUE"""),"6285732533877")</f>
        <v>6285732533877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3"/>
      <c r="W184" s="43"/>
      <c r="X184" s="43"/>
      <c r="Y184" s="43"/>
      <c r="Z184" s="43"/>
      <c r="AA184" s="43"/>
      <c r="AB184" s="43">
        <f>IFERROR(__xludf.DUMMYFUNCTION("""COMPUTED_VALUE"""),500000.0)</f>
        <v>500000</v>
      </c>
      <c r="AC184" s="43"/>
      <c r="AD184" s="43"/>
      <c r="AE184" s="43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3">
        <f>IFERROR(__xludf.DUMMYFUNCTION("""COMPUTED_VALUE"""),500000.0)</f>
        <v>500000</v>
      </c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IFERROR(__xludf.DUMMYFUNCTION("""COMPUTED_VALUE"""),1000000.0)</f>
        <v>1000000</v>
      </c>
      <c r="BE184" s="43">
        <f>IFERROR(__xludf.DUMMYFUNCTION("""COMPUTED_VALUE"""),0.0)</f>
        <v>0</v>
      </c>
      <c r="BF184" s="44">
        <f>IFERROR(__xludf.DUMMYFUNCTION("""COMPUTED_VALUE"""),1000000.0)</f>
        <v>1000000</v>
      </c>
      <c r="BG184" s="42"/>
      <c r="BH184" s="42"/>
      <c r="BI184" s="42"/>
      <c r="BJ184" s="45"/>
      <c r="BK184" s="45"/>
      <c r="BL184" s="45"/>
      <c r="BM184" s="45"/>
      <c r="BN184" s="45"/>
      <c r="BO184" s="46"/>
    </row>
    <row r="185">
      <c r="A185" s="47">
        <f>IFERROR(__xludf.DUMMYFUNCTION("""COMPUTED_VALUE"""),184.0)</f>
        <v>184</v>
      </c>
      <c r="B185" s="48" t="str">
        <f>IFERROR(__xludf.DUMMYFUNCTION("""COMPUTED_VALUE"""),"DAFINAH ALISHA BATRISYA HARIANTO")</f>
        <v>DAFINAH ALISHA BATRISYA HARIANTO</v>
      </c>
      <c r="C185" s="49">
        <f>IFERROR(__xludf.DUMMYFUNCTION("""COMPUTED_VALUE"""),2.025070514E9)</f>
        <v>2025070514</v>
      </c>
      <c r="D185" s="48" t="str">
        <f>IFERROR(__xludf.DUMMYFUNCTION("""COMPUTED_VALUE"""),"HARIANTO")</f>
        <v>HARIANTO</v>
      </c>
      <c r="E185" s="48" t="str">
        <f>IFERROR(__xludf.DUMMYFUNCTION("""COMPUTED_VALUE"""),"SUNARTI")</f>
        <v>SUNARTI</v>
      </c>
      <c r="F185" s="48" t="str">
        <f>IFERROR(__xludf.DUMMYFUNCTION("""COMPUTED_VALUE"""),"CANDIPARI TAMBAKPLOSO RT 003 RW 001 TURI LAMONGAN")</f>
        <v>CANDIPARI TAMBAKPLOSO RT 003 RW 001 TURI LAMONGAN</v>
      </c>
      <c r="G185" s="57" t="str">
        <f>IFERROR(__xludf.DUMMYFUNCTION("""COMPUTED_VALUE"""),"MTS-8 D")</f>
        <v>MTS-8 D</v>
      </c>
      <c r="H185" s="47" t="str">
        <f>IFERROR(__xludf.DUMMYFUNCTION("""COMPUTED_VALUE"""),"C")</f>
        <v>C</v>
      </c>
      <c r="I185" s="51" t="str">
        <f>IFERROR(__xludf.DUMMYFUNCTION("""COMPUTED_VALUE"""),"C-13")</f>
        <v>C-13</v>
      </c>
      <c r="J185" s="51">
        <f>IFERROR(__xludf.DUMMYFUNCTION("""COMPUTED_VALUE"""),2.0)</f>
        <v>2</v>
      </c>
      <c r="K185" s="51" t="str">
        <f>IFERROR(__xludf.DUMMYFUNCTION("""COMPUTED_VALUE"""),"2 ULA A PUTRI")</f>
        <v>2 ULA A PUTRI</v>
      </c>
      <c r="L185" s="52" t="str">
        <f>IFERROR(__xludf.DUMMYFUNCTION("""COMPUTED_VALUE"""),"6285733302349")</f>
        <v>6285733302349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4"/>
      <c r="AB185" s="53"/>
      <c r="AC185" s="54"/>
      <c r="AD185" s="54"/>
      <c r="AE185" s="54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IFERROR(__xludf.DUMMYFUNCTION("""COMPUTED_VALUE"""),0.0)</f>
        <v>0</v>
      </c>
      <c r="BE185" s="54">
        <f>IFERROR(__xludf.DUMMYFUNCTION("""COMPUTED_VALUE"""),0.0)</f>
        <v>0</v>
      </c>
      <c r="BF185" s="55">
        <f>IFERROR(__xludf.DUMMYFUNCTION("""COMPUTED_VALUE"""),0.0)</f>
        <v>0</v>
      </c>
      <c r="BG185" s="53"/>
      <c r="BH185" s="53"/>
      <c r="BI185" s="53"/>
      <c r="BJ185" s="45"/>
      <c r="BK185" s="45"/>
      <c r="BL185" s="45"/>
      <c r="BM185" s="45"/>
      <c r="BN185" s="45"/>
      <c r="BO185" s="46"/>
    </row>
    <row r="186">
      <c r="A186" s="36">
        <f>IFERROR(__xludf.DUMMYFUNCTION("""COMPUTED_VALUE"""),185.0)</f>
        <v>185</v>
      </c>
      <c r="B186" s="37" t="str">
        <f>IFERROR(__xludf.DUMMYFUNCTION("""COMPUTED_VALUE"""),"DAMARA NAJWA CARISSA")</f>
        <v>DAMARA NAJWA CARISSA</v>
      </c>
      <c r="C186" s="38">
        <f>IFERROR(__xludf.DUMMYFUNCTION("""COMPUTED_VALUE"""),2.025070268E9)</f>
        <v>2025070268</v>
      </c>
      <c r="D186" s="37" t="str">
        <f>IFERROR(__xludf.DUMMYFUNCTION("""COMPUTED_VALUE"""),"SUJARWO")</f>
        <v>SUJARWO</v>
      </c>
      <c r="E186" s="37" t="str">
        <f>IFERROR(__xludf.DUMMYFUNCTION("""COMPUTED_VALUE"""),"ITA AISAROH")</f>
        <v>ITA AISAROH</v>
      </c>
      <c r="F186" s="37" t="str">
        <f>IFERROR(__xludf.DUMMYFUNCTION("""COMPUTED_VALUE"""),"KULURAN RT 004 RW 004 KALITENGAH LAMONGAN")</f>
        <v>KULURAN RT 004 RW 004 KALITENGAH LAMONGAN</v>
      </c>
      <c r="G186" s="39" t="str">
        <f>IFERROR(__xludf.DUMMYFUNCTION("""COMPUTED_VALUE"""),"MA-XI.1")</f>
        <v>MA-XI.1</v>
      </c>
      <c r="H186" s="36" t="str">
        <f>IFERROR(__xludf.DUMMYFUNCTION("""COMPUTED_VALUE"""),"C")</f>
        <v>C</v>
      </c>
      <c r="I186" s="40" t="str">
        <f>IFERROR(__xludf.DUMMYFUNCTION("""COMPUTED_VALUE"""),"C-6")</f>
        <v>C-6</v>
      </c>
      <c r="J186" s="40">
        <f>IFERROR(__xludf.DUMMYFUNCTION("""COMPUTED_VALUE"""),2.0)</f>
        <v>2</v>
      </c>
      <c r="K186" s="40" t="str">
        <f>IFERROR(__xludf.DUMMYFUNCTION("""COMPUTED_VALUE"""),"TAHFIDZ")</f>
        <v>TAHFIDZ</v>
      </c>
      <c r="L186" s="41" t="str">
        <f>IFERROR(__xludf.DUMMYFUNCTION("""COMPUTED_VALUE"""),"6285745102590")</f>
        <v>6285745102590</v>
      </c>
      <c r="M186" s="42">
        <f>IFERROR(__xludf.DUMMYFUNCTION("""COMPUTED_VALUE"""),600000.0)</f>
        <v>600000</v>
      </c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>
        <f>IFERROR(__xludf.DUMMYFUNCTION("""COMPUTED_VALUE"""),450000.0)</f>
        <v>450000</v>
      </c>
      <c r="Y186" s="42">
        <f>IFERROR(__xludf.DUMMYFUNCTION("""COMPUTED_VALUE"""),450000.0)</f>
        <v>450000</v>
      </c>
      <c r="Z186" s="42">
        <f>IFERROR(__xludf.DUMMYFUNCTION("""COMPUTED_VALUE"""),450000.0)</f>
        <v>450000</v>
      </c>
      <c r="AA186" s="42"/>
      <c r="AB186" s="43">
        <f>IFERROR(__xludf.DUMMYFUNCTION("""COMPUTED_VALUE"""),500000.0)</f>
        <v>500000</v>
      </c>
      <c r="AC186" s="42"/>
      <c r="AD186" s="43"/>
      <c r="AE186" s="43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IFERROR(__xludf.DUMMYFUNCTION("""COMPUTED_VALUE"""),1350000.0)</f>
        <v>1350000</v>
      </c>
      <c r="BD186" s="43">
        <f>IFERROR(__xludf.DUMMYFUNCTION("""COMPUTED_VALUE"""),1600000.0)</f>
        <v>1600000</v>
      </c>
      <c r="BE186" s="43">
        <f>IFERROR(__xludf.DUMMYFUNCTION("""COMPUTED_VALUE"""),0.0)</f>
        <v>0</v>
      </c>
      <c r="BF186" s="44">
        <f>IFERROR(__xludf.DUMMYFUNCTION("""COMPUTED_VALUE"""),2950000.0)</f>
        <v>2950000</v>
      </c>
      <c r="BG186" s="42"/>
      <c r="BH186" s="42"/>
      <c r="BI186" s="42"/>
      <c r="BJ186" s="45"/>
      <c r="BK186" s="45"/>
      <c r="BL186" s="45"/>
      <c r="BM186" s="45"/>
      <c r="BN186" s="45"/>
      <c r="BO186" s="46"/>
    </row>
    <row r="187">
      <c r="A187" s="47">
        <f>IFERROR(__xludf.DUMMYFUNCTION("""COMPUTED_VALUE"""),186.0)</f>
        <v>186</v>
      </c>
      <c r="B187" s="48" t="str">
        <f>IFERROR(__xludf.DUMMYFUNCTION("""COMPUTED_VALUE"""),"DARA AULIA SYAHBAN")</f>
        <v>DARA AULIA SYAHBAN</v>
      </c>
      <c r="C187" s="49">
        <f>IFERROR(__xludf.DUMMYFUNCTION("""COMPUTED_VALUE"""),2.025070516E9)</f>
        <v>2025070516</v>
      </c>
      <c r="D187" s="48" t="str">
        <f>IFERROR(__xludf.DUMMYFUNCTION("""COMPUTED_VALUE"""),"NURYANTO")</f>
        <v>NURYANTO</v>
      </c>
      <c r="E187" s="48" t="str">
        <f>IFERROR(__xludf.DUMMYFUNCTION("""COMPUTED_VALUE"""),"LIS ERNAWATI")</f>
        <v>LIS ERNAWATI</v>
      </c>
      <c r="F187" s="48" t="str">
        <f>IFERROR(__xludf.DUMMYFUNCTION("""COMPUTED_VALUE"""),"NGAYUNG RT 002 RW 001 MADURAN LAMONGAN")</f>
        <v>NGAYUNG RT 002 RW 001 MADURAN LAMONGAN</v>
      </c>
      <c r="G187" s="50" t="str">
        <f>IFERROR(__xludf.DUMMYFUNCTION("""COMPUTED_VALUE"""),"MTS-8 E")</f>
        <v>MTS-8 E</v>
      </c>
      <c r="H187" s="47" t="str">
        <f>IFERROR(__xludf.DUMMYFUNCTION("""COMPUTED_VALUE"""),"C")</f>
        <v>C</v>
      </c>
      <c r="I187" s="51" t="str">
        <f>IFERROR(__xludf.DUMMYFUNCTION("""COMPUTED_VALUE"""),"C-13")</f>
        <v>C-13</v>
      </c>
      <c r="J187" s="51">
        <f>IFERROR(__xludf.DUMMYFUNCTION("""COMPUTED_VALUE"""),2.0)</f>
        <v>2</v>
      </c>
      <c r="K187" s="51" t="str">
        <f>IFERROR(__xludf.DUMMYFUNCTION("""COMPUTED_VALUE"""),"2 ULA A PUTRI")</f>
        <v>2 ULA A PUTRI</v>
      </c>
      <c r="L187" s="52" t="str">
        <f>IFERROR(__xludf.DUMMYFUNCTION("""COMPUTED_VALUE"""),"6282232108268")</f>
        <v>6282232108268</v>
      </c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4"/>
      <c r="AD187" s="54"/>
      <c r="AE187" s="54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3"/>
      <c r="BH187" s="53"/>
      <c r="BI187" s="53"/>
      <c r="BJ187" s="45"/>
      <c r="BK187" s="45"/>
      <c r="BL187" s="45"/>
      <c r="BM187" s="45"/>
      <c r="BN187" s="45"/>
      <c r="BO187" s="46"/>
    </row>
    <row r="188">
      <c r="A188" s="36">
        <f>IFERROR(__xludf.DUMMYFUNCTION("""COMPUTED_VALUE"""),187.0)</f>
        <v>187</v>
      </c>
      <c r="B188" s="37" t="str">
        <f>IFERROR(__xludf.DUMMYFUNCTION("""COMPUTED_VALUE"""),"DINA AYU SASTIYA")</f>
        <v>DINA AYU SASTIYA</v>
      </c>
      <c r="C188" s="38">
        <f>IFERROR(__xludf.DUMMYFUNCTION("""COMPUTED_VALUE"""),2.025070158E9)</f>
        <v>2025070158</v>
      </c>
      <c r="D188" s="37" t="str">
        <f>IFERROR(__xludf.DUMMYFUNCTION("""COMPUTED_VALUE"""),"DARMAJI")</f>
        <v>DARMAJI</v>
      </c>
      <c r="E188" s="37" t="str">
        <f>IFERROR(__xludf.DUMMYFUNCTION("""COMPUTED_VALUE"""),"MALIKAH")</f>
        <v>MALIKAH</v>
      </c>
      <c r="F188" s="37" t="str">
        <f>IFERROR(__xludf.DUMMYFUNCTION("""COMPUTED_VALUE"""),"KEMLAGILOR RT 005 RW 002 TURI LAMONGAN")</f>
        <v>KEMLAGILOR RT 005 RW 002 TURI LAMONGAN</v>
      </c>
      <c r="G188" s="39" t="str">
        <f>IFERROR(__xludf.DUMMYFUNCTION("""COMPUTED_VALUE"""),"MA-XI.5")</f>
        <v>MA-XI.5</v>
      </c>
      <c r="H188" s="36" t="str">
        <f>IFERROR(__xludf.DUMMYFUNCTION("""COMPUTED_VALUE"""),"C")</f>
        <v>C</v>
      </c>
      <c r="I188" s="40" t="str">
        <f>IFERROR(__xludf.DUMMYFUNCTION("""COMPUTED_VALUE"""),"C-10")</f>
        <v>C-10</v>
      </c>
      <c r="J188" s="40">
        <f>IFERROR(__xludf.DUMMYFUNCTION("""COMPUTED_VALUE"""),2.0)</f>
        <v>2</v>
      </c>
      <c r="K188" s="40" t="str">
        <f>IFERROR(__xludf.DUMMYFUNCTION("""COMPUTED_VALUE"""),"2 WUSTHO A PUTRI")</f>
        <v>2 WUSTHO A PUTRI</v>
      </c>
      <c r="L188" s="41" t="str">
        <f>IFERROR(__xludf.DUMMYFUNCTION("""COMPUTED_VALUE"""),"6289518431642")</f>
        <v>6289518431642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3">
        <f>IFERROR(__xludf.DUMMYFUNCTION("""COMPUTED_VALUE"""),500000.0)</f>
        <v>500000</v>
      </c>
      <c r="AC188" s="43"/>
      <c r="AD188" s="43"/>
      <c r="AE188" s="43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3">
        <f>IFERROR(__xludf.DUMMYFUNCTION("""COMPUTED_VALUE"""),500000.0)</f>
        <v>500000</v>
      </c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IFERROR(__xludf.DUMMYFUNCTION("""COMPUTED_VALUE"""),1000000.0)</f>
        <v>1000000</v>
      </c>
      <c r="BE188" s="43">
        <f>IFERROR(__xludf.DUMMYFUNCTION("""COMPUTED_VALUE"""),0.0)</f>
        <v>0</v>
      </c>
      <c r="BF188" s="44">
        <f>IFERROR(__xludf.DUMMYFUNCTION("""COMPUTED_VALUE"""),1000000.0)</f>
        <v>1000000</v>
      </c>
      <c r="BG188" s="42"/>
      <c r="BH188" s="42"/>
      <c r="BI188" s="42"/>
      <c r="BJ188" s="45"/>
      <c r="BK188" s="45"/>
      <c r="BL188" s="45"/>
      <c r="BM188" s="45"/>
      <c r="BN188" s="45"/>
      <c r="BO188" s="46"/>
    </row>
    <row r="189">
      <c r="A189" s="47">
        <f>IFERROR(__xludf.DUMMYFUNCTION("""COMPUTED_VALUE"""),188.0)</f>
        <v>188</v>
      </c>
      <c r="B189" s="4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89" s="49">
        <f>IFERROR(__xludf.DUMMYFUNCTION("""COMPUTED_VALUE"""),2.025070015E9)</f>
        <v>2025070015</v>
      </c>
      <c r="D189" s="48" t="str">
        <f>IFERROR(__xludf.DUMMYFUNCTION("""COMPUTED_VALUE"""),"ZUHDI")</f>
        <v>ZUHDI</v>
      </c>
      <c r="E189" s="48" t="str">
        <f>IFERROR(__xludf.DUMMYFUNCTION("""COMPUTED_VALUE"""),"YENI MUFTARO")</f>
        <v>YENI MUFTARO</v>
      </c>
      <c r="F189" s="48" t="str">
        <f>IFERROR(__xludf.DUMMYFUNCTION("""COMPUTED_VALUE"""),"LEMBOR RT 007 RW 002 BRONDONG LAMONGAN")</f>
        <v>LEMBOR RT 007 RW 002 BRONDONG LAMONGAN</v>
      </c>
      <c r="G189" s="50" t="str">
        <f>IFERROR(__xludf.DUMMYFUNCTION("""COMPUTED_VALUE"""),"MA-XI.3")</f>
        <v>MA-XI.3</v>
      </c>
      <c r="H189" s="47" t="str">
        <f>IFERROR(__xludf.DUMMYFUNCTION("""COMPUTED_VALUE"""),"C")</f>
        <v>C</v>
      </c>
      <c r="I189" s="53" t="str">
        <f>IFERROR(__xludf.DUMMYFUNCTION("""COMPUTED_VALUE"""),"C-5")</f>
        <v>C-5</v>
      </c>
      <c r="J189" s="51">
        <f>IFERROR(__xludf.DUMMYFUNCTION("""COMPUTED_VALUE"""),2.0)</f>
        <v>2</v>
      </c>
      <c r="K189" s="51" t="str">
        <f>IFERROR(__xludf.DUMMYFUNCTION("""COMPUTED_VALUE"""),"2 WUSTHO A PUTRI")</f>
        <v>2 WUSTHO A PUTRI</v>
      </c>
      <c r="L189" s="52" t="str">
        <f>IFERROR(__xludf.DUMMYFUNCTION("""COMPUTED_VALUE"""),"6281554408544")</f>
        <v>6281554408544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4"/>
      <c r="AB189" s="54">
        <f>IFERROR(__xludf.DUMMYFUNCTION("""COMPUTED_VALUE"""),500000.0)</f>
        <v>500000</v>
      </c>
      <c r="AC189" s="54"/>
      <c r="AD189" s="54"/>
      <c r="AE189" s="54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4">
        <f>IFERROR(__xludf.DUMMYFUNCTION("""COMPUTED_VALUE"""),500000.0)</f>
        <v>500000</v>
      </c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IFERROR(__xludf.DUMMYFUNCTION("""COMPUTED_VALUE"""),0.0)</f>
        <v>0</v>
      </c>
      <c r="BD189" s="54">
        <f>IFERROR(__xludf.DUMMYFUNCTION("""COMPUTED_VALUE"""),1000000.0)</f>
        <v>1000000</v>
      </c>
      <c r="BE189" s="54">
        <f>IFERROR(__xludf.DUMMYFUNCTION("""COMPUTED_VALUE"""),0.0)</f>
        <v>0</v>
      </c>
      <c r="BF189" s="55">
        <f>IFERROR(__xludf.DUMMYFUNCTION("""COMPUTED_VALUE"""),1000000.0)</f>
        <v>1000000</v>
      </c>
      <c r="BG189" s="53"/>
      <c r="BH189" s="53"/>
      <c r="BI189" s="53"/>
      <c r="BJ189" s="45"/>
      <c r="BK189" s="45"/>
      <c r="BL189" s="45"/>
      <c r="BM189" s="45"/>
      <c r="BN189" s="45"/>
      <c r="BO189" s="46"/>
    </row>
    <row r="190">
      <c r="A190" s="36">
        <f>IFERROR(__xludf.DUMMYFUNCTION("""COMPUTED_VALUE"""),189.0)</f>
        <v>189</v>
      </c>
      <c r="B190" s="37" t="str">
        <f>IFERROR(__xludf.DUMMYFUNCTION("""COMPUTED_VALUE"""),"DZAKIYAH TALITA SAKHI")</f>
        <v>DZAKIYAH TALITA SAKHI</v>
      </c>
      <c r="C190" s="38">
        <f>IFERROR(__xludf.DUMMYFUNCTION("""COMPUTED_VALUE"""),2.025070252E9)</f>
        <v>2025070252</v>
      </c>
      <c r="D190" s="37" t="str">
        <f>IFERROR(__xludf.DUMMYFUNCTION("""COMPUTED_VALUE"""),"ABDULLAH FARIH")</f>
        <v>ABDULLAH FARIH</v>
      </c>
      <c r="E190" s="37" t="str">
        <f>IFERROR(__xludf.DUMMYFUNCTION("""COMPUTED_VALUE"""),"WINDASARI")</f>
        <v>WINDASARI</v>
      </c>
      <c r="F190" s="37" t="str">
        <f>IFERROR(__xludf.DUMMYFUNCTION("""COMPUTED_VALUE"""),"BANYUURIP RT 001 RW 003 UJUNGPANGKAH GRESIK")</f>
        <v>BANYUURIP RT 001 RW 003 UJUNGPANGKAH GRESIK</v>
      </c>
      <c r="G190" s="39" t="str">
        <f>IFERROR(__xludf.DUMMYFUNCTION("""COMPUTED_VALUE"""),"MA-XI.13")</f>
        <v>MA-XI.13</v>
      </c>
      <c r="H190" s="36" t="str">
        <f>IFERROR(__xludf.DUMMYFUNCTION("""COMPUTED_VALUE"""),"C")</f>
        <v>C</v>
      </c>
      <c r="I190" s="42" t="str">
        <f>IFERROR(__xludf.DUMMYFUNCTION("""COMPUTED_VALUE"""),"C-7")</f>
        <v>C-7</v>
      </c>
      <c r="J190" s="40">
        <f>IFERROR(__xludf.DUMMYFUNCTION("""COMPUTED_VALUE"""),2.0)</f>
        <v>2</v>
      </c>
      <c r="K190" s="40" t="str">
        <f>IFERROR(__xludf.DUMMYFUNCTION("""COMPUTED_VALUE"""),"2 MAK PUTRI")</f>
        <v>2 MAK PUTRI</v>
      </c>
      <c r="L190" s="41" t="str">
        <f>IFERROR(__xludf.DUMMYFUNCTION("""COMPUTED_VALUE"""),"6285934330538")</f>
        <v>6285934330538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3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IFERROR(__xludf.DUMMYFUNCTION("""COMPUTED_VALUE"""),0.0)</f>
        <v>0</v>
      </c>
      <c r="BE190" s="43">
        <f>IFERROR(__xludf.DUMMYFUNCTION("""COMPUTED_VALUE"""),0.0)</f>
        <v>0</v>
      </c>
      <c r="BF190" s="44">
        <f>IFERROR(__xludf.DUMMYFUNCTION("""COMPUTED_VALUE"""),0.0)</f>
        <v>0</v>
      </c>
      <c r="BG190" s="42"/>
      <c r="BH190" s="42"/>
      <c r="BI190" s="42"/>
      <c r="BJ190" s="45"/>
      <c r="BK190" s="45"/>
      <c r="BL190" s="45"/>
      <c r="BM190" s="45"/>
      <c r="BN190" s="45"/>
      <c r="BO190" s="46"/>
    </row>
    <row r="191">
      <c r="A191" s="47">
        <f>IFERROR(__xludf.DUMMYFUNCTION("""COMPUTED_VALUE"""),190.0)</f>
        <v>190</v>
      </c>
      <c r="B191" s="48" t="str">
        <f>IFERROR(__xludf.DUMMYFUNCTION("""COMPUTED_VALUE"""),"EKA BERLIANA AISYAH MAHARANI")</f>
        <v>EKA BERLIANA AISYAH MAHARANI</v>
      </c>
      <c r="C191" s="49">
        <f>IFERROR(__xludf.DUMMYFUNCTION("""COMPUTED_VALUE"""),2.025070026E9)</f>
        <v>2025070026</v>
      </c>
      <c r="D191" s="48" t="str">
        <f>IFERROR(__xludf.DUMMYFUNCTION("""COMPUTED_VALUE"""),"SA`IDUN")</f>
        <v>SA`IDUN</v>
      </c>
      <c r="E191" s="48" t="str">
        <f>IFERROR(__xludf.DUMMYFUNCTION("""COMPUTED_VALUE"""),"KHOIROH")</f>
        <v>KHOIROH</v>
      </c>
      <c r="F191" s="48" t="str">
        <f>IFERROR(__xludf.DUMMYFUNCTION("""COMPUTED_VALUE"""),"MENTARAS RT 015 RW 006 DUKUN GRESIK")</f>
        <v>MENTARAS RT 015 RW 006 DUKUN GRESIK</v>
      </c>
      <c r="G191" s="50" t="str">
        <f>IFERROR(__xludf.DUMMYFUNCTION("""COMPUTED_VALUE"""),"MA-XI.3")</f>
        <v>MA-XI.3</v>
      </c>
      <c r="H191" s="47" t="str">
        <f>IFERROR(__xludf.DUMMYFUNCTION("""COMPUTED_VALUE"""),"C")</f>
        <v>C</v>
      </c>
      <c r="I191" s="53" t="str">
        <f>IFERROR(__xludf.DUMMYFUNCTION("""COMPUTED_VALUE"""),"C-6")</f>
        <v>C-6</v>
      </c>
      <c r="J191" s="51">
        <f>IFERROR(__xludf.DUMMYFUNCTION("""COMPUTED_VALUE"""),2.0)</f>
        <v>2</v>
      </c>
      <c r="K191" s="51" t="str">
        <f>IFERROR(__xludf.DUMMYFUNCTION("""COMPUTED_VALUE"""),"2 WUSTHO A PUTRI")</f>
        <v>2 WUSTHO A PUTRI</v>
      </c>
      <c r="L191" s="52" t="str">
        <f>IFERROR(__xludf.DUMMYFUNCTION("""COMPUTED_VALUE"""),"6281232076074")</f>
        <v>6281232076074</v>
      </c>
      <c r="M191" s="53"/>
      <c r="N191" s="53"/>
      <c r="O191" s="53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4"/>
      <c r="AA191" s="54"/>
      <c r="AB191" s="54">
        <f>IFERROR(__xludf.DUMMYFUNCTION("""COMPUTED_VALUE"""),500000.0)</f>
        <v>500000</v>
      </c>
      <c r="AC191" s="54"/>
      <c r="AD191" s="54"/>
      <c r="AE191" s="54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4">
        <f>IFERROR(__xludf.DUMMYFUNCTION("""COMPUTED_VALUE"""),500000.0)</f>
        <v>500000</v>
      </c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IFERROR(__xludf.DUMMYFUNCTION("""COMPUTED_VALUE"""),0.0)</f>
        <v>0</v>
      </c>
      <c r="BD191" s="54">
        <f>IFERROR(__xludf.DUMMYFUNCTION("""COMPUTED_VALUE"""),1000000.0)</f>
        <v>1000000</v>
      </c>
      <c r="BE191" s="54">
        <f>IFERROR(__xludf.DUMMYFUNCTION("""COMPUTED_VALUE"""),0.0)</f>
        <v>0</v>
      </c>
      <c r="BF191" s="55">
        <f>IFERROR(__xludf.DUMMYFUNCTION("""COMPUTED_VALUE"""),1000000.0)</f>
        <v>1000000</v>
      </c>
      <c r="BG191" s="53"/>
      <c r="BH191" s="53"/>
      <c r="BI191" s="53"/>
      <c r="BJ191" s="45"/>
      <c r="BK191" s="45"/>
      <c r="BL191" s="45"/>
      <c r="BM191" s="45"/>
      <c r="BN191" s="45"/>
      <c r="BO191" s="46"/>
    </row>
    <row r="192">
      <c r="A192" s="36">
        <f>IFERROR(__xludf.DUMMYFUNCTION("""COMPUTED_VALUE"""),191.0)</f>
        <v>191</v>
      </c>
      <c r="B192" s="37" t="str">
        <f>IFERROR(__xludf.DUMMYFUNCTION("""COMPUTED_VALUE"""),"EKA FADHILATUN NAFSI")</f>
        <v>EKA FADHILATUN NAFSI</v>
      </c>
      <c r="C192" s="38">
        <f>IFERROR(__xludf.DUMMYFUNCTION("""COMPUTED_VALUE"""),2.025070448E9)</f>
        <v>2025070448</v>
      </c>
      <c r="D192" s="37" t="str">
        <f>IFERROR(__xludf.DUMMYFUNCTION("""COMPUTED_VALUE"""),"TAUFIQ ZIN")</f>
        <v>TAUFIQ ZIN</v>
      </c>
      <c r="E192" s="37" t="str">
        <f>IFERROR(__xludf.DUMMYFUNCTION("""COMPUTED_VALUE"""),"SISWATI")</f>
        <v>SISWATI</v>
      </c>
      <c r="F192" s="37" t="str">
        <f>IFERROR(__xludf.DUMMYFUNCTION("""COMPUTED_VALUE"""),"GEDONDONG RT 001 RW 003 SARIREJO LAMONGAN")</f>
        <v>GEDONDONG RT 001 RW 003 SARIREJO LAMONGAN</v>
      </c>
      <c r="G192" s="39" t="str">
        <f>IFERROR(__xludf.DUMMYFUNCTION("""COMPUTED_VALUE"""),"#N/A")</f>
        <v>#N/A</v>
      </c>
      <c r="H192" s="36" t="str">
        <f>IFERROR(__xludf.DUMMYFUNCTION("""COMPUTED_VALUE"""),"C")</f>
        <v>C</v>
      </c>
      <c r="I192" s="42"/>
      <c r="J192" s="40">
        <f>IFERROR(__xludf.DUMMYFUNCTION("""COMPUTED_VALUE"""),2.0)</f>
        <v>2</v>
      </c>
      <c r="K192" s="40" t="str">
        <f>IFERROR(__xludf.DUMMYFUNCTION("""COMPUTED_VALUE"""),"WUSTHO")</f>
        <v>WUSTHO</v>
      </c>
      <c r="L192" s="41" t="str">
        <f>IFERROR(__xludf.DUMMYFUNCTION("""COMPUTED_VALUE"""),"6285964364794")</f>
        <v>6285964364794</v>
      </c>
      <c r="M192" s="42">
        <f>IFERROR(__xludf.DUMMYFUNCTION("""COMPUTED_VALUE"""),600000.0)</f>
        <v>600000</v>
      </c>
      <c r="N192" s="42">
        <f>IFERROR(__xludf.DUMMYFUNCTION("""COMPUTED_VALUE"""),200000.0)</f>
        <v>200000</v>
      </c>
      <c r="O192" s="42">
        <f>IFERROR(__xludf.DUMMYFUNCTION("""COMPUTED_VALUE"""),450000.0)</f>
        <v>450000</v>
      </c>
      <c r="P192" s="42">
        <f>IFERROR(__xludf.DUMMYFUNCTION("""COMPUTED_VALUE"""),450000.0)</f>
        <v>450000</v>
      </c>
      <c r="Q192" s="42">
        <f>IFERROR(__xludf.DUMMYFUNCTION("""COMPUTED_VALUE"""),450000.0)</f>
        <v>450000</v>
      </c>
      <c r="R192" s="42">
        <f>IFERROR(__xludf.DUMMYFUNCTION("""COMPUTED_VALUE"""),450000.0)</f>
        <v>450000</v>
      </c>
      <c r="S192" s="42">
        <f>IFERROR(__xludf.DUMMYFUNCTION("""COMPUTED_VALUE"""),450000.0)</f>
        <v>450000</v>
      </c>
      <c r="T192" s="42">
        <f>IFERROR(__xludf.DUMMYFUNCTION("""COMPUTED_VALUE"""),450000.0)</f>
        <v>450000</v>
      </c>
      <c r="U192" s="42">
        <f>IFERROR(__xludf.DUMMYFUNCTION("""COMPUTED_VALUE"""),450000.0)</f>
        <v>450000</v>
      </c>
      <c r="V192" s="42">
        <f>IFERROR(__xludf.DUMMYFUNCTION("""COMPUTED_VALUE"""),450000.0)</f>
        <v>450000</v>
      </c>
      <c r="W192" s="42">
        <f>IFERROR(__xludf.DUMMYFUNCTION("""COMPUTED_VALUE"""),450000.0)</f>
        <v>450000</v>
      </c>
      <c r="X192" s="42">
        <f>IFERROR(__xludf.DUMMYFUNCTION("""COMPUTED_VALUE"""),450000.0)</f>
        <v>450000</v>
      </c>
      <c r="Y192" s="42">
        <f>IFERROR(__xludf.DUMMYFUNCTION("""COMPUTED_VALUE"""),450000.0)</f>
        <v>450000</v>
      </c>
      <c r="Z192" s="42">
        <f>IFERROR(__xludf.DUMMYFUNCTION("""COMPUTED_VALUE"""),450000.0)</f>
        <v>450000</v>
      </c>
      <c r="AA192" s="42"/>
      <c r="AB192" s="42">
        <f>IFERROR(__xludf.DUMMYFUNCTION("""COMPUTED_VALUE"""),500000.0)</f>
        <v>500000</v>
      </c>
      <c r="AC192" s="42"/>
      <c r="AD192" s="43"/>
      <c r="AE192" s="43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3">
        <f>IFERROR(__xludf.DUMMYFUNCTION("""COMPUTED_VALUE"""),500000.0)</f>
        <v>500000</v>
      </c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IFERROR(__xludf.DUMMYFUNCTION("""COMPUTED_VALUE"""),5400000.0)</f>
        <v>5400000</v>
      </c>
      <c r="BD192" s="43">
        <f>IFERROR(__xludf.DUMMYFUNCTION("""COMPUTED_VALUE"""),1600000.0)</f>
        <v>1600000</v>
      </c>
      <c r="BE192" s="43">
        <f>IFERROR(__xludf.DUMMYFUNCTION("""COMPUTED_VALUE"""),0.0)</f>
        <v>0</v>
      </c>
      <c r="BF192" s="44">
        <f>IFERROR(__xludf.DUMMYFUNCTION("""COMPUTED_VALUE"""),7000000.0)</f>
        <v>7000000</v>
      </c>
      <c r="BG192" s="42"/>
      <c r="BH192" s="42"/>
      <c r="BI192" s="42"/>
      <c r="BJ192" s="45"/>
      <c r="BK192" s="45"/>
      <c r="BL192" s="45"/>
      <c r="BM192" s="45"/>
      <c r="BN192" s="45"/>
      <c r="BO192" s="46"/>
    </row>
    <row r="193">
      <c r="A193" s="47">
        <f>IFERROR(__xludf.DUMMYFUNCTION("""COMPUTED_VALUE"""),192.0)</f>
        <v>192</v>
      </c>
      <c r="B193" s="48" t="str">
        <f>IFERROR(__xludf.DUMMYFUNCTION("""COMPUTED_VALUE"""),"EKA MEISHA AS SYIFAH")</f>
        <v>EKA MEISHA AS SYIFAH</v>
      </c>
      <c r="C193" s="49">
        <f>IFERROR(__xludf.DUMMYFUNCTION("""COMPUTED_VALUE"""),2.025070531E9)</f>
        <v>2025070531</v>
      </c>
      <c r="D193" s="48" t="str">
        <f>IFERROR(__xludf.DUMMYFUNCTION("""COMPUTED_VALUE"""),"HERIONO")</f>
        <v>HERIONO</v>
      </c>
      <c r="E193" s="48" t="str">
        <f>IFERROR(__xludf.DUMMYFUNCTION("""COMPUTED_VALUE"""),"LATIFATUL MA`RIFAH")</f>
        <v>LATIFATUL MA`RIFAH</v>
      </c>
      <c r="F193" s="48" t="str">
        <f>IFERROR(__xludf.DUMMYFUNCTION("""COMPUTED_VALUE"""),"TLANAK SUKOBENDU RT 001 RW 001 MANTUP LAMONGAN")</f>
        <v>TLANAK SUKOBENDU RT 001 RW 001 MANTUP LAMONGAN</v>
      </c>
      <c r="G193" s="49" t="str">
        <f>IFERROR(__xludf.DUMMYFUNCTION("""COMPUTED_VALUE"""),"MTS-8 B")</f>
        <v>MTS-8 B</v>
      </c>
      <c r="H193" s="47" t="str">
        <f>IFERROR(__xludf.DUMMYFUNCTION("""COMPUTED_VALUE"""),"C")</f>
        <v>C</v>
      </c>
      <c r="I193" s="51" t="str">
        <f>IFERROR(__xludf.DUMMYFUNCTION("""COMPUTED_VALUE"""),"C-5")</f>
        <v>C-5</v>
      </c>
      <c r="J193" s="51">
        <f>IFERROR(__xludf.DUMMYFUNCTION("""COMPUTED_VALUE"""),2.0)</f>
        <v>2</v>
      </c>
      <c r="K193" s="51" t="str">
        <f>IFERROR(__xludf.DUMMYFUNCTION("""COMPUTED_VALUE"""),"2 ULA B PUTRI")</f>
        <v>2 ULA B PUTRI</v>
      </c>
      <c r="L193" s="52" t="str">
        <f>IFERROR(__xludf.DUMMYFUNCTION("""COMPUTED_VALUE"""),"6281353064791")</f>
        <v>6281353064791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>
        <f>IFERROR(__xludf.DUMMYFUNCTION("""COMPUTED_VALUE"""),450000.0)</f>
        <v>450000</v>
      </c>
      <c r="X193" s="53">
        <f>IFERROR(__xludf.DUMMYFUNCTION("""COMPUTED_VALUE"""),450000.0)</f>
        <v>450000</v>
      </c>
      <c r="Y193" s="53">
        <f>IFERROR(__xludf.DUMMYFUNCTION("""COMPUTED_VALUE"""),450000.0)</f>
        <v>450000</v>
      </c>
      <c r="Z193" s="53">
        <f>IFERROR(__xludf.DUMMYFUNCTION("""COMPUTED_VALUE"""),450000.0)</f>
        <v>450000</v>
      </c>
      <c r="AA193" s="53"/>
      <c r="AB193" s="53">
        <f>IFERROR(__xludf.DUMMYFUNCTION("""COMPUTED_VALUE"""),500000.0)</f>
        <v>500000</v>
      </c>
      <c r="AC193" s="53"/>
      <c r="AD193" s="53"/>
      <c r="AE193" s="54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4">
        <f>IFERROR(__xludf.DUMMYFUNCTION("""COMPUTED_VALUE"""),500000.0)</f>
        <v>500000</v>
      </c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IFERROR(__xludf.DUMMYFUNCTION("""COMPUTED_VALUE"""),1800000.0)</f>
        <v>1800000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IFERROR(__xludf.DUMMYFUNCTION("""COMPUTED_VALUE"""),2800000.0)</f>
        <v>2800000</v>
      </c>
      <c r="BG193" s="53"/>
      <c r="BH193" s="53"/>
      <c r="BI193" s="53"/>
      <c r="BJ193" s="45"/>
      <c r="BK193" s="45"/>
      <c r="BL193" s="45"/>
      <c r="BM193" s="45"/>
      <c r="BN193" s="45"/>
      <c r="BO193" s="46"/>
    </row>
    <row r="194">
      <c r="A194" s="36">
        <f>IFERROR(__xludf.DUMMYFUNCTION("""COMPUTED_VALUE"""),193.0)</f>
        <v>193</v>
      </c>
      <c r="B194" s="37" t="str">
        <f>IFERROR(__xludf.DUMMYFUNCTION("""COMPUTED_VALUE"""),"ELOK FAIQOH")</f>
        <v>ELOK FAIQOH</v>
      </c>
      <c r="C194" s="38">
        <f>IFERROR(__xludf.DUMMYFUNCTION("""COMPUTED_VALUE"""),2.025070278E9)</f>
        <v>2025070278</v>
      </c>
      <c r="D194" s="37" t="str">
        <f>IFERROR(__xludf.DUMMYFUNCTION("""COMPUTED_VALUE"""),"MUHAMMAD HAKIM")</f>
        <v>MUHAMMAD HAKIM</v>
      </c>
      <c r="E194" s="37" t="str">
        <f>IFERROR(__xludf.DUMMYFUNCTION("""COMPUTED_VALUE"""),"ZAHROTUL WARDAH")</f>
        <v>ZAHROTUL WARDAH</v>
      </c>
      <c r="F194" s="37" t="str">
        <f>IFERROR(__xludf.DUMMYFUNCTION("""COMPUTED_VALUE"""),"KARANGREJO RT 008 RW 004 UJUNGPANGKAH GRESIK")</f>
        <v>KARANGREJO RT 008 RW 004 UJUNGPANGKAH GRESIK</v>
      </c>
      <c r="G194" s="39" t="str">
        <f>IFERROR(__xludf.DUMMYFUNCTION("""COMPUTED_VALUE"""),"MA-XI.12")</f>
        <v>MA-XI.12</v>
      </c>
      <c r="H194" s="36" t="str">
        <f>IFERROR(__xludf.DUMMYFUNCTION("""COMPUTED_VALUE"""),"C")</f>
        <v>C</v>
      </c>
      <c r="I194" s="42" t="str">
        <f>IFERROR(__xludf.DUMMYFUNCTION("""COMPUTED_VALUE"""),"C-10")</f>
        <v>C-10</v>
      </c>
      <c r="J194" s="40">
        <f>IFERROR(__xludf.DUMMYFUNCTION("""COMPUTED_VALUE"""),2.0)</f>
        <v>2</v>
      </c>
      <c r="K194" s="40" t="str">
        <f>IFERROR(__xludf.DUMMYFUNCTION("""COMPUTED_VALUE"""),"2 WUSTHO D PUTRI")</f>
        <v>2 WUSTHO D PUTRI</v>
      </c>
      <c r="L194" s="41" t="str">
        <f>IFERROR(__xludf.DUMMYFUNCTION("""COMPUTED_VALUE"""),"6282120004936")</f>
        <v>6282120004936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>
        <f>IFERROR(__xludf.DUMMYFUNCTION("""COMPUTED_VALUE"""),500000.0)</f>
        <v>500000</v>
      </c>
      <c r="AC194" s="42"/>
      <c r="AD194" s="42"/>
      <c r="AE194" s="43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>
        <f>IFERROR(__xludf.DUMMYFUNCTION("""COMPUTED_VALUE"""),500000.0)</f>
        <v>500000</v>
      </c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IFERROR(__xludf.DUMMYFUNCTION("""COMPUTED_VALUE"""),1000000.0)</f>
        <v>1000000</v>
      </c>
      <c r="BE194" s="43">
        <f>IFERROR(__xludf.DUMMYFUNCTION("""COMPUTED_VALUE"""),0.0)</f>
        <v>0</v>
      </c>
      <c r="BF194" s="44">
        <f>IFERROR(__xludf.DUMMYFUNCTION("""COMPUTED_VALUE"""),1000000.0)</f>
        <v>1000000</v>
      </c>
      <c r="BG194" s="42"/>
      <c r="BH194" s="42"/>
      <c r="BI194" s="42"/>
      <c r="BJ194" s="45"/>
      <c r="BK194" s="45"/>
      <c r="BL194" s="45"/>
      <c r="BM194" s="45"/>
      <c r="BN194" s="45"/>
      <c r="BO194" s="46"/>
    </row>
    <row r="195">
      <c r="A195" s="47">
        <f>IFERROR(__xludf.DUMMYFUNCTION("""COMPUTED_VALUE"""),194.0)</f>
        <v>194</v>
      </c>
      <c r="B195" s="48" t="str">
        <f>IFERROR(__xludf.DUMMYFUNCTION("""COMPUTED_VALUE"""),"FARAH AULIA SYIFA UBAIDILLAH")</f>
        <v>FARAH AULIA SYIFA UBAIDILLAH</v>
      </c>
      <c r="C195" s="49">
        <f>IFERROR(__xludf.DUMMYFUNCTION("""COMPUTED_VALUE"""),2.025070579E9)</f>
        <v>2025070579</v>
      </c>
      <c r="D195" s="48" t="str">
        <f>IFERROR(__xludf.DUMMYFUNCTION("""COMPUTED_VALUE"""),"MUCH. SUUDIN UBAIDILLAH")</f>
        <v>MUCH. SUUDIN UBAIDILLAH</v>
      </c>
      <c r="E195" s="48" t="str">
        <f>IFERROR(__xludf.DUMMYFUNCTION("""COMPUTED_VALUE"""),"SUMARMI")</f>
        <v>SUMARMI</v>
      </c>
      <c r="F195" s="48" t="str">
        <f>IFERROR(__xludf.DUMMYFUNCTION("""COMPUTED_VALUE"""),"WUDI SUKOANYAR RT 001 RW 003 TURI LAMONGAN")</f>
        <v>WUDI SUKOANYAR RT 001 RW 003 TURI LAMONGAN</v>
      </c>
      <c r="G195" s="50" t="str">
        <f>IFERROR(__xludf.DUMMYFUNCTION("""COMPUTED_VALUE"""),"MTS-8 C")</f>
        <v>MTS-8 C</v>
      </c>
      <c r="H195" s="47" t="str">
        <f>IFERROR(__xludf.DUMMYFUNCTION("""COMPUTED_VALUE"""),"C")</f>
        <v>C</v>
      </c>
      <c r="I195" s="53" t="str">
        <f>IFERROR(__xludf.DUMMYFUNCTION("""COMPUTED_VALUE"""),"C-13")</f>
        <v>C-13</v>
      </c>
      <c r="J195" s="51">
        <f>IFERROR(__xludf.DUMMYFUNCTION("""COMPUTED_VALUE"""),2.0)</f>
        <v>2</v>
      </c>
      <c r="K195" s="51" t="str">
        <f>IFERROR(__xludf.DUMMYFUNCTION("""COMPUTED_VALUE"""),"2 ULA C PUTRI")</f>
        <v>2 ULA C PUTRI</v>
      </c>
      <c r="L195" s="52" t="str">
        <f>IFERROR(__xludf.DUMMYFUNCTION("""COMPUTED_VALUE"""),"6282231237990")</f>
        <v>6282231237990</v>
      </c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4"/>
      <c r="AE195" s="54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3"/>
      <c r="BH195" s="53"/>
      <c r="BI195" s="53"/>
      <c r="BJ195" s="45"/>
      <c r="BK195" s="45"/>
      <c r="BL195" s="45"/>
      <c r="BM195" s="45"/>
      <c r="BN195" s="45"/>
      <c r="BO195" s="46"/>
    </row>
    <row r="196">
      <c r="A196" s="36">
        <f>IFERROR(__xludf.DUMMYFUNCTION("""COMPUTED_VALUE"""),195.0)</f>
        <v>195</v>
      </c>
      <c r="B196" s="37" t="str">
        <f>IFERROR(__xludf.DUMMYFUNCTION("""COMPUTED_VALUE"""),"GITA TSANIA ASY SYIFA KHOLIK")</f>
        <v>GITA TSANIA ASY SYIFA KHOLIK</v>
      </c>
      <c r="C196" s="38">
        <f>IFERROR(__xludf.DUMMYFUNCTION("""COMPUTED_VALUE"""),2.025070644E9)</f>
        <v>2025070644</v>
      </c>
      <c r="D196" s="37" t="str">
        <f>IFERROR(__xludf.DUMMYFUNCTION("""COMPUTED_VALUE"""),"AHMAD KHOLIK")</f>
        <v>AHMAD KHOLIK</v>
      </c>
      <c r="E196" s="37" t="str">
        <f>IFERROR(__xludf.DUMMYFUNCTION("""COMPUTED_VALUE"""),"NIKMATUL KHUSNAH")</f>
        <v>NIKMATUL KHUSNAH</v>
      </c>
      <c r="F196" s="37" t="str">
        <f>IFERROR(__xludf.DUMMYFUNCTION("""COMPUTED_VALUE"""),"JL. AIS NASUTION NO 16 KULURAN RT 005 RW 001 KALITENGAH LAMONGAN")</f>
        <v>JL. AIS NASUTION NO 16 KULURAN RT 005 RW 001 KALITENGAH LAMONGAN</v>
      </c>
      <c r="G196" s="39" t="str">
        <f>IFERROR(__xludf.DUMMYFUNCTION("""COMPUTED_VALUE"""),"MTS-8 C")</f>
        <v>MTS-8 C</v>
      </c>
      <c r="H196" s="36" t="str">
        <f>IFERROR(__xludf.DUMMYFUNCTION("""COMPUTED_VALUE"""),"C")</f>
        <v>C</v>
      </c>
      <c r="I196" s="42" t="str">
        <f>IFERROR(__xludf.DUMMYFUNCTION("""COMPUTED_VALUE"""),"C-6")</f>
        <v>C-6</v>
      </c>
      <c r="J196" s="40">
        <f>IFERROR(__xludf.DUMMYFUNCTION("""COMPUTED_VALUE"""),2.0)</f>
        <v>2</v>
      </c>
      <c r="K196" s="40" t="str">
        <f>IFERROR(__xludf.DUMMYFUNCTION("""COMPUTED_VALUE"""),"2 ULA A PUTRI")</f>
        <v>2 ULA A PUTRI</v>
      </c>
      <c r="L196" s="41" t="str">
        <f>IFERROR(__xludf.DUMMYFUNCTION("""COMPUTED_VALUE"""),"6285708607686")</f>
        <v>6285708607686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>
        <f>IFERROR(__xludf.DUMMYFUNCTION("""COMPUTED_VALUE"""),450000.0)</f>
        <v>450000</v>
      </c>
      <c r="Y196" s="42">
        <f>IFERROR(__xludf.DUMMYFUNCTION("""COMPUTED_VALUE"""),450000.0)</f>
        <v>450000</v>
      </c>
      <c r="Z196" s="42">
        <f>IFERROR(__xludf.DUMMYFUNCTION("""COMPUTED_VALUE"""),450000.0)</f>
        <v>450000</v>
      </c>
      <c r="AA196" s="42"/>
      <c r="AB196" s="43"/>
      <c r="AC196" s="42"/>
      <c r="AD196" s="43"/>
      <c r="AE196" s="43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3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IFERROR(__xludf.DUMMYFUNCTION("""COMPUTED_VALUE"""),1350000.0)</f>
        <v>1350000</v>
      </c>
      <c r="BD196" s="43">
        <f>IFERROR(__xludf.DUMMYFUNCTION("""COMPUTED_VALUE"""),0.0)</f>
        <v>0</v>
      </c>
      <c r="BE196" s="43">
        <f>IFERROR(__xludf.DUMMYFUNCTION("""COMPUTED_VALUE"""),0.0)</f>
        <v>0</v>
      </c>
      <c r="BF196" s="44">
        <f>IFERROR(__xludf.DUMMYFUNCTION("""COMPUTED_VALUE"""),1350000.0)</f>
        <v>1350000</v>
      </c>
      <c r="BG196" s="42"/>
      <c r="BH196" s="42"/>
      <c r="BI196" s="42"/>
      <c r="BJ196" s="45"/>
      <c r="BK196" s="45"/>
      <c r="BL196" s="45"/>
      <c r="BM196" s="45"/>
      <c r="BN196" s="45"/>
      <c r="BO196" s="46"/>
    </row>
    <row r="197">
      <c r="A197" s="47">
        <f>IFERROR(__xludf.DUMMYFUNCTION("""COMPUTED_VALUE"""),196.0)</f>
        <v>196</v>
      </c>
      <c r="B197" s="48" t="str">
        <f>IFERROR(__xludf.DUMMYFUNCTION("""COMPUTED_VALUE"""),"HANIA SYAKIRA FIRNINA")</f>
        <v>HANIA SYAKIRA FIRNINA</v>
      </c>
      <c r="C197" s="49">
        <f>IFERROR(__xludf.DUMMYFUNCTION("""COMPUTED_VALUE"""),2.0250706E9)</f>
        <v>2025070600</v>
      </c>
      <c r="D197" s="48" t="str">
        <f>IFERROR(__xludf.DUMMYFUNCTION("""COMPUTED_VALUE"""),"MUSTAHAR")</f>
        <v>MUSTAHAR</v>
      </c>
      <c r="E197" s="48" t="str">
        <f>IFERROR(__xludf.DUMMYFUNCTION("""COMPUTED_VALUE"""),"SITI MASULAH")</f>
        <v>SITI MASULAH</v>
      </c>
      <c r="F197" s="48" t="str">
        <f>IFERROR(__xludf.DUMMYFUNCTION("""COMPUTED_VALUE"""),"GETUNG TAWANGREJO RT 001 RW 001 TURI LAMONGAN")</f>
        <v>GETUNG TAWANGREJO RT 001 RW 001 TURI LAMONGAN</v>
      </c>
      <c r="G197" s="50" t="str">
        <f>IFERROR(__xludf.DUMMYFUNCTION("""COMPUTED_VALUE"""),"MTS-8 B")</f>
        <v>MTS-8 B</v>
      </c>
      <c r="H197" s="47" t="str">
        <f>IFERROR(__xludf.DUMMYFUNCTION("""COMPUTED_VALUE"""),"C")</f>
        <v>C</v>
      </c>
      <c r="I197" s="53" t="str">
        <f>IFERROR(__xludf.DUMMYFUNCTION("""COMPUTED_VALUE"""),"C-13")</f>
        <v>C-13</v>
      </c>
      <c r="J197" s="51">
        <f>IFERROR(__xludf.DUMMYFUNCTION("""COMPUTED_VALUE"""),2.0)</f>
        <v>2</v>
      </c>
      <c r="K197" s="51" t="str">
        <f>IFERROR(__xludf.DUMMYFUNCTION("""COMPUTED_VALUE"""),"2 ULA B PUTRI")</f>
        <v>2 ULA B PUTRI</v>
      </c>
      <c r="L197" s="52" t="str">
        <f>IFERROR(__xludf.DUMMYFUNCTION("""COMPUTED_VALUE"""),"6285606245524")</f>
        <v>6285606245524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4"/>
      <c r="AC197" s="53"/>
      <c r="AD197" s="53"/>
      <c r="AE197" s="54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4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IFERROR(__xludf.DUMMYFUNCTION("""COMPUTED_VALUE"""),0.0)</f>
        <v>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IFERROR(__xludf.DUMMYFUNCTION("""COMPUTED_VALUE"""),0.0)</f>
        <v>0</v>
      </c>
      <c r="BG197" s="53"/>
      <c r="BH197" s="53"/>
      <c r="BI197" s="53"/>
      <c r="BJ197" s="45"/>
      <c r="BK197" s="45"/>
      <c r="BL197" s="45"/>
      <c r="BM197" s="45"/>
      <c r="BN197" s="45"/>
      <c r="BO197" s="46"/>
    </row>
    <row r="198">
      <c r="A198" s="36">
        <f>IFERROR(__xludf.DUMMYFUNCTION("""COMPUTED_VALUE"""),197.0)</f>
        <v>197</v>
      </c>
      <c r="B198" s="37" t="str">
        <f>IFERROR(__xludf.DUMMYFUNCTION("""COMPUTED_VALUE"""),"IFFAT TABRIZ NIHAYAH")</f>
        <v>IFFAT TABRIZ NIHAYAH</v>
      </c>
      <c r="C198" s="38">
        <f>IFERROR(__xludf.DUMMYFUNCTION("""COMPUTED_VALUE"""),2.025070303E9)</f>
        <v>2025070303</v>
      </c>
      <c r="D198" s="37" t="str">
        <f>IFERROR(__xludf.DUMMYFUNCTION("""COMPUTED_VALUE"""),"SUHARTONO")</f>
        <v>SUHARTONO</v>
      </c>
      <c r="E198" s="37" t="str">
        <f>IFERROR(__xludf.DUMMYFUNCTION("""COMPUTED_VALUE"""),"TITIK HARIANI")</f>
        <v>TITIK HARIANI</v>
      </c>
      <c r="F198" s="37" t="str">
        <f>IFERROR(__xludf.DUMMYFUNCTION("""COMPUTED_VALUE"""),"MENGAI SUKOREJO RT 001 RW 006 KARANGBINANGUN LAMONGAN")</f>
        <v>MENGAI SUKOREJO RT 001 RW 006 KARANGBINANGUN LAMONGAN</v>
      </c>
      <c r="G198" s="39" t="str">
        <f>IFERROR(__xludf.DUMMYFUNCTION("""COMPUTED_VALUE"""),"MA-XI.13")</f>
        <v>MA-XI.13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IFERROR(__xludf.DUMMYFUNCTION("""COMPUTED_VALUE"""),2.0)</f>
        <v>2</v>
      </c>
      <c r="K198" s="40" t="str">
        <f>IFERROR(__xludf.DUMMYFUNCTION("""COMPUTED_VALUE"""),"2 MAK PUTRI")</f>
        <v>2 MAK PUTRI</v>
      </c>
      <c r="L198" s="41" t="str">
        <f>IFERROR(__xludf.DUMMYFUNCTION("""COMPUTED_VALUE"""),"6285714309498")</f>
        <v>6285714309498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2"/>
      <c r="AD198" s="42"/>
      <c r="AE198" s="43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3">
        <f>IFERROR(__xludf.DUMMYFUNCTION("""COMPUTED_VALUE"""),500000.0)</f>
        <v>500000</v>
      </c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IFERROR(__xludf.DUMMYFUNCTION("""COMPUTED_VALUE"""),0.0)</f>
        <v>0</v>
      </c>
      <c r="BD198" s="43">
        <f>IFERROR(__xludf.DUMMYFUNCTION("""COMPUTED_VALUE"""),1000000.0)</f>
        <v>1000000</v>
      </c>
      <c r="BE198" s="43">
        <f>IFERROR(__xludf.DUMMYFUNCTION("""COMPUTED_VALUE"""),0.0)</f>
        <v>0</v>
      </c>
      <c r="BF198" s="44">
        <f>IFERROR(__xludf.DUMMYFUNCTION("""COMPUTED_VALUE"""),1000000.0)</f>
        <v>1000000</v>
      </c>
      <c r="BG198" s="42"/>
      <c r="BH198" s="42"/>
      <c r="BI198" s="42"/>
      <c r="BJ198" s="45"/>
      <c r="BK198" s="45"/>
      <c r="BL198" s="45"/>
      <c r="BM198" s="45"/>
      <c r="BN198" s="45"/>
      <c r="BO198" s="46"/>
    </row>
    <row r="199">
      <c r="A199" s="47">
        <f>IFERROR(__xludf.DUMMYFUNCTION("""COMPUTED_VALUE"""),198.0)</f>
        <v>198</v>
      </c>
      <c r="B199" s="48" t="str">
        <f>IFERROR(__xludf.DUMMYFUNCTION("""COMPUTED_VALUE"""),"JESSICA MAHARANI KURNIA")</f>
        <v>JESSICA MAHARANI KURNIA</v>
      </c>
      <c r="C199" s="49">
        <f>IFERROR(__xludf.DUMMYFUNCTION("""COMPUTED_VALUE"""),2.025070606E9)</f>
        <v>2025070606</v>
      </c>
      <c r="D199" s="48" t="str">
        <f>IFERROR(__xludf.DUMMYFUNCTION("""COMPUTED_VALUE"""),"KURNIAWAN")</f>
        <v>KURNIAWAN</v>
      </c>
      <c r="E199" s="48" t="str">
        <f>IFERROR(__xludf.DUMMYFUNCTION("""COMPUTED_VALUE"""),"IIS NUR ROHAYATI")</f>
        <v>IIS NUR ROHAYATI</v>
      </c>
      <c r="F199" s="48" t="str">
        <f>IFERROR(__xludf.DUMMYFUNCTION("""COMPUTED_VALUE"""),"KH. AGUS SALIM KULURAN RT 001 RW 003 KALITENGAH LAMONGAN")</f>
        <v>KH. AGUS SALIM KULURAN RT 001 RW 003 KALITENGAH LAMONGAN</v>
      </c>
      <c r="G199" s="49" t="str">
        <f>IFERROR(__xludf.DUMMYFUNCTION("""COMPUTED_VALUE"""),"MTS-8 D")</f>
        <v>MTS-8 D</v>
      </c>
      <c r="H199" s="47" t="str">
        <f>IFERROR(__xludf.DUMMYFUNCTION("""COMPUTED_VALUE"""),"C")</f>
        <v>C</v>
      </c>
      <c r="I199" s="51" t="str">
        <f>IFERROR(__xludf.DUMMYFUNCTION("""COMPUTED_VALUE"""),"C-6")</f>
        <v>C-6</v>
      </c>
      <c r="J199" s="51">
        <f>IFERROR(__xludf.DUMMYFUNCTION("""COMPUTED_VALUE"""),2.0)</f>
        <v>2</v>
      </c>
      <c r="K199" s="51" t="str">
        <f>IFERROR(__xludf.DUMMYFUNCTION("""COMPUTED_VALUE"""),"2 ULA B PUTRI")</f>
        <v>2 ULA B PUTRI</v>
      </c>
      <c r="L199" s="52" t="str">
        <f>IFERROR(__xludf.DUMMYFUNCTION("""COMPUTED_VALUE"""),"6282332616386")</f>
        <v>6282332616386</v>
      </c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>
        <f>IFERROR(__xludf.DUMMYFUNCTION("""COMPUTED_VALUE"""),450000.0)</f>
        <v>450000</v>
      </c>
      <c r="Y199" s="53">
        <f>IFERROR(__xludf.DUMMYFUNCTION("""COMPUTED_VALUE"""),450000.0)</f>
        <v>450000</v>
      </c>
      <c r="Z199" s="53">
        <f>IFERROR(__xludf.DUMMYFUNCTION("""COMPUTED_VALUE"""),450000.0)</f>
        <v>450000</v>
      </c>
      <c r="AA199" s="53"/>
      <c r="AB199" s="53">
        <f>IFERROR(__xludf.DUMMYFUNCTION("""COMPUTED_VALUE"""),500000.0)</f>
        <v>500000</v>
      </c>
      <c r="AC199" s="53"/>
      <c r="AD199" s="54"/>
      <c r="AE199" s="54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>
        <f>IFERROR(__xludf.DUMMYFUNCTION("""COMPUTED_VALUE"""),500000.0)</f>
        <v>500000</v>
      </c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IFERROR(__xludf.DUMMYFUNCTION("""COMPUTED_VALUE"""),1350000.0)</f>
        <v>1350000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IFERROR(__xludf.DUMMYFUNCTION("""COMPUTED_VALUE"""),2350000.0)</f>
        <v>2350000</v>
      </c>
      <c r="BG199" s="53"/>
      <c r="BH199" s="53"/>
      <c r="BI199" s="53"/>
      <c r="BJ199" s="45"/>
      <c r="BK199" s="45"/>
      <c r="BL199" s="45"/>
      <c r="BM199" s="45"/>
      <c r="BN199" s="45"/>
      <c r="BO199" s="46"/>
    </row>
    <row r="200">
      <c r="A200" s="36">
        <f>IFERROR(__xludf.DUMMYFUNCTION("""COMPUTED_VALUE"""),199.0)</f>
        <v>199</v>
      </c>
      <c r="B200" s="37" t="str">
        <f>IFERROR(__xludf.DUMMYFUNCTION("""COMPUTED_VALUE"""),"JIHAN APRILIA")</f>
        <v>JIHAN APRILIA</v>
      </c>
      <c r="C200" s="38">
        <f>IFERROR(__xludf.DUMMYFUNCTION("""COMPUTED_VALUE"""),2.025070307E9)</f>
        <v>2025070307</v>
      </c>
      <c r="D200" s="37" t="str">
        <f>IFERROR(__xludf.DUMMYFUNCTION("""COMPUTED_VALUE"""),"AHMAD ERFAN")</f>
        <v>AHMAD ERFAN</v>
      </c>
      <c r="E200" s="37" t="str">
        <f>IFERROR(__xludf.DUMMYFUNCTION("""COMPUTED_VALUE"""),"SUDARWATI")</f>
        <v>SUDARWATI</v>
      </c>
      <c r="F200" s="37" t="str">
        <f>IFERROR(__xludf.DUMMYFUNCTION("""COMPUTED_VALUE"""),"TEJOASRI RT 001 RW 003 LAREN LAMONGAN")</f>
        <v>TEJOASRI RT 001 RW 003 LAREN LAMONGAN</v>
      </c>
      <c r="G200" s="39" t="str">
        <f>IFERROR(__xludf.DUMMYFUNCTION("""COMPUTED_VALUE"""),"MA-XI.6")</f>
        <v>MA-XI.6</v>
      </c>
      <c r="H200" s="36" t="str">
        <f>IFERROR(__xludf.DUMMYFUNCTION("""COMPUTED_VALUE"""),"C")</f>
        <v>C</v>
      </c>
      <c r="I200" s="42" t="str">
        <f>IFERROR(__xludf.DUMMYFUNCTION("""COMPUTED_VALUE"""),"C-10")</f>
        <v>C-10</v>
      </c>
      <c r="J200" s="40">
        <f>IFERROR(__xludf.DUMMYFUNCTION("""COMPUTED_VALUE"""),2.0)</f>
        <v>2</v>
      </c>
      <c r="K200" s="40" t="str">
        <f>IFERROR(__xludf.DUMMYFUNCTION("""COMPUTED_VALUE"""),"2 WUSTHO C PUTRI")</f>
        <v>2 WUSTHO C PUTRI</v>
      </c>
      <c r="L200" s="41" t="str">
        <f>IFERROR(__xludf.DUMMYFUNCTION("""COMPUTED_VALUE"""),"6282230612891")</f>
        <v>6282230612891</v>
      </c>
      <c r="M200" s="43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3"/>
      <c r="AA200" s="43"/>
      <c r="AB200" s="43">
        <f>IFERROR(__xludf.DUMMYFUNCTION("""COMPUTED_VALUE"""),500000.0)</f>
        <v>500000</v>
      </c>
      <c r="AC200" s="43"/>
      <c r="AD200" s="43"/>
      <c r="AE200" s="43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42"/>
      <c r="BH200" s="42"/>
      <c r="BI200" s="42"/>
      <c r="BJ200" s="45"/>
      <c r="BK200" s="45"/>
      <c r="BL200" s="45"/>
      <c r="BM200" s="45"/>
      <c r="BN200" s="45"/>
      <c r="BO200" s="46"/>
    </row>
    <row r="201">
      <c r="A201" s="47">
        <f>IFERROR(__xludf.DUMMYFUNCTION("""COMPUTED_VALUE"""),200.0)</f>
        <v>200</v>
      </c>
      <c r="B201" s="48" t="str">
        <f>IFERROR(__xludf.DUMMYFUNCTION("""COMPUTED_VALUE"""),"JOVANKA ALIFFATUZ ZAM-ZAMI")</f>
        <v>JOVANKA ALIFFATUZ ZAM-ZAMI</v>
      </c>
      <c r="C201" s="49">
        <f>IFERROR(__xludf.DUMMYFUNCTION("""COMPUTED_VALUE"""),2.025070267E9)</f>
        <v>2025070267</v>
      </c>
      <c r="D201" s="48" t="str">
        <f>IFERROR(__xludf.DUMMYFUNCTION("""COMPUTED_VALUE"""),"JUMIANTO")</f>
        <v>JUMIANTO</v>
      </c>
      <c r="E201" s="48" t="str">
        <f>IFERROR(__xludf.DUMMYFUNCTION("""COMPUTED_VALUE"""),"IVA KUMALA")</f>
        <v>IVA KUMALA</v>
      </c>
      <c r="F201" s="48" t="str">
        <f>IFERROR(__xludf.DUMMYFUNCTION("""COMPUTED_VALUE"""),"KULURAN RT 001 RW 001 KALITENGAH LAMONGAN")</f>
        <v>KULURAN RT 001 RW 001 KALITENGAH LAMONGAN</v>
      </c>
      <c r="G201" s="50" t="str">
        <f>IFERROR(__xludf.DUMMYFUNCTION("""COMPUTED_VALUE"""),"MA-XI.13")</f>
        <v>MA-XI.13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IFERROR(__xludf.DUMMYFUNCTION("""COMPUTED_VALUE"""),2.0)</f>
        <v>2</v>
      </c>
      <c r="K201" s="51" t="str">
        <f>IFERROR(__xludf.DUMMYFUNCTION("""COMPUTED_VALUE"""),"2 MAK PUTRI")</f>
        <v>2 MAK PUTRI</v>
      </c>
      <c r="L201" s="52" t="str">
        <f>IFERROR(__xludf.DUMMYFUNCTION("""COMPUTED_VALUE"""),"6281559767628")</f>
        <v>6281559767628</v>
      </c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>
        <f>IFERROR(__xludf.DUMMYFUNCTION("""COMPUTED_VALUE"""),450000.0)</f>
        <v>450000</v>
      </c>
      <c r="AA201" s="53"/>
      <c r="AB201" s="53">
        <f>IFERROR(__xludf.DUMMYFUNCTION("""COMPUTED_VALUE"""),500000.0)</f>
        <v>500000</v>
      </c>
      <c r="AC201" s="53"/>
      <c r="AD201" s="53"/>
      <c r="AE201" s="54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>
        <f>IFERROR(__xludf.DUMMYFUNCTION("""COMPUTED_VALUE"""),500000.0)</f>
        <v>500000</v>
      </c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IFERROR(__xludf.DUMMYFUNCTION("""COMPUTED_VALUE"""),450000.0)</f>
        <v>450000</v>
      </c>
      <c r="BD201" s="54">
        <f>IFERROR(__xludf.DUMMYFUNCTION("""COMPUTED_VALUE"""),1000000.0)</f>
        <v>1000000</v>
      </c>
      <c r="BE201" s="54">
        <f>IFERROR(__xludf.DUMMYFUNCTION("""COMPUTED_VALUE"""),0.0)</f>
        <v>0</v>
      </c>
      <c r="BF201" s="55">
        <f>IFERROR(__xludf.DUMMYFUNCTION("""COMPUTED_VALUE"""),1450000.0)</f>
        <v>1450000</v>
      </c>
      <c r="BG201" s="53"/>
      <c r="BH201" s="53"/>
      <c r="BI201" s="53"/>
      <c r="BJ201" s="45"/>
      <c r="BK201" s="45"/>
      <c r="BL201" s="45"/>
      <c r="BM201" s="45"/>
      <c r="BN201" s="45"/>
      <c r="BO201" s="46"/>
    </row>
    <row r="202">
      <c r="A202" s="36">
        <f>IFERROR(__xludf.DUMMYFUNCTION("""COMPUTED_VALUE"""),201.0)</f>
        <v>201</v>
      </c>
      <c r="B202" s="37" t="str">
        <f>IFERROR(__xludf.DUMMYFUNCTION("""COMPUTED_VALUE"""),"KAMILA RENATA NABILA RIVANZHA")</f>
        <v>KAMILA RENATA NABILA RIVANZHA</v>
      </c>
      <c r="C202" s="38">
        <f>IFERROR(__xludf.DUMMYFUNCTION("""COMPUTED_VALUE"""),2.025070635E9)</f>
        <v>2025070635</v>
      </c>
      <c r="D202" s="37" t="str">
        <f>IFERROR(__xludf.DUMMYFUNCTION("""COMPUTED_VALUE"""),"SUN`AN RIVA`I")</f>
        <v>SUN`AN RIVA`I</v>
      </c>
      <c r="E202" s="37" t="str">
        <f>IFERROR(__xludf.DUMMYFUNCTION("""COMPUTED_VALUE"""),"ZARA")</f>
        <v>ZARA</v>
      </c>
      <c r="F202" s="37" t="str">
        <f>IFERROR(__xludf.DUMMYFUNCTION("""COMPUTED_VALUE"""),"DEKET KULON RT 003 RW 001 DEKET LAMONGAN")</f>
        <v>DEKET KULON RT 003 RW 001 DEKET LAMONGAN</v>
      </c>
      <c r="G202" s="39" t="str">
        <f>IFERROR(__xludf.DUMMYFUNCTION("""COMPUTED_VALUE"""),"MTS-8 B")</f>
        <v>MTS-8 B</v>
      </c>
      <c r="H202" s="36" t="str">
        <f>IFERROR(__xludf.DUMMYFUNCTION("""COMPUTED_VALUE"""),"C")</f>
        <v>C</v>
      </c>
      <c r="I202" s="42" t="str">
        <f>IFERROR(__xludf.DUMMYFUNCTION("""COMPUTED_VALUE"""),"C-5")</f>
        <v>C-5</v>
      </c>
      <c r="J202" s="40">
        <f>IFERROR(__xludf.DUMMYFUNCTION("""COMPUTED_VALUE"""),2.0)</f>
        <v>2</v>
      </c>
      <c r="K202" s="40" t="str">
        <f>IFERROR(__xludf.DUMMYFUNCTION("""COMPUTED_VALUE"""),"2 ULA C PUTRI")</f>
        <v>2 ULA C PUTRI</v>
      </c>
      <c r="L202" s="41" t="str">
        <f>IFERROR(__xludf.DUMMYFUNCTION("""COMPUTED_VALUE"""),"BOYONG SEMENTARA")</f>
        <v>BOYONG SEMENTARA</v>
      </c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3">
        <f>IFERROR(__xludf.DUMMYFUNCTION("""COMPUTED_VALUE"""),450000.0)</f>
        <v>450000</v>
      </c>
      <c r="X202" s="43">
        <f>IFERROR(__xludf.DUMMYFUNCTION("""COMPUTED_VALUE"""),450000.0)</f>
        <v>450000</v>
      </c>
      <c r="Y202" s="43">
        <f>IFERROR(__xludf.DUMMYFUNCTION("""COMPUTED_VALUE"""),450000.0)</f>
        <v>450000</v>
      </c>
      <c r="Z202" s="43">
        <f>IFERROR(__xludf.DUMMYFUNCTION("""COMPUTED_VALUE"""),450000.0)</f>
        <v>450000</v>
      </c>
      <c r="AA202" s="43"/>
      <c r="AB202" s="43">
        <f>IFERROR(__xludf.DUMMYFUNCTION("""COMPUTED_VALUE"""),500000.0)</f>
        <v>500000</v>
      </c>
      <c r="AC202" s="43"/>
      <c r="AD202" s="43"/>
      <c r="AE202" s="43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3">
        <f>IFERROR(__xludf.DUMMYFUNCTION("""COMPUTED_VALUE"""),500000.0)</f>
        <v>500000</v>
      </c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IFERROR(__xludf.DUMMYFUNCTION("""COMPUTED_VALUE"""),1800000.0)</f>
        <v>1800000</v>
      </c>
      <c r="BD202" s="43">
        <f>IFERROR(__xludf.DUMMYFUNCTION("""COMPUTED_VALUE"""),1000000.0)</f>
        <v>1000000</v>
      </c>
      <c r="BE202" s="43">
        <f>IFERROR(__xludf.DUMMYFUNCTION("""COMPUTED_VALUE"""),0.0)</f>
        <v>0</v>
      </c>
      <c r="BF202" s="44">
        <f>IFERROR(__xludf.DUMMYFUNCTION("""COMPUTED_VALUE"""),2800000.0)</f>
        <v>2800000</v>
      </c>
      <c r="BG202" s="42"/>
      <c r="BH202" s="42"/>
      <c r="BI202" s="42"/>
      <c r="BJ202" s="45"/>
      <c r="BK202" s="45"/>
      <c r="BL202" s="45"/>
      <c r="BM202" s="45"/>
      <c r="BN202" s="45"/>
      <c r="BO202" s="46"/>
    </row>
    <row r="203">
      <c r="A203" s="47">
        <f>IFERROR(__xludf.DUMMYFUNCTION("""COMPUTED_VALUE"""),202.0)</f>
        <v>202</v>
      </c>
      <c r="B203" s="48" t="str">
        <f>IFERROR(__xludf.DUMMYFUNCTION("""COMPUTED_VALUE"""),"KAYLA AFRIZA ROHMAH")</f>
        <v>KAYLA AFRIZA ROHMAH</v>
      </c>
      <c r="C203" s="49">
        <f>IFERROR(__xludf.DUMMYFUNCTION("""COMPUTED_VALUE"""),2.025070258E9)</f>
        <v>2025070258</v>
      </c>
      <c r="D203" s="48" t="str">
        <f>IFERROR(__xludf.DUMMYFUNCTION("""COMPUTED_VALUE"""),"ALIB KUSTIN")</f>
        <v>ALIB KUSTIN</v>
      </c>
      <c r="E203" s="48" t="str">
        <f>IFERROR(__xludf.DUMMYFUNCTION("""COMPUTED_VALUE"""),"TITIN NUR FARIDAH")</f>
        <v>TITIN NUR FARIDAH</v>
      </c>
      <c r="F203" s="48" t="str">
        <f>IFERROR(__xludf.DUMMYFUNCTION("""COMPUTED_VALUE"""),"JL. TIMOR RAYA NO. 72 PASIR PANJANG RT 007 RW 003 KOTA LAMA KUPANG")</f>
        <v>JL. TIMOR RAYA NO. 72 PASIR PANJANG RT 007 RW 003 KOTA LAMA KUPANG</v>
      </c>
      <c r="G203" s="50" t="str">
        <f>IFERROR(__xludf.DUMMYFUNCTION("""COMPUTED_VALUE"""),"MA-XI.6")</f>
        <v>MA-XI.6</v>
      </c>
      <c r="H203" s="47" t="str">
        <f>IFERROR(__xludf.DUMMYFUNCTION("""COMPUTED_VALUE"""),"C")</f>
        <v>C</v>
      </c>
      <c r="I203" s="53" t="str">
        <f>IFERROR(__xludf.DUMMYFUNCTION("""COMPUTED_VALUE"""),"C-10")</f>
        <v>C-10</v>
      </c>
      <c r="J203" s="51">
        <f>IFERROR(__xludf.DUMMYFUNCTION("""COMPUTED_VALUE"""),2.0)</f>
        <v>2</v>
      </c>
      <c r="K203" s="51" t="str">
        <f>IFERROR(__xludf.DUMMYFUNCTION("""COMPUTED_VALUE"""),"2 WUSTHO B PUTRI")</f>
        <v>2 WUSTHO B PUTRI</v>
      </c>
      <c r="L203" s="52" t="str">
        <f>IFERROR(__xludf.DUMMYFUNCTION("""COMPUTED_VALUE"""),"6285829314640")</f>
        <v>6285829314640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>
        <f>IFERROR(__xludf.DUMMYFUNCTION("""COMPUTED_VALUE"""),500000.0)</f>
        <v>500000</v>
      </c>
      <c r="AC203" s="53"/>
      <c r="AD203" s="54"/>
      <c r="AE203" s="54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4">
        <f>IFERROR(__xludf.DUMMYFUNCTION("""COMPUTED_VALUE"""),500000.0)</f>
        <v>500000</v>
      </c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IFERROR(__xludf.DUMMYFUNCTION("""COMPUTED_VALUE"""),1000000.0)</f>
        <v>1000000</v>
      </c>
      <c r="BE203" s="54">
        <f>IFERROR(__xludf.DUMMYFUNCTION("""COMPUTED_VALUE"""),0.0)</f>
        <v>0</v>
      </c>
      <c r="BF203" s="55">
        <f>IFERROR(__xludf.DUMMYFUNCTION("""COMPUTED_VALUE"""),1000000.0)</f>
        <v>1000000</v>
      </c>
      <c r="BG203" s="53"/>
      <c r="BH203" s="53"/>
      <c r="BI203" s="53"/>
      <c r="BJ203" s="45"/>
      <c r="BK203" s="45"/>
      <c r="BL203" s="45"/>
      <c r="BM203" s="45"/>
      <c r="BN203" s="45"/>
      <c r="BO203" s="46"/>
    </row>
    <row r="204">
      <c r="A204" s="36">
        <f>IFERROR(__xludf.DUMMYFUNCTION("""COMPUTED_VALUE"""),203.0)</f>
        <v>203</v>
      </c>
      <c r="B204" s="37" t="str">
        <f>IFERROR(__xludf.DUMMYFUNCTION("""COMPUTED_VALUE"""),"KIRANI AHMADA SALSABILA")</f>
        <v>KIRANI AHMADA SALSABILA</v>
      </c>
      <c r="C204" s="38">
        <f>IFERROR(__xludf.DUMMYFUNCTION("""COMPUTED_VALUE"""),2.025070075E9)</f>
        <v>2025070075</v>
      </c>
      <c r="D204" s="37" t="str">
        <f>IFERROR(__xludf.DUMMYFUNCTION("""COMPUTED_VALUE"""),"ALIMIN")</f>
        <v>ALIMIN</v>
      </c>
      <c r="E204" s="37" t="str">
        <f>IFERROR(__xludf.DUMMYFUNCTION("""COMPUTED_VALUE"""),"NINIK SUDARWATI")</f>
        <v>NINIK SUDARWATI</v>
      </c>
      <c r="F204" s="37" t="str">
        <f>IFERROR(__xludf.DUMMYFUNCTION("""COMPUTED_VALUE"""),"JL. MBAH RANGGON WIDE SENDANGHARJO RT 012 RW 001 BRONDONG LAMONGAN")</f>
        <v>JL. MBAH RANGGON WIDE SENDANGHARJO RT 012 RW 001 BRONDONG LAMONGAN</v>
      </c>
      <c r="G204" s="39" t="str">
        <f>IFERROR(__xludf.DUMMYFUNCTION("""COMPUTED_VALUE"""),"MA-XI.4")</f>
        <v>MA-XI.4</v>
      </c>
      <c r="H204" s="36" t="str">
        <f>IFERROR(__xludf.DUMMYFUNCTION("""COMPUTED_VALUE"""),"C")</f>
        <v>C</v>
      </c>
      <c r="I204" s="42" t="str">
        <f>IFERROR(__xludf.DUMMYFUNCTION("""COMPUTED_VALUE"""),"C-5")</f>
        <v>C-5</v>
      </c>
      <c r="J204" s="40">
        <f>IFERROR(__xludf.DUMMYFUNCTION("""COMPUTED_VALUE"""),2.0)</f>
        <v>2</v>
      </c>
      <c r="K204" s="40" t="str">
        <f>IFERROR(__xludf.DUMMYFUNCTION("""COMPUTED_VALUE"""),"2 WUSTHO B PUTRI")</f>
        <v>2 WUSTHO B PUTRI</v>
      </c>
      <c r="L204" s="41" t="str">
        <f>IFERROR(__xludf.DUMMYFUNCTION("""COMPUTED_VALUE"""),"6285706529314")</f>
        <v>6285706529314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3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3">
        <f>IFERROR(__xludf.DUMMYFUNCTION("""COMPUTED_VALUE"""),500000.0)</f>
        <v>500000</v>
      </c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IFERROR(__xludf.DUMMYFUNCTION("""COMPUTED_VALUE"""),0.0)</f>
        <v>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IFERROR(__xludf.DUMMYFUNCTION("""COMPUTED_VALUE"""),1000000.0)</f>
        <v>1000000</v>
      </c>
      <c r="BG204" s="42"/>
      <c r="BH204" s="42"/>
      <c r="BI204" s="42"/>
      <c r="BJ204" s="45"/>
      <c r="BK204" s="45"/>
      <c r="BL204" s="45"/>
      <c r="BM204" s="45"/>
      <c r="BN204" s="45"/>
      <c r="BO204" s="46"/>
    </row>
    <row r="205">
      <c r="A205" s="47">
        <f>IFERROR(__xludf.DUMMYFUNCTION("""COMPUTED_VALUE"""),204.0)</f>
        <v>204</v>
      </c>
      <c r="B205" s="48" t="str">
        <f>IFERROR(__xludf.DUMMYFUNCTION("""COMPUTED_VALUE"""),"LAILATUL KHUSNA")</f>
        <v>LAILATUL KHUSNA</v>
      </c>
      <c r="C205" s="49">
        <f>IFERROR(__xludf.DUMMYFUNCTION("""COMPUTED_VALUE"""),2.025070356E9)</f>
        <v>2025070356</v>
      </c>
      <c r="D205" s="48" t="str">
        <f>IFERROR(__xludf.DUMMYFUNCTION("""COMPUTED_VALUE"""),"MOCHAMAD ANDIK BUONO")</f>
        <v>MOCHAMAD ANDIK BUONO</v>
      </c>
      <c r="E205" s="48" t="str">
        <f>IFERROR(__xludf.DUMMYFUNCTION("""COMPUTED_VALUE"""),"MAYA DEVI KARTIKA")</f>
        <v>MAYA DEVI KARTIKA</v>
      </c>
      <c r="F205" s="48" t="str">
        <f>IFERROR(__xludf.DUMMYFUNCTION("""COMPUTED_VALUE"""),"SEMANDING TIMUR RT 002 RW 006 SEMANDING TUBAN")</f>
        <v>SEMANDING TIMUR RT 002 RW 006 SEMANDING TUBAN</v>
      </c>
      <c r="G205" s="50" t="str">
        <f>IFERROR(__xludf.DUMMYFUNCTION("""COMPUTED_VALUE"""),"MA-XI.11")</f>
        <v>MA-XI.11</v>
      </c>
      <c r="H205" s="47" t="str">
        <f>IFERROR(__xludf.DUMMYFUNCTION("""COMPUTED_VALUE"""),"C")</f>
        <v>C</v>
      </c>
      <c r="I205" s="53" t="str">
        <f>IFERROR(__xludf.DUMMYFUNCTION("""COMPUTED_VALUE"""),"C-5")</f>
        <v>C-5</v>
      </c>
      <c r="J205" s="51">
        <f>IFERROR(__xludf.DUMMYFUNCTION("""COMPUTED_VALUE"""),2.0)</f>
        <v>2</v>
      </c>
      <c r="K205" s="51" t="str">
        <f>IFERROR(__xludf.DUMMYFUNCTION("""COMPUTED_VALUE"""),"2 WUSTHO A PUTRI")</f>
        <v>2 WUSTHO A PUTRI</v>
      </c>
      <c r="L205" s="52" t="str">
        <f>IFERROR(__xludf.DUMMYFUNCTION("""COMPUTED_VALUE"""),"6285706850696")</f>
        <v>6285706850696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>
        <f>IFERROR(__xludf.DUMMYFUNCTION("""COMPUTED_VALUE"""),500000.0)</f>
        <v>500000</v>
      </c>
      <c r="AC205" s="53"/>
      <c r="AD205" s="53"/>
      <c r="AE205" s="54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4">
        <f>IFERROR(__xludf.DUMMYFUNCTION("""COMPUTED_VALUE"""),500000.0)</f>
        <v>500000</v>
      </c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IFERROR(__xludf.DUMMYFUNCTION("""COMPUTED_VALUE"""),1000000.0)</f>
        <v>1000000</v>
      </c>
      <c r="BE205" s="54">
        <f>IFERROR(__xludf.DUMMYFUNCTION("""COMPUTED_VALUE"""),0.0)</f>
        <v>0</v>
      </c>
      <c r="BF205" s="55">
        <f>IFERROR(__xludf.DUMMYFUNCTION("""COMPUTED_VALUE"""),1000000.0)</f>
        <v>1000000</v>
      </c>
      <c r="BG205" s="53"/>
      <c r="BH205" s="53"/>
      <c r="BI205" s="53"/>
      <c r="BJ205" s="45"/>
      <c r="BK205" s="45"/>
      <c r="BL205" s="45"/>
      <c r="BM205" s="45"/>
      <c r="BN205" s="45"/>
      <c r="BO205" s="46"/>
    </row>
    <row r="206">
      <c r="A206" s="36">
        <f>IFERROR(__xludf.DUMMYFUNCTION("""COMPUTED_VALUE"""),205.0)</f>
        <v>205</v>
      </c>
      <c r="B206" s="37" t="str">
        <f>IFERROR(__xludf.DUMMYFUNCTION("""COMPUTED_VALUE"""),"LENY ANGGRAINI")</f>
        <v>LENY ANGGRAINI</v>
      </c>
      <c r="C206" s="38">
        <f>IFERROR(__xludf.DUMMYFUNCTION("""COMPUTED_VALUE"""),2.025070245E9)</f>
        <v>2025070245</v>
      </c>
      <c r="D206" s="37" t="str">
        <f>IFERROR(__xludf.DUMMYFUNCTION("""COMPUTED_VALUE"""),"ALI")</f>
        <v>ALI</v>
      </c>
      <c r="E206" s="37" t="str">
        <f>IFERROR(__xludf.DUMMYFUNCTION("""COMPUTED_VALUE"""),"RIANI")</f>
        <v>RIANI</v>
      </c>
      <c r="F206" s="37" t="str">
        <f>IFERROR(__xludf.DUMMYFUNCTION("""COMPUTED_VALUE"""),"MUNGSU SUGIHWARAS RT 002 RW 004 KALITENGAH LAMONGAN")</f>
        <v>MUNGSU SUGIHWARAS RT 002 RW 004 KALITENGAH LAMONGAN</v>
      </c>
      <c r="G206" s="39" t="str">
        <f>IFERROR(__xludf.DUMMYFUNCTION("""COMPUTED_VALUE"""),"MA-XI.10")</f>
        <v>MA-XI.10</v>
      </c>
      <c r="H206" s="36" t="str">
        <f>IFERROR(__xludf.DUMMYFUNCTION("""COMPUTED_VALUE"""),"C")</f>
        <v>C</v>
      </c>
      <c r="I206" s="40" t="str">
        <f>IFERROR(__xludf.DUMMYFUNCTION("""COMPUTED_VALUE"""),"C-10")</f>
        <v>C-10</v>
      </c>
      <c r="J206" s="40">
        <f>IFERROR(__xludf.DUMMYFUNCTION("""COMPUTED_VALUE"""),2.0)</f>
        <v>2</v>
      </c>
      <c r="K206" s="40" t="str">
        <f>IFERROR(__xludf.DUMMYFUNCTION("""COMPUTED_VALUE"""),"2 WUSTHO B PUTRI")</f>
        <v>2 WUSTHO B PUTRI</v>
      </c>
      <c r="L206" s="41" t="str">
        <f>IFERROR(__xludf.DUMMYFUNCTION("""COMPUTED_VALUE"""),"6285815513440")</f>
        <v>6285815513440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>
        <f>IFERROR(__xludf.DUMMYFUNCTION("""COMPUTED_VALUE"""),450000.0)</f>
        <v>450000</v>
      </c>
      <c r="AA206" s="42"/>
      <c r="AB206" s="42">
        <f>IFERROR(__xludf.DUMMYFUNCTION("""COMPUTED_VALUE"""),500000.0)</f>
        <v>500000</v>
      </c>
      <c r="AC206" s="42"/>
      <c r="AD206" s="43"/>
      <c r="AE206" s="43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>
        <f>IFERROR(__xludf.DUMMYFUNCTION("""COMPUTED_VALUE"""),500000.0)</f>
        <v>500000</v>
      </c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IFERROR(__xludf.DUMMYFUNCTION("""COMPUTED_VALUE"""),450000.0)</f>
        <v>450000</v>
      </c>
      <c r="BD206" s="43">
        <f>IFERROR(__xludf.DUMMYFUNCTION("""COMPUTED_VALUE"""),1000000.0)</f>
        <v>1000000</v>
      </c>
      <c r="BE206" s="43">
        <f>IFERROR(__xludf.DUMMYFUNCTION("""COMPUTED_VALUE"""),0.0)</f>
        <v>0</v>
      </c>
      <c r="BF206" s="44">
        <f>IFERROR(__xludf.DUMMYFUNCTION("""COMPUTED_VALUE"""),1450000.0)</f>
        <v>1450000</v>
      </c>
      <c r="BG206" s="42"/>
      <c r="BH206" s="42"/>
      <c r="BI206" s="42"/>
      <c r="BJ206" s="45"/>
      <c r="BK206" s="45"/>
      <c r="BL206" s="45"/>
      <c r="BM206" s="45"/>
      <c r="BN206" s="45"/>
      <c r="BO206" s="46"/>
    </row>
    <row r="207">
      <c r="A207" s="47">
        <f>IFERROR(__xludf.DUMMYFUNCTION("""COMPUTED_VALUE"""),206.0)</f>
        <v>206</v>
      </c>
      <c r="B207" s="48" t="str">
        <f>IFERROR(__xludf.DUMMYFUNCTION("""COMPUTED_VALUE"""),"LINTANG RAMADHANI")</f>
        <v>LINTANG RAMADHANI</v>
      </c>
      <c r="C207" s="49">
        <f>IFERROR(__xludf.DUMMYFUNCTION("""COMPUTED_VALUE"""),2.025070179E9)</f>
        <v>2025070179</v>
      </c>
      <c r="D207" s="48" t="str">
        <f>IFERROR(__xludf.DUMMYFUNCTION("""COMPUTED_VALUE"""),"MIFTAHUL BARIR")</f>
        <v>MIFTAHUL BARIR</v>
      </c>
      <c r="E207" s="48" t="str">
        <f>IFERROR(__xludf.DUMMYFUNCTION("""COMPUTED_VALUE"""),"ANI SAIDAH")</f>
        <v>ANI SAIDAH</v>
      </c>
      <c r="F207" s="48" t="str">
        <f>IFERROR(__xludf.DUMMYFUNCTION("""COMPUTED_VALUE"""),"PACIRAN RT 003 RW 002 PACIRAN LAMONGAN")</f>
        <v>PACIRAN RT 003 RW 002 PACIRAN LAMONGAN</v>
      </c>
      <c r="G207" s="50" t="str">
        <f>IFERROR(__xludf.DUMMYFUNCTION("""COMPUTED_VALUE"""),"MA-XI.2")</f>
        <v>MA-XI.2</v>
      </c>
      <c r="H207" s="47" t="str">
        <f>IFERROR(__xludf.DUMMYFUNCTION("""COMPUTED_VALUE"""),"C")</f>
        <v>C</v>
      </c>
      <c r="I207" s="51" t="str">
        <f>IFERROR(__xludf.DUMMYFUNCTION("""COMPUTED_VALUE"""),"C-10")</f>
        <v>C-10</v>
      </c>
      <c r="J207" s="51">
        <f>IFERROR(__xludf.DUMMYFUNCTION("""COMPUTED_VALUE"""),2.0)</f>
        <v>2</v>
      </c>
      <c r="K207" s="51" t="str">
        <f>IFERROR(__xludf.DUMMYFUNCTION("""COMPUTED_VALUE"""),"2 WUSTHO D PUTRI")</f>
        <v>2 WUSTHO D PUTRI</v>
      </c>
      <c r="L207" s="52" t="str">
        <f>IFERROR(__xludf.DUMMYFUNCTION("""COMPUTED_VALUE"""),"6285257577436")</f>
        <v>6285257577436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>
        <f>IFERROR(__xludf.DUMMYFUNCTION("""COMPUTED_VALUE"""),450000.0)</f>
        <v>450000</v>
      </c>
      <c r="AA207" s="53"/>
      <c r="AB207" s="53"/>
      <c r="AC207" s="53"/>
      <c r="AD207" s="53"/>
      <c r="AE207" s="54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IFERROR(__xludf.DUMMYFUNCTION("""COMPUTED_VALUE"""),450000.0)</f>
        <v>450000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IFERROR(__xludf.DUMMYFUNCTION("""COMPUTED_VALUE"""),450000.0)</f>
        <v>450000</v>
      </c>
      <c r="BG207" s="53"/>
      <c r="BH207" s="53"/>
      <c r="BI207" s="53"/>
      <c r="BJ207" s="45"/>
      <c r="BK207" s="45"/>
      <c r="BL207" s="45"/>
      <c r="BM207" s="45"/>
      <c r="BN207" s="45"/>
      <c r="BO207" s="46"/>
    </row>
    <row r="208">
      <c r="A208" s="36">
        <f>IFERROR(__xludf.DUMMYFUNCTION("""COMPUTED_VALUE"""),207.0)</f>
        <v>207</v>
      </c>
      <c r="B208" s="37" t="str">
        <f>IFERROR(__xludf.DUMMYFUNCTION("""COMPUTED_VALUE"""),"LUTFIYAH FARADELLA")</f>
        <v>LUTFIYAH FARADELLA</v>
      </c>
      <c r="C208" s="38">
        <f>IFERROR(__xludf.DUMMYFUNCTION("""COMPUTED_VALUE"""),2.025070568E9)</f>
        <v>2025070568</v>
      </c>
      <c r="D208" s="37" t="str">
        <f>IFERROR(__xludf.DUMMYFUNCTION("""COMPUTED_VALUE"""),"SUKARTONO")</f>
        <v>SUKARTONO</v>
      </c>
      <c r="E208" s="37" t="str">
        <f>IFERROR(__xludf.DUMMYFUNCTION("""COMPUTED_VALUE"""),"RUMAINAH")</f>
        <v>RUMAINAH</v>
      </c>
      <c r="F208" s="37" t="str">
        <f>IFERROR(__xludf.DUMMYFUNCTION("""COMPUTED_VALUE"""),"KEBEN RT 002 RW 001 TURI LAMONGAN")</f>
        <v>KEBEN RT 002 RW 001 TURI LAMONGAN</v>
      </c>
      <c r="G208" s="39" t="str">
        <f>IFERROR(__xludf.DUMMYFUNCTION("""COMPUTED_VALUE"""),"MTS-8 D")</f>
        <v>MTS-8 D</v>
      </c>
      <c r="H208" s="36" t="str">
        <f>IFERROR(__xludf.DUMMYFUNCTION("""COMPUTED_VALUE"""),"C")</f>
        <v>C</v>
      </c>
      <c r="I208" s="42" t="str">
        <f>IFERROR(__xludf.DUMMYFUNCTION("""COMPUTED_VALUE"""),"C-13")</f>
        <v>C-13</v>
      </c>
      <c r="J208" s="40">
        <f>IFERROR(__xludf.DUMMYFUNCTION("""COMPUTED_VALUE"""),2.0)</f>
        <v>2</v>
      </c>
      <c r="K208" s="40" t="str">
        <f>IFERROR(__xludf.DUMMYFUNCTION("""COMPUTED_VALUE"""),"2 ULA B PUTRI")</f>
        <v>2 ULA B PUTRI</v>
      </c>
      <c r="L208" s="41" t="str">
        <f>IFERROR(__xludf.DUMMYFUNCTION("""COMPUTED_VALUE"""),"6285731146502")</f>
        <v>6285731146502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3"/>
      <c r="AC208" s="42"/>
      <c r="AD208" s="42"/>
      <c r="AE208" s="43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3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IFERROR(__xludf.DUMMYFUNCTION("""COMPUTED_VALUE"""),0.0)</f>
        <v>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IFERROR(__xludf.DUMMYFUNCTION("""COMPUTED_VALUE"""),0.0)</f>
        <v>0</v>
      </c>
      <c r="BG208" s="42"/>
      <c r="BH208" s="42"/>
      <c r="BI208" s="42"/>
      <c r="BJ208" s="45"/>
      <c r="BK208" s="45"/>
      <c r="BL208" s="45"/>
      <c r="BM208" s="45"/>
      <c r="BN208" s="45"/>
      <c r="BO208" s="46"/>
    </row>
    <row r="209">
      <c r="A209" s="47">
        <f>IFERROR(__xludf.DUMMYFUNCTION("""COMPUTED_VALUE"""),208.0)</f>
        <v>208</v>
      </c>
      <c r="B209" s="48" t="str">
        <f>IFERROR(__xludf.DUMMYFUNCTION("""COMPUTED_VALUE"""),"MASTALENA FRADITA")</f>
        <v>MASTALENA FRADITA</v>
      </c>
      <c r="C209" s="49">
        <f>IFERROR(__xludf.DUMMYFUNCTION("""COMPUTED_VALUE"""),2.025070271E9)</f>
        <v>2025070271</v>
      </c>
      <c r="D209" s="48" t="str">
        <f>IFERROR(__xludf.DUMMYFUNCTION("""COMPUTED_VALUE"""),"ABDUL MUHID")</f>
        <v>ABDUL MUHID</v>
      </c>
      <c r="E209" s="48" t="str">
        <f>IFERROR(__xludf.DUMMYFUNCTION("""COMPUTED_VALUE"""),"ROSWATI")</f>
        <v>ROSWATI</v>
      </c>
      <c r="F209" s="48" t="str">
        <f>IFERROR(__xludf.DUMMYFUNCTION("""COMPUTED_VALUE"""),"GELAP RT 006 RW 002 LAREN LAMONGAN")</f>
        <v>GELAP RT 006 RW 002 LAREN LAMONGAN</v>
      </c>
      <c r="G209" s="50" t="str">
        <f>IFERROR(__xludf.DUMMYFUNCTION("""COMPUTED_VALUE"""),"MA-XI.5")</f>
        <v>MA-XI.5</v>
      </c>
      <c r="H209" s="47" t="str">
        <f>IFERROR(__xludf.DUMMYFUNCTION("""COMPUTED_VALUE"""),"C")</f>
        <v>C</v>
      </c>
      <c r="I209" s="53" t="str">
        <f>IFERROR(__xludf.DUMMYFUNCTION("""COMPUTED_VALUE"""),"C-10")</f>
        <v>C-10</v>
      </c>
      <c r="J209" s="51">
        <f>IFERROR(__xludf.DUMMYFUNCTION("""COMPUTED_VALUE"""),2.0)</f>
        <v>2</v>
      </c>
      <c r="K209" s="51" t="str">
        <f>IFERROR(__xludf.DUMMYFUNCTION("""COMPUTED_VALUE"""),"2 WUSTHO A PUTRI")</f>
        <v>2 WUSTHO A PUTRI</v>
      </c>
      <c r="L209" s="52" t="str">
        <f>IFERROR(__xludf.DUMMYFUNCTION("""COMPUTED_VALUE"""),"6285792398015")</f>
        <v>6285792398015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>
        <f>IFERROR(__xludf.DUMMYFUNCTION("""COMPUTED_VALUE"""),500000.0)</f>
        <v>500000</v>
      </c>
      <c r="AC209" s="53"/>
      <c r="AD209" s="53"/>
      <c r="AE209" s="54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4">
        <f>IFERROR(__xludf.DUMMYFUNCTION("""COMPUTED_VALUE"""),500000.0)</f>
        <v>500000</v>
      </c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IFERROR(__xludf.DUMMYFUNCTION("""COMPUTED_VALUE"""),1000000.0)</f>
        <v>1000000</v>
      </c>
      <c r="BE209" s="54">
        <f>IFERROR(__xludf.DUMMYFUNCTION("""COMPUTED_VALUE"""),0.0)</f>
        <v>0</v>
      </c>
      <c r="BF209" s="55">
        <f>IFERROR(__xludf.DUMMYFUNCTION("""COMPUTED_VALUE"""),1000000.0)</f>
        <v>1000000</v>
      </c>
      <c r="BG209" s="53"/>
      <c r="BH209" s="53"/>
      <c r="BI209" s="53"/>
      <c r="BJ209" s="45"/>
      <c r="BK209" s="45"/>
      <c r="BL209" s="45"/>
      <c r="BM209" s="45"/>
      <c r="BN209" s="45"/>
      <c r="BO209" s="46"/>
    </row>
    <row r="210">
      <c r="A210" s="36">
        <f>IFERROR(__xludf.DUMMYFUNCTION("""COMPUTED_VALUE"""),209.0)</f>
        <v>209</v>
      </c>
      <c r="B210" s="37" t="str">
        <f>IFERROR(__xludf.DUMMYFUNCTION("""COMPUTED_VALUE"""),"MAYA NUR ANDYNI")</f>
        <v>MAYA NUR ANDYNI</v>
      </c>
      <c r="C210" s="38">
        <f>IFERROR(__xludf.DUMMYFUNCTION("""COMPUTED_VALUE"""),2.025070063E9)</f>
        <v>2025070063</v>
      </c>
      <c r="D210" s="37" t="str">
        <f>IFERROR(__xludf.DUMMYFUNCTION("""COMPUTED_VALUE"""),"KASMUJI")</f>
        <v>KASMUJI</v>
      </c>
      <c r="E210" s="37" t="str">
        <f>IFERROR(__xludf.DUMMYFUNCTION("""COMPUTED_VALUE"""),"MUBARIROH")</f>
        <v>MUBARIROH</v>
      </c>
      <c r="F210" s="37" t="str">
        <f>IFERROR(__xludf.DUMMYFUNCTION("""COMPUTED_VALUE"""),"BLURI RT 002 RW 003 SOLOKURO LAMONGAN")</f>
        <v>BLURI RT 002 RW 003 SOLOKURO LAMONGAN</v>
      </c>
      <c r="G210" s="39" t="str">
        <f>IFERROR(__xludf.DUMMYFUNCTION("""COMPUTED_VALUE"""),"MA-XI.5")</f>
        <v>MA-XI.5</v>
      </c>
      <c r="H210" s="36" t="str">
        <f>IFERROR(__xludf.DUMMYFUNCTION("""COMPUTED_VALUE"""),"C")</f>
        <v>C</v>
      </c>
      <c r="I210" s="42" t="str">
        <f>IFERROR(__xludf.DUMMYFUNCTION("""COMPUTED_VALUE"""),"C-10")</f>
        <v>C-10</v>
      </c>
      <c r="J210" s="40">
        <f>IFERROR(__xludf.DUMMYFUNCTION("""COMPUTED_VALUE"""),2.0)</f>
        <v>2</v>
      </c>
      <c r="K210" s="40" t="str">
        <f>IFERROR(__xludf.DUMMYFUNCTION("""COMPUTED_VALUE"""),"2 WUSTHO A PUTRI")</f>
        <v>2 WUSTHO A PUTRI</v>
      </c>
      <c r="L210" s="41" t="str">
        <f>IFERROR(__xludf.DUMMYFUNCTION("""COMPUTED_VALUE"""),"6285648895170")</f>
        <v>6285648895170</v>
      </c>
      <c r="M210" s="43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>
        <f>IFERROR(__xludf.DUMMYFUNCTION("""COMPUTED_VALUE"""),500000.0)</f>
        <v>500000</v>
      </c>
      <c r="AC210" s="42"/>
      <c r="AD210" s="42"/>
      <c r="AE210" s="43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3">
        <f>IFERROR(__xludf.DUMMYFUNCTION("""COMPUTED_VALUE"""),500000.0)</f>
        <v>500000</v>
      </c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IFERROR(__xludf.DUMMYFUNCTION("""COMPUTED_VALUE"""),1000000.0)</f>
        <v>1000000</v>
      </c>
      <c r="BE210" s="43">
        <f>IFERROR(__xludf.DUMMYFUNCTION("""COMPUTED_VALUE"""),0.0)</f>
        <v>0</v>
      </c>
      <c r="BF210" s="44">
        <f>IFERROR(__xludf.DUMMYFUNCTION("""COMPUTED_VALUE"""),1000000.0)</f>
        <v>1000000</v>
      </c>
      <c r="BG210" s="42"/>
      <c r="BH210" s="42"/>
      <c r="BI210" s="42"/>
      <c r="BJ210" s="45"/>
      <c r="BK210" s="45"/>
      <c r="BL210" s="45"/>
      <c r="BM210" s="45"/>
      <c r="BN210" s="45"/>
      <c r="BO210" s="46"/>
    </row>
    <row r="211">
      <c r="A211" s="47">
        <f>IFERROR(__xludf.DUMMYFUNCTION("""COMPUTED_VALUE"""),210.0)</f>
        <v>210</v>
      </c>
      <c r="B211" s="48" t="str">
        <f>IFERROR(__xludf.DUMMYFUNCTION("""COMPUTED_VALUE"""),"MAZIYAH SARIROH")</f>
        <v>MAZIYAH SARIROH</v>
      </c>
      <c r="C211" s="49">
        <f>IFERROR(__xludf.DUMMYFUNCTION("""COMPUTED_VALUE"""),2.025070384E9)</f>
        <v>2025070384</v>
      </c>
      <c r="D211" s="48" t="str">
        <f>IFERROR(__xludf.DUMMYFUNCTION("""COMPUTED_VALUE"""),"ABDUL MUN`IM")</f>
        <v>ABDUL MUN`IM</v>
      </c>
      <c r="E211" s="48" t="str">
        <f>IFERROR(__xludf.DUMMYFUNCTION("""COMPUTED_VALUE"""),"SHOLIHATIN")</f>
        <v>SHOLIHATIN</v>
      </c>
      <c r="F211" s="48" t="str">
        <f>IFERROR(__xludf.DUMMYFUNCTION("""COMPUTED_VALUE"""),"DEPEK SUGIHWARAS RT 001 RW 001 KALITENGAH LAMONGAN")</f>
        <v>DEPEK SUGIHWARAS RT 001 RW 001 KALITENGAH LAMONGAN</v>
      </c>
      <c r="G211" s="50" t="str">
        <f>IFERROR(__xludf.DUMMYFUNCTION("""COMPUTED_VALUE"""),"MA-XI.1")</f>
        <v>MA-XI.1</v>
      </c>
      <c r="H211" s="47" t="str">
        <f>IFERROR(__xludf.DUMMYFUNCTION("""COMPUTED_VALUE"""),"C")</f>
        <v>C</v>
      </c>
      <c r="I211" s="53" t="str">
        <f>IFERROR(__xludf.DUMMYFUNCTION("""COMPUTED_VALUE"""),"C-6")</f>
        <v>C-6</v>
      </c>
      <c r="J211" s="51">
        <f>IFERROR(__xludf.DUMMYFUNCTION("""COMPUTED_VALUE"""),2.0)</f>
        <v>2</v>
      </c>
      <c r="K211" s="51" t="str">
        <f>IFERROR(__xludf.DUMMYFUNCTION("""COMPUTED_VALUE"""),"TAHFIDZ")</f>
        <v>TAHFIDZ</v>
      </c>
      <c r="L211" s="52" t="str">
        <f>IFERROR(__xludf.DUMMYFUNCTION("""COMPUTED_VALUE"""),"6281554466483")</f>
        <v>6281554466483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4"/>
      <c r="W211" s="54"/>
      <c r="X211" s="54"/>
      <c r="Y211" s="54"/>
      <c r="Z211" s="54">
        <f>IFERROR(__xludf.DUMMYFUNCTION("""COMPUTED_VALUE"""),450000.0)</f>
        <v>450000</v>
      </c>
      <c r="AA211" s="54"/>
      <c r="AB211" s="54"/>
      <c r="AC211" s="54"/>
      <c r="AD211" s="54"/>
      <c r="AE211" s="54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4">
        <f>IFERROR(__xludf.DUMMYFUNCTION("""COMPUTED_VALUE"""),500000.0)</f>
        <v>500000</v>
      </c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IFERROR(__xludf.DUMMYFUNCTION("""COMPUTED_VALUE"""),450000.0)</f>
        <v>450000</v>
      </c>
      <c r="BD211" s="54">
        <f>IFERROR(__xludf.DUMMYFUNCTION("""COMPUTED_VALUE"""),500000.0)</f>
        <v>500000</v>
      </c>
      <c r="BE211" s="54">
        <f>IFERROR(__xludf.DUMMYFUNCTION("""COMPUTED_VALUE"""),0.0)</f>
        <v>0</v>
      </c>
      <c r="BF211" s="55">
        <f>IFERROR(__xludf.DUMMYFUNCTION("""COMPUTED_VALUE"""),950000.0)</f>
        <v>950000</v>
      </c>
      <c r="BG211" s="53"/>
      <c r="BH211" s="53"/>
      <c r="BI211" s="53"/>
      <c r="BJ211" s="45"/>
      <c r="BK211" s="45"/>
      <c r="BL211" s="45"/>
      <c r="BM211" s="45"/>
      <c r="BN211" s="45"/>
      <c r="BO211" s="46"/>
    </row>
    <row r="212">
      <c r="A212" s="36">
        <f>IFERROR(__xludf.DUMMYFUNCTION("""COMPUTED_VALUE"""),211.0)</f>
        <v>211</v>
      </c>
      <c r="B212" s="37" t="str">
        <f>IFERROR(__xludf.DUMMYFUNCTION("""COMPUTED_VALUE"""),"MEISYA JUWITA SARI")</f>
        <v>MEISYA JUWITA SARI</v>
      </c>
      <c r="C212" s="38">
        <f>IFERROR(__xludf.DUMMYFUNCTION("""COMPUTED_VALUE"""),2.025070526E9)</f>
        <v>2025070526</v>
      </c>
      <c r="D212" s="37" t="str">
        <f>IFERROR(__xludf.DUMMYFUNCTION("""COMPUTED_VALUE"""),"WIWIT PURWANTORO")</f>
        <v>WIWIT PURWANTORO</v>
      </c>
      <c r="E212" s="37" t="str">
        <f>IFERROR(__xludf.DUMMYFUNCTION("""COMPUTED_VALUE"""),"DJUWARNI")</f>
        <v>DJUWARNI</v>
      </c>
      <c r="F212" s="37" t="str">
        <f>IFERROR(__xludf.DUMMYFUNCTION("""COMPUTED_VALUE"""),"JL. DURIAN KETAJEN RT 001 RW 004 GEDANGAN SIDOARJO")</f>
        <v>JL. DURIAN KETAJEN RT 001 RW 004 GEDANGAN SIDOARJO</v>
      </c>
      <c r="G212" s="39" t="str">
        <f>IFERROR(__xludf.DUMMYFUNCTION("""COMPUTED_VALUE"""),"MTS-8 D")</f>
        <v>MTS-8 D</v>
      </c>
      <c r="H212" s="36" t="str">
        <f>IFERROR(__xludf.DUMMYFUNCTION("""COMPUTED_VALUE"""),"C")</f>
        <v>C</v>
      </c>
      <c r="I212" s="42" t="str">
        <f>IFERROR(__xludf.DUMMYFUNCTION("""COMPUTED_VALUE"""),"C-6")</f>
        <v>C-6</v>
      </c>
      <c r="J212" s="40">
        <f>IFERROR(__xludf.DUMMYFUNCTION("""COMPUTED_VALUE"""),2.0)</f>
        <v>2</v>
      </c>
      <c r="K212" s="40" t="str">
        <f>IFERROR(__xludf.DUMMYFUNCTION("""COMPUTED_VALUE"""),"2 ULA C PUTRI")</f>
        <v>2 ULA C PUTRI</v>
      </c>
      <c r="L212" s="41" t="str">
        <f>IFERROR(__xludf.DUMMYFUNCTION("""COMPUTED_VALUE"""),"6285648971522")</f>
        <v>6285648971522</v>
      </c>
      <c r="M212" s="42">
        <f>IFERROR(__xludf.DUMMYFUNCTION("""COMPUTED_VALUE"""),600000.0)</f>
        <v>600000</v>
      </c>
      <c r="N212" s="42"/>
      <c r="O212" s="42"/>
      <c r="P212" s="42"/>
      <c r="Q212" s="42"/>
      <c r="R212" s="42"/>
      <c r="S212" s="42"/>
      <c r="T212" s="42"/>
      <c r="U212" s="42">
        <f>IFERROR(__xludf.DUMMYFUNCTION("""COMPUTED_VALUE"""),450000.0)</f>
        <v>450000</v>
      </c>
      <c r="V212" s="42">
        <f>IFERROR(__xludf.DUMMYFUNCTION("""COMPUTED_VALUE"""),450000.0)</f>
        <v>450000</v>
      </c>
      <c r="W212" s="42">
        <f>IFERROR(__xludf.DUMMYFUNCTION("""COMPUTED_VALUE"""),450000.0)</f>
        <v>450000</v>
      </c>
      <c r="X212" s="42">
        <f>IFERROR(__xludf.DUMMYFUNCTION("""COMPUTED_VALUE"""),450000.0)</f>
        <v>450000</v>
      </c>
      <c r="Y212" s="42">
        <f>IFERROR(__xludf.DUMMYFUNCTION("""COMPUTED_VALUE"""),450000.0)</f>
        <v>450000</v>
      </c>
      <c r="Z212" s="42">
        <f>IFERROR(__xludf.DUMMYFUNCTION("""COMPUTED_VALUE"""),450000.0)</f>
        <v>450000</v>
      </c>
      <c r="AA212" s="42"/>
      <c r="AB212" s="43">
        <f>IFERROR(__xludf.DUMMYFUNCTION("""COMPUTED_VALUE"""),500000.0)</f>
        <v>500000</v>
      </c>
      <c r="AC212" s="42"/>
      <c r="AD212" s="42"/>
      <c r="AE212" s="43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3">
        <f>IFERROR(__xludf.DUMMYFUNCTION("""COMPUTED_VALUE"""),500000.0)</f>
        <v>500000</v>
      </c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IFERROR(__xludf.DUMMYFUNCTION("""COMPUTED_VALUE"""),2700000.0)</f>
        <v>2700000</v>
      </c>
      <c r="BD212" s="43">
        <f>IFERROR(__xludf.DUMMYFUNCTION("""COMPUTED_VALUE"""),1600000.0)</f>
        <v>1600000</v>
      </c>
      <c r="BE212" s="43">
        <f>IFERROR(__xludf.DUMMYFUNCTION("""COMPUTED_VALUE"""),0.0)</f>
        <v>0</v>
      </c>
      <c r="BF212" s="44">
        <f>IFERROR(__xludf.DUMMYFUNCTION("""COMPUTED_VALUE"""),4300000.0)</f>
        <v>4300000</v>
      </c>
      <c r="BG212" s="42"/>
      <c r="BH212" s="42"/>
      <c r="BI212" s="42"/>
      <c r="BJ212" s="45"/>
      <c r="BK212" s="45"/>
      <c r="BL212" s="45"/>
      <c r="BM212" s="45"/>
      <c r="BN212" s="45"/>
      <c r="BO212" s="46"/>
    </row>
    <row r="213">
      <c r="A213" s="47">
        <f>IFERROR(__xludf.DUMMYFUNCTION("""COMPUTED_VALUE"""),212.0)</f>
        <v>212</v>
      </c>
      <c r="B213" s="48" t="str">
        <f>IFERROR(__xludf.DUMMYFUNCTION("""COMPUTED_VALUE"""),"NABILAH FAYRUZ ZAHROH")</f>
        <v>NABILAH FAYRUZ ZAHROH</v>
      </c>
      <c r="C213" s="49">
        <f>IFERROR(__xludf.DUMMYFUNCTION("""COMPUTED_VALUE"""),2.025070291E9)</f>
        <v>2025070291</v>
      </c>
      <c r="D213" s="48" t="str">
        <f>IFERROR(__xludf.DUMMYFUNCTION("""COMPUTED_VALUE"""),"PENDI DARMONO")</f>
        <v>PENDI DARMONO</v>
      </c>
      <c r="E213" s="48" t="str">
        <f>IFERROR(__xludf.DUMMYFUNCTION("""COMPUTED_VALUE"""),"RUSMINI")</f>
        <v>RUSMINI</v>
      </c>
      <c r="F213" s="48" t="str">
        <f>IFERROR(__xludf.DUMMYFUNCTION("""COMPUTED_VALUE"""),"GUNDIK SUKOREJO RT 001 RW 004 KARANGBINANGUN LAMONGAN")</f>
        <v>GUNDIK SUKOREJO RT 001 RW 004 KARANGBINANGUN LAMONGAN</v>
      </c>
      <c r="G213" s="50" t="str">
        <f>IFERROR(__xludf.DUMMYFUNCTION("""COMPUTED_VALUE"""),"MA-XI.11")</f>
        <v>MA-XI.11</v>
      </c>
      <c r="H213" s="47" t="str">
        <f>IFERROR(__xludf.DUMMYFUNCTION("""COMPUTED_VALUE"""),"C")</f>
        <v>C</v>
      </c>
      <c r="I213" s="53" t="str">
        <f>IFERROR(__xludf.DUMMYFUNCTION("""COMPUTED_VALUE"""),"C-10")</f>
        <v>C-10</v>
      </c>
      <c r="J213" s="51">
        <f>IFERROR(__xludf.DUMMYFUNCTION("""COMPUTED_VALUE"""),2.0)</f>
        <v>2</v>
      </c>
      <c r="K213" s="51" t="str">
        <f>IFERROR(__xludf.DUMMYFUNCTION("""COMPUTED_VALUE"""),"2 WUSTHO B PUTRI")</f>
        <v>2 WUSTHO B PUTRI</v>
      </c>
      <c r="L213" s="52" t="str">
        <f>IFERROR(__xludf.DUMMYFUNCTION("""COMPUTED_VALUE"""),"6285850710087")</f>
        <v>6285850710087</v>
      </c>
      <c r="M213" s="53">
        <f>IFERROR(__xludf.DUMMYFUNCTION("""COMPUTED_VALUE"""),600000.0)</f>
        <v>600000</v>
      </c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>
        <f>IFERROR(__xludf.DUMMYFUNCTION("""COMPUTED_VALUE"""),450000.0)</f>
        <v>450000</v>
      </c>
      <c r="AA213" s="53"/>
      <c r="AB213" s="53">
        <f>IFERROR(__xludf.DUMMYFUNCTION("""COMPUTED_VALUE"""),500000.0)</f>
        <v>500000</v>
      </c>
      <c r="AC213" s="53"/>
      <c r="AD213" s="53"/>
      <c r="AE213" s="54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4">
        <f>IFERROR(__xludf.DUMMYFUNCTION("""COMPUTED_VALUE"""),500000.0)</f>
        <v>500000</v>
      </c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IFERROR(__xludf.DUMMYFUNCTION("""COMPUTED_VALUE"""),450000.0)</f>
        <v>450000</v>
      </c>
      <c r="BD213" s="54">
        <f>IFERROR(__xludf.DUMMYFUNCTION("""COMPUTED_VALUE"""),1600000.0)</f>
        <v>1600000</v>
      </c>
      <c r="BE213" s="54">
        <f>IFERROR(__xludf.DUMMYFUNCTION("""COMPUTED_VALUE"""),0.0)</f>
        <v>0</v>
      </c>
      <c r="BF213" s="55">
        <f>IFERROR(__xludf.DUMMYFUNCTION("""COMPUTED_VALUE"""),2050000.0)</f>
        <v>2050000</v>
      </c>
      <c r="BG213" s="53"/>
      <c r="BH213" s="53"/>
      <c r="BI213" s="53"/>
      <c r="BJ213" s="45"/>
      <c r="BK213" s="45"/>
      <c r="BL213" s="45"/>
      <c r="BM213" s="45"/>
      <c r="BN213" s="45"/>
      <c r="BO213" s="46"/>
    </row>
    <row r="214">
      <c r="A214" s="36">
        <f>IFERROR(__xludf.DUMMYFUNCTION("""COMPUTED_VALUE"""),213.0)</f>
        <v>213</v>
      </c>
      <c r="B214" s="37" t="str">
        <f>IFERROR(__xludf.DUMMYFUNCTION("""COMPUTED_VALUE"""),"NABILLAH DWI SISILIA")</f>
        <v>NABILLAH DWI SISILIA</v>
      </c>
      <c r="C214" s="38">
        <f>IFERROR(__xludf.DUMMYFUNCTION("""COMPUTED_VALUE"""),2.025070021E9)</f>
        <v>2025070021</v>
      </c>
      <c r="D214" s="37" t="str">
        <f>IFERROR(__xludf.DUMMYFUNCTION("""COMPUTED_VALUE"""),"IMAM SAFI`I")</f>
        <v>IMAM SAFI`I</v>
      </c>
      <c r="E214" s="37" t="str">
        <f>IFERROR(__xludf.DUMMYFUNCTION("""COMPUTED_VALUE"""),"KASMULIATIN")</f>
        <v>KASMULIATIN</v>
      </c>
      <c r="F214" s="37" t="str">
        <f>IFERROR(__xludf.DUMMYFUNCTION("""COMPUTED_VALUE"""),"JL. PENDIDIKAN TANAH MERAH RT 005 RW 000 TANA LIA TANA TIDUNG")</f>
        <v>JL. PENDIDIKAN TANAH MERAH RT 005 RW 000 TANA LIA TANA TIDUNG</v>
      </c>
      <c r="G214" s="39" t="str">
        <f>IFERROR(__xludf.DUMMYFUNCTION("""COMPUTED_VALUE"""),"MA-XI.10")</f>
        <v>MA-XI.10</v>
      </c>
      <c r="H214" s="36" t="str">
        <f>IFERROR(__xludf.DUMMYFUNCTION("""COMPUTED_VALUE"""),"C")</f>
        <v>C</v>
      </c>
      <c r="I214" s="40" t="str">
        <f>IFERROR(__xludf.DUMMYFUNCTION("""COMPUTED_VALUE"""),"C-6")</f>
        <v>C-6</v>
      </c>
      <c r="J214" s="40">
        <f>IFERROR(__xludf.DUMMYFUNCTION("""COMPUTED_VALUE"""),2.0)</f>
        <v>2</v>
      </c>
      <c r="K214" s="40" t="str">
        <f>IFERROR(__xludf.DUMMYFUNCTION("""COMPUTED_VALUE"""),"2 WUSTHO D PUTRI")</f>
        <v>2 WUSTHO D PUTRI</v>
      </c>
      <c r="L214" s="41" t="str">
        <f>IFERROR(__xludf.DUMMYFUNCTION("""COMPUTED_VALUE"""),"6285349502674")</f>
        <v>6285349502674</v>
      </c>
      <c r="M214" s="43"/>
      <c r="N214" s="43"/>
      <c r="O214" s="42"/>
      <c r="P214" s="42"/>
      <c r="Q214" s="42"/>
      <c r="R214" s="42"/>
      <c r="S214" s="42"/>
      <c r="T214" s="42"/>
      <c r="U214" s="43"/>
      <c r="V214" s="43"/>
      <c r="W214" s="43"/>
      <c r="X214" s="43"/>
      <c r="Y214" s="43"/>
      <c r="Z214" s="43"/>
      <c r="AA214" s="42"/>
      <c r="AB214" s="43"/>
      <c r="AC214" s="43"/>
      <c r="AD214" s="43"/>
      <c r="AE214" s="43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3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IFERROR(__xludf.DUMMYFUNCTION("""COMPUTED_VALUE"""),0.0)</f>
        <v>0</v>
      </c>
      <c r="BD214" s="43">
        <f>IFERROR(__xludf.DUMMYFUNCTION("""COMPUTED_VALUE"""),0.0)</f>
        <v>0</v>
      </c>
      <c r="BE214" s="43">
        <f>IFERROR(__xludf.DUMMYFUNCTION("""COMPUTED_VALUE"""),0.0)</f>
        <v>0</v>
      </c>
      <c r="BF214" s="44">
        <f>IFERROR(__xludf.DUMMYFUNCTION("""COMPUTED_VALUE"""),0.0)</f>
        <v>0</v>
      </c>
      <c r="BG214" s="42"/>
      <c r="BH214" s="42"/>
      <c r="BI214" s="42"/>
      <c r="BJ214" s="45"/>
      <c r="BK214" s="45"/>
      <c r="BL214" s="45"/>
      <c r="BM214" s="45"/>
      <c r="BN214" s="45"/>
      <c r="BO214" s="46"/>
    </row>
    <row r="215">
      <c r="A215" s="47">
        <f>IFERROR(__xludf.DUMMYFUNCTION("""COMPUTED_VALUE"""),214.0)</f>
        <v>214</v>
      </c>
      <c r="B215" s="48" t="str">
        <f>IFERROR(__xludf.DUMMYFUNCTION("""COMPUTED_VALUE"""),"NADIA LATISHA PUTRI JUNAIDI")</f>
        <v>NADIA LATISHA PUTRI JUNAIDI</v>
      </c>
      <c r="C215" s="49">
        <f>IFERROR(__xludf.DUMMYFUNCTION("""COMPUTED_VALUE"""),2.025070562E9)</f>
        <v>2025070562</v>
      </c>
      <c r="D215" s="48" t="str">
        <f>IFERROR(__xludf.DUMMYFUNCTION("""COMPUTED_VALUE"""),"JUNAIDI SALAT")</f>
        <v>JUNAIDI SALAT</v>
      </c>
      <c r="E215" s="48" t="str">
        <f>IFERROR(__xludf.DUMMYFUNCTION("""COMPUTED_VALUE"""),"SUNADA")</f>
        <v>SUNADA</v>
      </c>
      <c r="F215" s="48" t="str">
        <f>IFERROR(__xludf.DUMMYFUNCTION("""COMPUTED_VALUE"""),"KEDIREN RT 002 RW 002 KALITENGAH LAMONGAN")</f>
        <v>KEDIREN RT 002 RW 002 KALITENGAH LAMONGAN</v>
      </c>
      <c r="G215" s="50" t="str">
        <f>IFERROR(__xludf.DUMMYFUNCTION("""COMPUTED_VALUE"""),"MTS-8 E")</f>
        <v>MTS-8 E</v>
      </c>
      <c r="H215" s="47" t="str">
        <f>IFERROR(__xludf.DUMMYFUNCTION("""COMPUTED_VALUE"""),"C")</f>
        <v>C</v>
      </c>
      <c r="I215" s="53" t="str">
        <f>IFERROR(__xludf.DUMMYFUNCTION("""COMPUTED_VALUE"""),"C-12")</f>
        <v>C-12</v>
      </c>
      <c r="J215" s="51">
        <f>IFERROR(__xludf.DUMMYFUNCTION("""COMPUTED_VALUE"""),2.0)</f>
        <v>2</v>
      </c>
      <c r="K215" s="51" t="str">
        <f>IFERROR(__xludf.DUMMYFUNCTION("""COMPUTED_VALUE"""),"2 ULA B PUTRI")</f>
        <v>2 ULA B PUTRI</v>
      </c>
      <c r="L215" s="52" t="str">
        <f>IFERROR(__xludf.DUMMYFUNCTION("""COMPUTED_VALUE"""),"6285804145415")</f>
        <v>6285804145415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>
        <f>IFERROR(__xludf.DUMMYFUNCTION("""COMPUTED_VALUE"""),500000.0)</f>
        <v>500000</v>
      </c>
      <c r="AC215" s="53"/>
      <c r="AD215" s="53"/>
      <c r="AE215" s="54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4">
        <f>IFERROR(__xludf.DUMMYFUNCTION("""COMPUTED_VALUE"""),500000.0)</f>
        <v>500000</v>
      </c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IFERROR(__xludf.DUMMYFUNCTION("""COMPUTED_VALUE"""),1000000.0)</f>
        <v>1000000</v>
      </c>
      <c r="BE215" s="54">
        <f>IFERROR(__xludf.DUMMYFUNCTION("""COMPUTED_VALUE"""),0.0)</f>
        <v>0</v>
      </c>
      <c r="BF215" s="55">
        <f>IFERROR(__xludf.DUMMYFUNCTION("""COMPUTED_VALUE"""),1000000.0)</f>
        <v>1000000</v>
      </c>
      <c r="BG215" s="53"/>
      <c r="BH215" s="53"/>
      <c r="BI215" s="53"/>
      <c r="BJ215" s="45"/>
      <c r="BK215" s="45"/>
      <c r="BL215" s="45"/>
      <c r="BM215" s="45"/>
      <c r="BN215" s="45"/>
      <c r="BO215" s="46"/>
    </row>
    <row r="216">
      <c r="A216" s="36">
        <f>IFERROR(__xludf.DUMMYFUNCTION("""COMPUTED_VALUE"""),215.0)</f>
        <v>215</v>
      </c>
      <c r="B216" s="37" t="str">
        <f>IFERROR(__xludf.DUMMYFUNCTION("""COMPUTED_VALUE"""),"NAFI`ATUL HAKIMAH")</f>
        <v>NAFI`ATUL HAKIMAH</v>
      </c>
      <c r="C216" s="38">
        <f>IFERROR(__xludf.DUMMYFUNCTION("""COMPUTED_VALUE"""),2.025070495E9)</f>
        <v>2025070495</v>
      </c>
      <c r="D216" s="37" t="str">
        <f>IFERROR(__xludf.DUMMYFUNCTION("""COMPUTED_VALUE"""),"ABDUL WAHID")</f>
        <v>ABDUL WAHID</v>
      </c>
      <c r="E216" s="37" t="str">
        <f>IFERROR(__xludf.DUMMYFUNCTION("""COMPUTED_VALUE"""),"SITI MIFTAHUR ROHMAH")</f>
        <v>SITI MIFTAHUR ROHMAH</v>
      </c>
      <c r="F216" s="37" t="str">
        <f>IFERROR(__xludf.DUMMYFUNCTION("""COMPUTED_VALUE"""),"DORO KARANGWEDORO RT 004 RW 002 TURI LAMONGAN")</f>
        <v>DORO KARANGWEDORO RT 004 RW 002 TURI LAMONGAN</v>
      </c>
      <c r="G216" s="39" t="str">
        <f>IFERROR(__xludf.DUMMYFUNCTION("""COMPUTED_VALUE"""),"SMP-VIII A")</f>
        <v>SMP-VIII A</v>
      </c>
      <c r="H216" s="36" t="str">
        <f>IFERROR(__xludf.DUMMYFUNCTION("""COMPUTED_VALUE"""),"C")</f>
        <v>C</v>
      </c>
      <c r="I216" s="40" t="str">
        <f>IFERROR(__xludf.DUMMYFUNCTION("""COMPUTED_VALUE"""),"C-12")</f>
        <v>C-12</v>
      </c>
      <c r="J216" s="40">
        <f>IFERROR(__xludf.DUMMYFUNCTION("""COMPUTED_VALUE"""),2.0)</f>
        <v>2</v>
      </c>
      <c r="K216" s="40" t="str">
        <f>IFERROR(__xludf.DUMMYFUNCTION("""COMPUTED_VALUE"""),"2 ULA C PUTRI")</f>
        <v>2 ULA C PUTRI</v>
      </c>
      <c r="L216" s="41" t="str">
        <f>IFERROR(__xludf.DUMMYFUNCTION("""COMPUTED_VALUE"""),"6285853062087")</f>
        <v>6285853062087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>
        <f>IFERROR(__xludf.DUMMYFUNCTION("""COMPUTED_VALUE"""),500000.0)</f>
        <v>500000</v>
      </c>
      <c r="AC216" s="42"/>
      <c r="AD216" s="42"/>
      <c r="AE216" s="43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3">
        <f>IFERROR(__xludf.DUMMYFUNCTION("""COMPUTED_VALUE"""),500000.0)</f>
        <v>500000</v>
      </c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IFERROR(__xludf.DUMMYFUNCTION("""COMPUTED_VALUE"""),1000000.0)</f>
        <v>1000000</v>
      </c>
      <c r="BE216" s="43">
        <f>IFERROR(__xludf.DUMMYFUNCTION("""COMPUTED_VALUE"""),0.0)</f>
        <v>0</v>
      </c>
      <c r="BF216" s="44">
        <f>IFERROR(__xludf.DUMMYFUNCTION("""COMPUTED_VALUE"""),1000000.0)</f>
        <v>1000000</v>
      </c>
      <c r="BG216" s="42"/>
      <c r="BH216" s="42"/>
      <c r="BI216" s="42"/>
      <c r="BJ216" s="45"/>
      <c r="BK216" s="45"/>
      <c r="BL216" s="45"/>
      <c r="BM216" s="45"/>
      <c r="BN216" s="45"/>
      <c r="BO216" s="46"/>
    </row>
    <row r="217">
      <c r="A217" s="47">
        <f>IFERROR(__xludf.DUMMYFUNCTION("""COMPUTED_VALUE"""),216.0)</f>
        <v>216</v>
      </c>
      <c r="B217" s="48" t="str">
        <f>IFERROR(__xludf.DUMMYFUNCTION("""COMPUTED_VALUE"""),"NAILA SHOFWA AMALIAH")</f>
        <v>NAILA SHOFWA AMALIAH</v>
      </c>
      <c r="C217" s="49">
        <f>IFERROR(__xludf.DUMMYFUNCTION("""COMPUTED_VALUE"""),2.025070233E9)</f>
        <v>2025070233</v>
      </c>
      <c r="D217" s="48" t="str">
        <f>IFERROR(__xludf.DUMMYFUNCTION("""COMPUTED_VALUE"""),"NURMAL")</f>
        <v>NURMAL</v>
      </c>
      <c r="E217" s="48" t="str">
        <f>IFERROR(__xludf.DUMMYFUNCTION("""COMPUTED_VALUE"""),"SITI ASTUTIN")</f>
        <v>SITI ASTUTIN</v>
      </c>
      <c r="F217" s="48" t="str">
        <f>IFERROR(__xludf.DUMMYFUNCTION("""COMPUTED_VALUE"""),"DAGAN RT 001 RW 002 SOLOKURO LAMONGAN")</f>
        <v>DAGAN RT 001 RW 002 SOLOKURO LAMONGAN</v>
      </c>
      <c r="G217" s="50" t="str">
        <f>IFERROR(__xludf.DUMMYFUNCTION("""COMPUTED_VALUE"""),"MA-XI.12")</f>
        <v>MA-XI.12</v>
      </c>
      <c r="H217" s="47" t="str">
        <f>IFERROR(__xludf.DUMMYFUNCTION("""COMPUTED_VALUE"""),"C")</f>
        <v>C</v>
      </c>
      <c r="I217" s="53" t="str">
        <f>IFERROR(__xludf.DUMMYFUNCTION("""COMPUTED_VALUE"""),"C-10")</f>
        <v>C-10</v>
      </c>
      <c r="J217" s="51">
        <f>IFERROR(__xludf.DUMMYFUNCTION("""COMPUTED_VALUE"""),2.0)</f>
        <v>2</v>
      </c>
      <c r="K217" s="51" t="str">
        <f>IFERROR(__xludf.DUMMYFUNCTION("""COMPUTED_VALUE"""),"2 WUSTHO A PUTRI")</f>
        <v>2 WUSTHO A PUTRI</v>
      </c>
      <c r="L217" s="52" t="str">
        <f>IFERROR(__xludf.DUMMYFUNCTION("""COMPUTED_VALUE"""),"6285785806949")</f>
        <v>6285785806949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4"/>
      <c r="Z217" s="54"/>
      <c r="AA217" s="54"/>
      <c r="AB217" s="54"/>
      <c r="AC217" s="54"/>
      <c r="AD217" s="54"/>
      <c r="AE217" s="54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IFERROR(__xludf.DUMMYFUNCTION("""COMPUTED_VALUE"""),0.0)</f>
        <v>0</v>
      </c>
      <c r="BE217" s="54">
        <f>IFERROR(__xludf.DUMMYFUNCTION("""COMPUTED_VALUE"""),0.0)</f>
        <v>0</v>
      </c>
      <c r="BF217" s="55">
        <f>IFERROR(__xludf.DUMMYFUNCTION("""COMPUTED_VALUE"""),0.0)</f>
        <v>0</v>
      </c>
      <c r="BG217" s="53"/>
      <c r="BH217" s="53"/>
      <c r="BI217" s="53"/>
      <c r="BJ217" s="45"/>
      <c r="BK217" s="45"/>
      <c r="BL217" s="45"/>
      <c r="BM217" s="45"/>
      <c r="BN217" s="45"/>
      <c r="BO217" s="46"/>
    </row>
    <row r="218">
      <c r="A218" s="36">
        <f>IFERROR(__xludf.DUMMYFUNCTION("""COMPUTED_VALUE"""),217.0)</f>
        <v>217</v>
      </c>
      <c r="B218" s="37" t="str">
        <f>IFERROR(__xludf.DUMMYFUNCTION("""COMPUTED_VALUE"""),"NAILAH RAHADATUL ASIY ADELIAH")</f>
        <v>NAILAH RAHADATUL ASIY ADELIAH</v>
      </c>
      <c r="C218" s="38">
        <f>IFERROR(__xludf.DUMMYFUNCTION("""COMPUTED_VALUE"""),2.025070078E9)</f>
        <v>2025070078</v>
      </c>
      <c r="D218" s="37" t="str">
        <f>IFERROR(__xludf.DUMMYFUNCTION("""COMPUTED_VALUE"""),"BUDI LISMANTO")</f>
        <v>BUDI LISMANTO</v>
      </c>
      <c r="E218" s="37" t="str">
        <f>IFERROR(__xludf.DUMMYFUNCTION("""COMPUTED_VALUE"""),"KHUSNUL SAHADAH")</f>
        <v>KHUSNUL SAHADAH</v>
      </c>
      <c r="F218" s="37" t="str">
        <f>IFERROR(__xludf.DUMMYFUNCTION("""COMPUTED_VALUE"""),"BLURI RT 011 RW 003 SOLOKURO LAMONGAN")</f>
        <v>BLURI RT 011 RW 003 SOLOKURO LAMONGAN</v>
      </c>
      <c r="G218" s="39" t="str">
        <f>IFERROR(__xludf.DUMMYFUNCTION("""COMPUTED_VALUE"""),"MA-XI.5")</f>
        <v>MA-XI.5</v>
      </c>
      <c r="H218" s="36" t="str">
        <f>IFERROR(__xludf.DUMMYFUNCTION("""COMPUTED_VALUE"""),"C")</f>
        <v>C</v>
      </c>
      <c r="I218" s="42" t="str">
        <f>IFERROR(__xludf.DUMMYFUNCTION("""COMPUTED_VALUE"""),"C-10")</f>
        <v>C-10</v>
      </c>
      <c r="J218" s="40">
        <f>IFERROR(__xludf.DUMMYFUNCTION("""COMPUTED_VALUE"""),2.0)</f>
        <v>2</v>
      </c>
      <c r="K218" s="40" t="str">
        <f>IFERROR(__xludf.DUMMYFUNCTION("""COMPUTED_VALUE"""),"2 WUSTHO D PUTRI")</f>
        <v>2 WUSTHO D PUTRI</v>
      </c>
      <c r="L218" s="41" t="str">
        <f>IFERROR(__xludf.DUMMYFUNCTION("""COMPUTED_VALUE"""),"6285731461924")</f>
        <v>6285731461924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>
        <f>IFERROR(__xludf.DUMMYFUNCTION("""COMPUTED_VALUE"""),500000.0)</f>
        <v>500000</v>
      </c>
      <c r="AC218" s="42"/>
      <c r="AD218" s="42"/>
      <c r="AE218" s="43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3">
        <f>IFERROR(__xludf.DUMMYFUNCTION("""COMPUTED_VALUE"""),500000.0)</f>
        <v>500000</v>
      </c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IFERROR(__xludf.DUMMYFUNCTION("""COMPUTED_VALUE"""),0.0)</f>
        <v>0</v>
      </c>
      <c r="BD218" s="43">
        <f>IFERROR(__xludf.DUMMYFUNCTION("""COMPUTED_VALUE"""),1000000.0)</f>
        <v>1000000</v>
      </c>
      <c r="BE218" s="43">
        <f>IFERROR(__xludf.DUMMYFUNCTION("""COMPUTED_VALUE"""),0.0)</f>
        <v>0</v>
      </c>
      <c r="BF218" s="44">
        <f>IFERROR(__xludf.DUMMYFUNCTION("""COMPUTED_VALUE"""),1000000.0)</f>
        <v>1000000</v>
      </c>
      <c r="BG218" s="42"/>
      <c r="BH218" s="42"/>
      <c r="BI218" s="42"/>
      <c r="BJ218" s="45"/>
      <c r="BK218" s="45"/>
      <c r="BL218" s="45"/>
      <c r="BM218" s="45"/>
      <c r="BN218" s="45"/>
      <c r="BO218" s="46"/>
    </row>
    <row r="219">
      <c r="A219" s="47">
        <f>IFERROR(__xludf.DUMMYFUNCTION("""COMPUTED_VALUE"""),218.0)</f>
        <v>218</v>
      </c>
      <c r="B219" s="48" t="str">
        <f>IFERROR(__xludf.DUMMYFUNCTION("""COMPUTED_VALUE"""),"NATASYA ZUHROTUL ULA")</f>
        <v>NATASYA ZUHROTUL ULA</v>
      </c>
      <c r="C219" s="49">
        <f>IFERROR(__xludf.DUMMYFUNCTION("""COMPUTED_VALUE"""),2.025070137E9)</f>
        <v>2025070137</v>
      </c>
      <c r="D219" s="48" t="str">
        <f>IFERROR(__xludf.DUMMYFUNCTION("""COMPUTED_VALUE"""),"KHAFID ABDILLAH")</f>
        <v>KHAFID ABDILLAH</v>
      </c>
      <c r="E219" s="48" t="str">
        <f>IFERROR(__xludf.DUMMYFUNCTION("""COMPUTED_VALUE"""),"SITI ZAINATUL HABIBAH")</f>
        <v>SITI ZAINATUL HABIBAH</v>
      </c>
      <c r="F219" s="48" t="str">
        <f>IFERROR(__xludf.DUMMYFUNCTION("""COMPUTED_VALUE"""),"KULURAN RT 004 RW 003 KALITENGAH LAMONGAN")</f>
        <v>KULURAN RT 004 RW 003 KALITENGAH LAMONGAN</v>
      </c>
      <c r="G219" s="50" t="str">
        <f>IFERROR(__xludf.DUMMYFUNCTION("""COMPUTED_VALUE"""),"MA-XI.2")</f>
        <v>MA-XI.2</v>
      </c>
      <c r="H219" s="47" t="str">
        <f>IFERROR(__xludf.DUMMYFUNCTION("""COMPUTED_VALUE"""),"C")</f>
        <v>C</v>
      </c>
      <c r="I219" s="53" t="str">
        <f>IFERROR(__xludf.DUMMYFUNCTION("""COMPUTED_VALUE"""),"C-6")</f>
        <v>C-6</v>
      </c>
      <c r="J219" s="51">
        <f>IFERROR(__xludf.DUMMYFUNCTION("""COMPUTED_VALUE"""),2.0)</f>
        <v>2</v>
      </c>
      <c r="K219" s="51" t="str">
        <f>IFERROR(__xludf.DUMMYFUNCTION("""COMPUTED_VALUE"""),"2 WUSTHO A PUTRI")</f>
        <v>2 WUSTHO A PUTRI</v>
      </c>
      <c r="L219" s="52" t="str">
        <f>IFERROR(__xludf.DUMMYFUNCTION("""COMPUTED_VALUE"""),"6281556649032")</f>
        <v>6281556649032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>
        <f>IFERROR(__xludf.DUMMYFUNCTION("""COMPUTED_VALUE"""),500000.0)</f>
        <v>500000</v>
      </c>
      <c r="AC219" s="53"/>
      <c r="AD219" s="53"/>
      <c r="AE219" s="54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4">
        <f>IFERROR(__xludf.DUMMYFUNCTION("""COMPUTED_VALUE"""),500000.0)</f>
        <v>500000</v>
      </c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IFERROR(__xludf.DUMMYFUNCTION("""COMPUTED_VALUE"""),1000000.0)</f>
        <v>1000000</v>
      </c>
      <c r="BE219" s="54">
        <f>IFERROR(__xludf.DUMMYFUNCTION("""COMPUTED_VALUE"""),0.0)</f>
        <v>0</v>
      </c>
      <c r="BF219" s="55">
        <f>IFERROR(__xludf.DUMMYFUNCTION("""COMPUTED_VALUE"""),1000000.0)</f>
        <v>1000000</v>
      </c>
      <c r="BG219" s="53"/>
      <c r="BH219" s="53"/>
      <c r="BI219" s="53"/>
      <c r="BJ219" s="45"/>
      <c r="BK219" s="45"/>
      <c r="BL219" s="45"/>
      <c r="BM219" s="45"/>
      <c r="BN219" s="45"/>
      <c r="BO219" s="46"/>
    </row>
    <row r="220">
      <c r="A220" s="36">
        <f>IFERROR(__xludf.DUMMYFUNCTION("""COMPUTED_VALUE"""),219.0)</f>
        <v>219</v>
      </c>
      <c r="B220" s="37" t="str">
        <f>IFERROR(__xludf.DUMMYFUNCTION("""COMPUTED_VALUE"""),"NAURA NADHIFA FITRI FAJRIA")</f>
        <v>NAURA NADHIFA FITRI FAJRIA</v>
      </c>
      <c r="C220" s="38">
        <f>IFERROR(__xludf.DUMMYFUNCTION("""COMPUTED_VALUE"""),2.025070569E9)</f>
        <v>2025070569</v>
      </c>
      <c r="D220" s="37" t="str">
        <f>IFERROR(__xludf.DUMMYFUNCTION("""COMPUTED_VALUE"""),"PARMUJI")</f>
        <v>PARMUJI</v>
      </c>
      <c r="E220" s="37" t="str">
        <f>IFERROR(__xludf.DUMMYFUNCTION("""COMPUTED_VALUE"""),"IDA FITRIYAH")</f>
        <v>IDA FITRIYAH</v>
      </c>
      <c r="F220" s="37" t="str">
        <f>IFERROR(__xludf.DUMMYFUNCTION("""COMPUTED_VALUE"""),"TRACAL RT 001 RW 002 KARANGGENENG LAMONGAN")</f>
        <v>TRACAL RT 001 RW 002 KARANGGENENG LAMONGAN</v>
      </c>
      <c r="G220" s="39" t="str">
        <f>IFERROR(__xludf.DUMMYFUNCTION("""COMPUTED_VALUE"""),"MTS-8 D")</f>
        <v>MTS-8 D</v>
      </c>
      <c r="H220" s="36" t="str">
        <f>IFERROR(__xludf.DUMMYFUNCTION("""COMPUTED_VALUE"""),"C")</f>
        <v>C</v>
      </c>
      <c r="I220" s="42" t="str">
        <f>IFERROR(__xludf.DUMMYFUNCTION("""COMPUTED_VALUE"""),"C-13")</f>
        <v>C-13</v>
      </c>
      <c r="J220" s="40">
        <f>IFERROR(__xludf.DUMMYFUNCTION("""COMPUTED_VALUE"""),2.0)</f>
        <v>2</v>
      </c>
      <c r="K220" s="40" t="str">
        <f>IFERROR(__xludf.DUMMYFUNCTION("""COMPUTED_VALUE"""),"2 ULA A PUTRI")</f>
        <v>2 ULA A PUTRI</v>
      </c>
      <c r="L220" s="41" t="str">
        <f>IFERROR(__xludf.DUMMYFUNCTION("""COMPUTED_VALUE"""),"6281350312748")</f>
        <v>6281350312748</v>
      </c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>
        <f>IFERROR(__xludf.DUMMYFUNCTION("""COMPUTED_VALUE"""),500000.0)</f>
        <v>500000</v>
      </c>
      <c r="AC220" s="42"/>
      <c r="AD220" s="42"/>
      <c r="AE220" s="43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>
        <f>IFERROR(__xludf.DUMMYFUNCTION("""COMPUTED_VALUE"""),500000.0)</f>
        <v>500000</v>
      </c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IFERROR(__xludf.DUMMYFUNCTION("""COMPUTED_VALUE"""),1000000.0)</f>
        <v>1000000</v>
      </c>
      <c r="BE220" s="43">
        <f>IFERROR(__xludf.DUMMYFUNCTION("""COMPUTED_VALUE"""),0.0)</f>
        <v>0</v>
      </c>
      <c r="BF220" s="44">
        <f>IFERROR(__xludf.DUMMYFUNCTION("""COMPUTED_VALUE"""),1000000.0)</f>
        <v>1000000</v>
      </c>
      <c r="BG220" s="42"/>
      <c r="BH220" s="42"/>
      <c r="BI220" s="42"/>
      <c r="BJ220" s="45"/>
      <c r="BK220" s="45"/>
      <c r="BL220" s="45"/>
      <c r="BM220" s="45"/>
      <c r="BN220" s="45"/>
      <c r="BO220" s="46"/>
    </row>
    <row r="221">
      <c r="A221" s="47">
        <f>IFERROR(__xludf.DUMMYFUNCTION("""COMPUTED_VALUE"""),220.0)</f>
        <v>220</v>
      </c>
      <c r="B221" s="48" t="str">
        <f>IFERROR(__xludf.DUMMYFUNCTION("""COMPUTED_VALUE"""),"NAURA NADHIFAH AKMAL")</f>
        <v>NAURA NADHIFAH AKMAL</v>
      </c>
      <c r="C221" s="49">
        <f>IFERROR(__xludf.DUMMYFUNCTION("""COMPUTED_VALUE"""),2.02507058E9)</f>
        <v>2025070580</v>
      </c>
      <c r="D221" s="48" t="str">
        <f>IFERROR(__xludf.DUMMYFUNCTION("""COMPUTED_VALUE"""),"MOH. NASIHUDDIN")</f>
        <v>MOH. NASIHUDDIN</v>
      </c>
      <c r="E221" s="48" t="str">
        <f>IFERROR(__xludf.DUMMYFUNCTION("""COMPUTED_VALUE"""),"SITI FATIMATUL MAGHNUNAH")</f>
        <v>SITI FATIMATUL MAGHNUNAH</v>
      </c>
      <c r="F221" s="48" t="str">
        <f>IFERROR(__xludf.DUMMYFUNCTION("""COMPUTED_VALUE"""),"GETUNG TAWANGREJO RT 003 RW 001 TURI LAMONGAN")</f>
        <v>GETUNG TAWANGREJO RT 003 RW 001 TURI LAMONGAN</v>
      </c>
      <c r="G221" s="49" t="str">
        <f>IFERROR(__xludf.DUMMYFUNCTION("""COMPUTED_VALUE"""),"MTS-8 C")</f>
        <v>MTS-8 C</v>
      </c>
      <c r="H221" s="47" t="str">
        <f>IFERROR(__xludf.DUMMYFUNCTION("""COMPUTED_VALUE"""),"C")</f>
        <v>C</v>
      </c>
      <c r="I221" s="53" t="str">
        <f>IFERROR(__xludf.DUMMYFUNCTION("""COMPUTED_VALUE"""),"C-13")</f>
        <v>C-13</v>
      </c>
      <c r="J221" s="51">
        <f>IFERROR(__xludf.DUMMYFUNCTION("""COMPUTED_VALUE"""),2.0)</f>
        <v>2</v>
      </c>
      <c r="K221" s="51" t="str">
        <f>IFERROR(__xludf.DUMMYFUNCTION("""COMPUTED_VALUE"""),"2 ULA A PUTRI")</f>
        <v>2 ULA A PUTRI</v>
      </c>
      <c r="L221" s="52" t="str">
        <f>IFERROR(__xludf.DUMMYFUNCTION("""COMPUTED_VALUE"""),"6285745731616")</f>
        <v>6285745731616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>
        <f>IFERROR(__xludf.DUMMYFUNCTION("""COMPUTED_VALUE"""),500000.0)</f>
        <v>500000</v>
      </c>
      <c r="AC221" s="53"/>
      <c r="AD221" s="53"/>
      <c r="AE221" s="54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>
        <f>IFERROR(__xludf.DUMMYFUNCTION("""COMPUTED_VALUE"""),500000.0)</f>
        <v>500000</v>
      </c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IFERROR(__xludf.DUMMYFUNCTION("""COMPUTED_VALUE"""),1000000.0)</f>
        <v>1000000</v>
      </c>
      <c r="BE221" s="54">
        <f>IFERROR(__xludf.DUMMYFUNCTION("""COMPUTED_VALUE"""),0.0)</f>
        <v>0</v>
      </c>
      <c r="BF221" s="55">
        <f>IFERROR(__xludf.DUMMYFUNCTION("""COMPUTED_VALUE"""),1000000.0)</f>
        <v>1000000</v>
      </c>
      <c r="BG221" s="53"/>
      <c r="BH221" s="53"/>
      <c r="BI221" s="53"/>
      <c r="BJ221" s="45"/>
      <c r="BK221" s="45"/>
      <c r="BL221" s="45"/>
      <c r="BM221" s="45"/>
      <c r="BN221" s="45"/>
      <c r="BO221" s="46"/>
    </row>
    <row r="222">
      <c r="A222" s="36">
        <f>IFERROR(__xludf.DUMMYFUNCTION("""COMPUTED_VALUE"""),221.0)</f>
        <v>221</v>
      </c>
      <c r="B222" s="37" t="str">
        <f>IFERROR(__xludf.DUMMYFUNCTION("""COMPUTED_VALUE"""),"NAYSILLA NAFIZZA OKTAVIA")</f>
        <v>NAYSILLA NAFIZZA OKTAVIA</v>
      </c>
      <c r="C222" s="38">
        <f>IFERROR(__xludf.DUMMYFUNCTION("""COMPUTED_VALUE"""),2.025070522E9)</f>
        <v>2025070522</v>
      </c>
      <c r="D222" s="37" t="str">
        <f>IFERROR(__xludf.DUMMYFUNCTION("""COMPUTED_VALUE"""),"SUNAZIR")</f>
        <v>SUNAZIR</v>
      </c>
      <c r="E222" s="37" t="str">
        <f>IFERROR(__xludf.DUMMYFUNCTION("""COMPUTED_VALUE"""),"SUHARIYATI")</f>
        <v>SUHARIYATI</v>
      </c>
      <c r="F222" s="37" t="str">
        <f>IFERROR(__xludf.DUMMYFUNCTION("""COMPUTED_VALUE"""),"NGAYUNG RT 009 RW 003 MADURAN LAMONGAN")</f>
        <v>NGAYUNG RT 009 RW 003 MADURAN LAMONGAN</v>
      </c>
      <c r="G222" s="39" t="str">
        <f>IFERROR(__xludf.DUMMYFUNCTION("""COMPUTED_VALUE"""),"MTS-8 C")</f>
        <v>MTS-8 C</v>
      </c>
      <c r="H222" s="36" t="str">
        <f>IFERROR(__xludf.DUMMYFUNCTION("""COMPUTED_VALUE"""),"C")</f>
        <v>C</v>
      </c>
      <c r="I222" s="40" t="str">
        <f>IFERROR(__xludf.DUMMYFUNCTION("""COMPUTED_VALUE"""),"C-13")</f>
        <v>C-13</v>
      </c>
      <c r="J222" s="40">
        <f>IFERROR(__xludf.DUMMYFUNCTION("""COMPUTED_VALUE"""),2.0)</f>
        <v>2</v>
      </c>
      <c r="K222" s="40" t="str">
        <f>IFERROR(__xludf.DUMMYFUNCTION("""COMPUTED_VALUE"""),"2 ULA A PUTRI")</f>
        <v>2 ULA A PUTRI</v>
      </c>
      <c r="L222" s="41" t="str">
        <f>IFERROR(__xludf.DUMMYFUNCTION("""COMPUTED_VALUE"""),"6282257586385")</f>
        <v>6282257586385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>
        <f>IFERROR(__xludf.DUMMYFUNCTION("""COMPUTED_VALUE"""),500000.0)</f>
        <v>500000</v>
      </c>
      <c r="AC222" s="42"/>
      <c r="AD222" s="42"/>
      <c r="AE222" s="43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>
        <f>IFERROR(__xludf.DUMMYFUNCTION("""COMPUTED_VALUE"""),500000.0)</f>
        <v>500000</v>
      </c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IFERROR(__xludf.DUMMYFUNCTION("""COMPUTED_VALUE"""),1000000.0)</f>
        <v>1000000</v>
      </c>
      <c r="BE222" s="43">
        <f>IFERROR(__xludf.DUMMYFUNCTION("""COMPUTED_VALUE"""),0.0)</f>
        <v>0</v>
      </c>
      <c r="BF222" s="44">
        <f>IFERROR(__xludf.DUMMYFUNCTION("""COMPUTED_VALUE"""),1000000.0)</f>
        <v>1000000</v>
      </c>
      <c r="BG222" s="42"/>
      <c r="BH222" s="42"/>
      <c r="BI222" s="42"/>
      <c r="BJ222" s="45"/>
      <c r="BK222" s="45"/>
      <c r="BL222" s="45"/>
      <c r="BM222" s="45"/>
      <c r="BN222" s="45"/>
      <c r="BO222" s="46"/>
    </row>
    <row r="223">
      <c r="A223" s="47">
        <f>IFERROR(__xludf.DUMMYFUNCTION("""COMPUTED_VALUE"""),222.0)</f>
        <v>222</v>
      </c>
      <c r="B223" s="48" t="str">
        <f>IFERROR(__xludf.DUMMYFUNCTION("""COMPUTED_VALUE"""),"NAZWA ZAHROTUL RAMADHANI")</f>
        <v>NAZWA ZAHROTUL RAMADHANI</v>
      </c>
      <c r="C223" s="49">
        <f>IFERROR(__xludf.DUMMYFUNCTION("""COMPUTED_VALUE"""),2.025070575E9)</f>
        <v>2025070575</v>
      </c>
      <c r="D223" s="48" t="str">
        <f>IFERROR(__xludf.DUMMYFUNCTION("""COMPUTED_VALUE"""),"MUTFA`IN")</f>
        <v>MUTFA`IN</v>
      </c>
      <c r="E223" s="48" t="str">
        <f>IFERROR(__xludf.DUMMYFUNCTION("""COMPUTED_VALUE"""),"SRIFATUN")</f>
        <v>SRIFATUN</v>
      </c>
      <c r="F223" s="48" t="str">
        <f>IFERROR(__xludf.DUMMYFUNCTION("""COMPUTED_VALUE"""),"DAGAN RT 003 RW 001 SOLOKURO LAMONGAN")</f>
        <v>DAGAN RT 003 RW 001 SOLOKURO LAMONGAN</v>
      </c>
      <c r="G223" s="50" t="str">
        <f>IFERROR(__xludf.DUMMYFUNCTION("""COMPUTED_VALUE"""),"MTS-8 B")</f>
        <v>MTS-8 B</v>
      </c>
      <c r="H223" s="47" t="str">
        <f>IFERROR(__xludf.DUMMYFUNCTION("""COMPUTED_VALUE"""),"C")</f>
        <v>C</v>
      </c>
      <c r="I223" s="51" t="str">
        <f>IFERROR(__xludf.DUMMYFUNCTION("""COMPUTED_VALUE"""),"C-5")</f>
        <v>C-5</v>
      </c>
      <c r="J223" s="51">
        <f>IFERROR(__xludf.DUMMYFUNCTION("""COMPUTED_VALUE"""),2.0)</f>
        <v>2</v>
      </c>
      <c r="K223" s="51" t="str">
        <f>IFERROR(__xludf.DUMMYFUNCTION("""COMPUTED_VALUE"""),"2 ULA A PUTRI")</f>
        <v>2 ULA A PUTRI</v>
      </c>
      <c r="L223" s="52" t="str">
        <f>IFERROR(__xludf.DUMMYFUNCTION("""COMPUTED_VALUE"""),"6285850263622")</f>
        <v>6285850263622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4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3"/>
      <c r="BH223" s="53"/>
      <c r="BI223" s="53"/>
      <c r="BJ223" s="45"/>
      <c r="BK223" s="45"/>
      <c r="BL223" s="45"/>
      <c r="BM223" s="45"/>
      <c r="BN223" s="45"/>
      <c r="BO223" s="46"/>
    </row>
    <row r="224">
      <c r="A224" s="36">
        <f>IFERROR(__xludf.DUMMYFUNCTION("""COMPUTED_VALUE"""),223.0)</f>
        <v>223</v>
      </c>
      <c r="B224" s="37" t="str">
        <f>IFERROR(__xludf.DUMMYFUNCTION("""COMPUTED_VALUE"""),"NEYLA MARITSA AZ ZAHRA")</f>
        <v>NEYLA MARITSA AZ ZAHRA</v>
      </c>
      <c r="C224" s="38">
        <f>IFERROR(__xludf.DUMMYFUNCTION("""COMPUTED_VALUE"""),2.025070657E9)</f>
        <v>2025070657</v>
      </c>
      <c r="D224" s="37" t="str">
        <f>IFERROR(__xludf.DUMMYFUNCTION("""COMPUTED_VALUE"""),"ARIFAN")</f>
        <v>ARIFAN</v>
      </c>
      <c r="E224" s="37" t="str">
        <f>IFERROR(__xludf.DUMMYFUNCTION("""COMPUTED_VALUE"""),"LAILY KHULAILAH")</f>
        <v>LAILY KHULAILAH</v>
      </c>
      <c r="F224" s="37" t="str">
        <f>IFERROR(__xludf.DUMMYFUNCTION("""COMPUTED_VALUE"""),"SERAH RT 011 RW 005 PANCENG GRESIK")</f>
        <v>SERAH RT 011 RW 005 PANCENG GRESIK</v>
      </c>
      <c r="G224" s="39" t="str">
        <f>IFERROR(__xludf.DUMMYFUNCTION("""COMPUTED_VALUE"""),"MTS-8 D")</f>
        <v>MTS-8 D</v>
      </c>
      <c r="H224" s="36" t="str">
        <f>IFERROR(__xludf.DUMMYFUNCTION("""COMPUTED_VALUE"""),"C")</f>
        <v>C</v>
      </c>
      <c r="I224" s="42" t="str">
        <f>IFERROR(__xludf.DUMMYFUNCTION("""COMPUTED_VALUE"""),"C-13")</f>
        <v>C-13</v>
      </c>
      <c r="J224" s="40">
        <f>IFERROR(__xludf.DUMMYFUNCTION("""COMPUTED_VALUE"""),2.0)</f>
        <v>2</v>
      </c>
      <c r="K224" s="40" t="str">
        <f>IFERROR(__xludf.DUMMYFUNCTION("""COMPUTED_VALUE"""),"ULA")</f>
        <v>ULA</v>
      </c>
      <c r="L224" s="41" t="str">
        <f>IFERROR(__xludf.DUMMYFUNCTION("""COMPUTED_VALUE"""),"628563450049")</f>
        <v>628563450049</v>
      </c>
      <c r="M224" s="42">
        <f>IFERROR(__xludf.DUMMYFUNCTION("""COMPUTED_VALUE"""),600000.0)</f>
        <v>600000</v>
      </c>
      <c r="N224" s="42">
        <f>IFERROR(__xludf.DUMMYFUNCTION("""COMPUTED_VALUE"""),200000.0)</f>
        <v>200000</v>
      </c>
      <c r="O224" s="42"/>
      <c r="P224" s="42"/>
      <c r="Q224" s="42">
        <f>IFERROR(__xludf.DUMMYFUNCTION("""COMPUTED_VALUE"""),450000.0)</f>
        <v>450000</v>
      </c>
      <c r="R224" s="42">
        <f>IFERROR(__xludf.DUMMYFUNCTION("""COMPUTED_VALUE"""),450000.0)</f>
        <v>450000</v>
      </c>
      <c r="S224" s="42">
        <f>IFERROR(__xludf.DUMMYFUNCTION("""COMPUTED_VALUE"""),450000.0)</f>
        <v>450000</v>
      </c>
      <c r="T224" s="42">
        <f>IFERROR(__xludf.DUMMYFUNCTION("""COMPUTED_VALUE"""),450000.0)</f>
        <v>450000</v>
      </c>
      <c r="U224" s="42">
        <f>IFERROR(__xludf.DUMMYFUNCTION("""COMPUTED_VALUE"""),450000.0)</f>
        <v>450000</v>
      </c>
      <c r="V224" s="42">
        <f>IFERROR(__xludf.DUMMYFUNCTION("""COMPUTED_VALUE"""),450000.0)</f>
        <v>450000</v>
      </c>
      <c r="W224" s="42">
        <f>IFERROR(__xludf.DUMMYFUNCTION("""COMPUTED_VALUE"""),450000.0)</f>
        <v>450000</v>
      </c>
      <c r="X224" s="42">
        <f>IFERROR(__xludf.DUMMYFUNCTION("""COMPUTED_VALUE"""),450000.0)</f>
        <v>450000</v>
      </c>
      <c r="Y224" s="42">
        <f>IFERROR(__xludf.DUMMYFUNCTION("""COMPUTED_VALUE"""),450000.0)</f>
        <v>450000</v>
      </c>
      <c r="Z224" s="42">
        <f>IFERROR(__xludf.DUMMYFUNCTION("""COMPUTED_VALUE"""),450000.0)</f>
        <v>450000</v>
      </c>
      <c r="AA224" s="42"/>
      <c r="AB224" s="43">
        <f>IFERROR(__xludf.DUMMYFUNCTION("""COMPUTED_VALUE"""),500000.0)</f>
        <v>500000</v>
      </c>
      <c r="AC224" s="42"/>
      <c r="AD224" s="43"/>
      <c r="AE224" s="43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3">
        <f>IFERROR(__xludf.DUMMYFUNCTION("""COMPUTED_VALUE"""),500000.0)</f>
        <v>500000</v>
      </c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IFERROR(__xludf.DUMMYFUNCTION("""COMPUTED_VALUE"""),4500000.0)</f>
        <v>4500000</v>
      </c>
      <c r="BD224" s="43">
        <f>IFERROR(__xludf.DUMMYFUNCTION("""COMPUTED_VALUE"""),1600000.0)</f>
        <v>1600000</v>
      </c>
      <c r="BE224" s="43">
        <f>IFERROR(__xludf.DUMMYFUNCTION("""COMPUTED_VALUE"""),0.0)</f>
        <v>0</v>
      </c>
      <c r="BF224" s="44">
        <f>IFERROR(__xludf.DUMMYFUNCTION("""COMPUTED_VALUE"""),6100000.0)</f>
        <v>6100000</v>
      </c>
      <c r="BG224" s="42"/>
      <c r="BH224" s="42"/>
      <c r="BI224" s="42"/>
      <c r="BJ224" s="45"/>
      <c r="BK224" s="45"/>
      <c r="BL224" s="45"/>
      <c r="BM224" s="45"/>
      <c r="BN224" s="45"/>
      <c r="BO224" s="46"/>
    </row>
    <row r="225">
      <c r="A225" s="47">
        <f>IFERROR(__xludf.DUMMYFUNCTION("""COMPUTED_VALUE"""),224.0)</f>
        <v>224</v>
      </c>
      <c r="B225" s="48" t="str">
        <f>IFERROR(__xludf.DUMMYFUNCTION("""COMPUTED_VALUE"""),"NIDAUL KHOFIYAH")</f>
        <v>NIDAUL KHOFIYAH</v>
      </c>
      <c r="C225" s="49">
        <f>IFERROR(__xludf.DUMMYFUNCTION("""COMPUTED_VALUE"""),2.025070535E9)</f>
        <v>2025070535</v>
      </c>
      <c r="D225" s="48" t="str">
        <f>IFERROR(__xludf.DUMMYFUNCTION("""COMPUTED_VALUE"""),"UBED KHOTIBUL UMAM")</f>
        <v>UBED KHOTIBUL UMAM</v>
      </c>
      <c r="E225" s="48" t="str">
        <f>IFERROR(__xludf.DUMMYFUNCTION("""COMPUTED_VALUE"""),"MAFTUHATUL A`YUN")</f>
        <v>MAFTUHATUL A`YUN</v>
      </c>
      <c r="F225" s="48" t="str">
        <f>IFERROR(__xludf.DUMMYFUNCTION("""COMPUTED_VALUE"""),"DAGAN RT 003 RW 004 SOLOKURO LAMONGAN")</f>
        <v>DAGAN RT 003 RW 004 SOLOKURO LAMONGAN</v>
      </c>
      <c r="G225" s="50" t="str">
        <f>IFERROR(__xludf.DUMMYFUNCTION("""COMPUTED_VALUE"""),"MTS-8 C")</f>
        <v>MTS-8 C</v>
      </c>
      <c r="H225" s="47" t="str">
        <f>IFERROR(__xludf.DUMMYFUNCTION("""COMPUTED_VALUE"""),"C")</f>
        <v>C</v>
      </c>
      <c r="I225" s="51" t="str">
        <f>IFERROR(__xludf.DUMMYFUNCTION("""COMPUTED_VALUE"""),"C-5")</f>
        <v>C-5</v>
      </c>
      <c r="J225" s="51">
        <f>IFERROR(__xludf.DUMMYFUNCTION("""COMPUTED_VALUE"""),2.0)</f>
        <v>2</v>
      </c>
      <c r="K225" s="51" t="str">
        <f>IFERROR(__xludf.DUMMYFUNCTION("""COMPUTED_VALUE"""),"2 ULA A PUTRI")</f>
        <v>2 ULA A PUTRI</v>
      </c>
      <c r="L225" s="52" t="str">
        <f>IFERROR(__xludf.DUMMYFUNCTION("""COMPUTED_VALUE"""),"6285649695274")</f>
        <v>6285649695274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4"/>
      <c r="AB225" s="53">
        <f>IFERROR(__xludf.DUMMYFUNCTION("""COMPUTED_VALUE"""),500000.0)</f>
        <v>500000</v>
      </c>
      <c r="AC225" s="54"/>
      <c r="AD225" s="54"/>
      <c r="AE225" s="54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>
        <f>IFERROR(__xludf.DUMMYFUNCTION("""COMPUTED_VALUE"""),500000.0)</f>
        <v>500000</v>
      </c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IFERROR(__xludf.DUMMYFUNCTION("""COMPUTED_VALUE"""),1000000.0)</f>
        <v>1000000</v>
      </c>
      <c r="BE225" s="54">
        <f>IFERROR(__xludf.DUMMYFUNCTION("""COMPUTED_VALUE"""),0.0)</f>
        <v>0</v>
      </c>
      <c r="BF225" s="55">
        <f>IFERROR(__xludf.DUMMYFUNCTION("""COMPUTED_VALUE"""),1000000.0)</f>
        <v>1000000</v>
      </c>
      <c r="BG225" s="53"/>
      <c r="BH225" s="53"/>
      <c r="BI225" s="53"/>
      <c r="BJ225" s="45"/>
      <c r="BK225" s="45"/>
      <c r="BL225" s="45"/>
      <c r="BM225" s="45"/>
      <c r="BN225" s="45"/>
      <c r="BO225" s="46"/>
    </row>
    <row r="226">
      <c r="A226" s="36">
        <f>IFERROR(__xludf.DUMMYFUNCTION("""COMPUTED_VALUE"""),225.0)</f>
        <v>225</v>
      </c>
      <c r="B226" s="37" t="str">
        <f>IFERROR(__xludf.DUMMYFUNCTION("""COMPUTED_VALUE"""),"NIKITA KHAHECA GISELLA")</f>
        <v>NIKITA KHAHECA GISELLA</v>
      </c>
      <c r="C226" s="38">
        <f>IFERROR(__xludf.DUMMYFUNCTION("""COMPUTED_VALUE"""),2.02507036E9)</f>
        <v>2025070360</v>
      </c>
      <c r="D226" s="37" t="str">
        <f>IFERROR(__xludf.DUMMYFUNCTION("""COMPUTED_VALUE"""),"KADIR")</f>
        <v>KADIR</v>
      </c>
      <c r="E226" s="37" t="str">
        <f>IFERROR(__xludf.DUMMYFUNCTION("""COMPUTED_VALUE"""),"LILIK KUMIATI")</f>
        <v>LILIK KUMIATI</v>
      </c>
      <c r="F226" s="37" t="str">
        <f>IFERROR(__xludf.DUMMYFUNCTION("""COMPUTED_VALUE"""),"LOWAYU RT 001 RW 001 DUKUN GRESIK")</f>
        <v>LOWAYU RT 001 RW 001 DUKUN GRESIK</v>
      </c>
      <c r="G226" s="39" t="str">
        <f>IFERROR(__xludf.DUMMYFUNCTION("""COMPUTED_VALUE"""),"MA-XI.1")</f>
        <v>MA-XI.1</v>
      </c>
      <c r="H226" s="36" t="str">
        <f>IFERROR(__xludf.DUMMYFUNCTION("""COMPUTED_VALUE"""),"C")</f>
        <v>C</v>
      </c>
      <c r="I226" s="40" t="str">
        <f>IFERROR(__xludf.DUMMYFUNCTION("""COMPUTED_VALUE"""),"C-6")</f>
        <v>C-6</v>
      </c>
      <c r="J226" s="40">
        <f>IFERROR(__xludf.DUMMYFUNCTION("""COMPUTED_VALUE"""),2.0)</f>
        <v>2</v>
      </c>
      <c r="K226" s="40" t="str">
        <f>IFERROR(__xludf.DUMMYFUNCTION("""COMPUTED_VALUE"""),"TAHFIDZ")</f>
        <v>TAHFIDZ</v>
      </c>
      <c r="L226" s="41" t="str">
        <f>IFERROR(__xludf.DUMMYFUNCTION("""COMPUTED_VALUE"""),"6285853013489")</f>
        <v>6285853013489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3"/>
      <c r="AC226" s="42"/>
      <c r="AD226" s="42"/>
      <c r="AE226" s="43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3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IFERROR(__xludf.DUMMYFUNCTION("""COMPUTED_VALUE"""),0.0)</f>
        <v>0</v>
      </c>
      <c r="BD226" s="43">
        <f>IFERROR(__xludf.DUMMYFUNCTION("""COMPUTED_VALUE"""),0.0)</f>
        <v>0</v>
      </c>
      <c r="BE226" s="43">
        <f>IFERROR(__xludf.DUMMYFUNCTION("""COMPUTED_VALUE"""),0.0)</f>
        <v>0</v>
      </c>
      <c r="BF226" s="44">
        <f>IFERROR(__xludf.DUMMYFUNCTION("""COMPUTED_VALUE"""),0.0)</f>
        <v>0</v>
      </c>
      <c r="BG226" s="42"/>
      <c r="BH226" s="42"/>
      <c r="BI226" s="42"/>
      <c r="BJ226" s="45"/>
      <c r="BK226" s="45"/>
      <c r="BL226" s="45"/>
      <c r="BM226" s="45"/>
      <c r="BN226" s="45"/>
      <c r="BO226" s="46"/>
    </row>
    <row r="227">
      <c r="A227" s="47">
        <f>IFERROR(__xludf.DUMMYFUNCTION("""COMPUTED_VALUE"""),226.0)</f>
        <v>226</v>
      </c>
      <c r="B227" s="48" t="str">
        <f>IFERROR(__xludf.DUMMYFUNCTION("""COMPUTED_VALUE"""),"NOVI AWWALIYATUS SHOLIHAH")</f>
        <v>NOVI AWWALIYATUS SHOLIHAH</v>
      </c>
      <c r="C227" s="49">
        <f>IFERROR(__xludf.DUMMYFUNCTION("""COMPUTED_VALUE"""),2.0250701E9)</f>
        <v>2025070100</v>
      </c>
      <c r="D227" s="48" t="str">
        <f>IFERROR(__xludf.DUMMYFUNCTION("""COMPUTED_VALUE"""),"MAT TUKIM")</f>
        <v>MAT TUKIM</v>
      </c>
      <c r="E227" s="48" t="str">
        <f>IFERROR(__xludf.DUMMYFUNCTION("""COMPUTED_VALUE"""),"IDA INDA NURHIDAYATI")</f>
        <v>IDA INDA NURHIDAYATI</v>
      </c>
      <c r="F227" s="48" t="str">
        <f>IFERROR(__xludf.DUMMYFUNCTION("""COMPUTED_VALUE"""),"DAGAN RT 001 RW 003 SOLOKURO LAMONGAN")</f>
        <v>DAGAN RT 001 RW 003 SOLOKURO LAMONGAN</v>
      </c>
      <c r="G227" s="49" t="str">
        <f>IFERROR(__xludf.DUMMYFUNCTION("""COMPUTED_VALUE"""),"MA-XI.2")</f>
        <v>MA-XI.2</v>
      </c>
      <c r="H227" s="47" t="str">
        <f>IFERROR(__xludf.DUMMYFUNCTION("""COMPUTED_VALUE"""),"C")</f>
        <v>C</v>
      </c>
      <c r="I227" s="53" t="str">
        <f>IFERROR(__xludf.DUMMYFUNCTION("""COMPUTED_VALUE"""),"C-10")</f>
        <v>C-10</v>
      </c>
      <c r="J227" s="51">
        <f>IFERROR(__xludf.DUMMYFUNCTION("""COMPUTED_VALUE"""),2.0)</f>
        <v>2</v>
      </c>
      <c r="K227" s="51" t="str">
        <f>IFERROR(__xludf.DUMMYFUNCTION("""COMPUTED_VALUE"""),"2 WUSTHO B PUTRI")</f>
        <v>2 WUSTHO B PUTRI</v>
      </c>
      <c r="L227" s="52" t="str">
        <f>IFERROR(__xludf.DUMMYFUNCTION("""COMPUTED_VALUE"""),"6285645284852")</f>
        <v>6285645284852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>
        <f>IFERROR(__xludf.DUMMYFUNCTION("""COMPUTED_VALUE"""),500000.0)</f>
        <v>500000</v>
      </c>
      <c r="AC227" s="53"/>
      <c r="AD227" s="54"/>
      <c r="AE227" s="54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>
        <f>IFERROR(__xludf.DUMMYFUNCTION("""COMPUTED_VALUE"""),500000.0)</f>
        <v>500000</v>
      </c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IFERROR(__xludf.DUMMYFUNCTION("""COMPUTED_VALUE"""),1000000.0)</f>
        <v>1000000</v>
      </c>
      <c r="BE227" s="54">
        <f>IFERROR(__xludf.DUMMYFUNCTION("""COMPUTED_VALUE"""),0.0)</f>
        <v>0</v>
      </c>
      <c r="BF227" s="55">
        <f>IFERROR(__xludf.DUMMYFUNCTION("""COMPUTED_VALUE"""),1000000.0)</f>
        <v>1000000</v>
      </c>
      <c r="BG227" s="53"/>
      <c r="BH227" s="53"/>
      <c r="BI227" s="53"/>
      <c r="BJ227" s="45"/>
      <c r="BK227" s="45"/>
      <c r="BL227" s="45"/>
      <c r="BM227" s="45"/>
      <c r="BN227" s="45"/>
      <c r="BO227" s="46"/>
    </row>
    <row r="228">
      <c r="A228" s="36">
        <f>IFERROR(__xludf.DUMMYFUNCTION("""COMPUTED_VALUE"""),227.0)</f>
        <v>227</v>
      </c>
      <c r="B228" s="37" t="str">
        <f>IFERROR(__xludf.DUMMYFUNCTION("""COMPUTED_VALUE"""),"NUR ADILA FITRI")</f>
        <v>NUR ADILA FITRI</v>
      </c>
      <c r="C228" s="38">
        <f>IFERROR(__xludf.DUMMYFUNCTION("""COMPUTED_VALUE"""),2.025070062E9)</f>
        <v>2025070062</v>
      </c>
      <c r="D228" s="37" t="str">
        <f>IFERROR(__xludf.DUMMYFUNCTION("""COMPUTED_VALUE"""),"MOH. YAMAN")</f>
        <v>MOH. YAMAN</v>
      </c>
      <c r="E228" s="37" t="str">
        <f>IFERROR(__xludf.DUMMYFUNCTION("""COMPUTED_VALUE"""),"MURIYEM")</f>
        <v>MURIYEM</v>
      </c>
      <c r="F228" s="37" t="str">
        <f>IFERROR(__xludf.DUMMYFUNCTION("""COMPUTED_VALUE"""),"BANYUBANG RT 011 RW 003 SOLOKURO LAMONGAN")</f>
        <v>BANYUBANG RT 011 RW 003 SOLOKURO LAMONGAN</v>
      </c>
      <c r="G228" s="38" t="str">
        <f>IFERROR(__xludf.DUMMYFUNCTION("""COMPUTED_VALUE"""),"MA-XI.12")</f>
        <v>MA-XI.12</v>
      </c>
      <c r="H228" s="36" t="str">
        <f>IFERROR(__xludf.DUMMYFUNCTION("""COMPUTED_VALUE"""),"C")</f>
        <v>C</v>
      </c>
      <c r="I228" s="42" t="str">
        <f>IFERROR(__xludf.DUMMYFUNCTION("""COMPUTED_VALUE"""),"C-10")</f>
        <v>C-10</v>
      </c>
      <c r="J228" s="40">
        <f>IFERROR(__xludf.DUMMYFUNCTION("""COMPUTED_VALUE"""),2.0)</f>
        <v>2</v>
      </c>
      <c r="K228" s="40" t="str">
        <f>IFERROR(__xludf.DUMMYFUNCTION("""COMPUTED_VALUE"""),"2 WUSTHO C PUTRI")</f>
        <v>2 WUSTHO C PUTRI</v>
      </c>
      <c r="L228" s="41" t="str">
        <f>IFERROR(__xludf.DUMMYFUNCTION("""COMPUTED_VALUE"""),"6285855012085")</f>
        <v>6285855012085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>
        <f>IFERROR(__xludf.DUMMYFUNCTION("""COMPUTED_VALUE"""),500000.0)</f>
        <v>500000</v>
      </c>
      <c r="AC228" s="42"/>
      <c r="AD228" s="42"/>
      <c r="AE228" s="43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>
        <f>IFERROR(__xludf.DUMMYFUNCTION("""COMPUTED_VALUE"""),500000.0)</f>
        <v>500000</v>
      </c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IFERROR(__xludf.DUMMYFUNCTION("""COMPUTED_VALUE"""),1000000.0)</f>
        <v>1000000</v>
      </c>
      <c r="BE228" s="43">
        <f>IFERROR(__xludf.DUMMYFUNCTION("""COMPUTED_VALUE"""),0.0)</f>
        <v>0</v>
      </c>
      <c r="BF228" s="44">
        <f>IFERROR(__xludf.DUMMYFUNCTION("""COMPUTED_VALUE"""),1000000.0)</f>
        <v>1000000</v>
      </c>
      <c r="BG228" s="42"/>
      <c r="BH228" s="42"/>
      <c r="BI228" s="42"/>
      <c r="BJ228" s="45"/>
      <c r="BK228" s="45"/>
      <c r="BL228" s="45"/>
      <c r="BM228" s="45"/>
      <c r="BN228" s="45"/>
      <c r="BO228" s="46"/>
    </row>
    <row r="229">
      <c r="A229" s="47">
        <f>IFERROR(__xludf.DUMMYFUNCTION("""COMPUTED_VALUE"""),228.0)</f>
        <v>228</v>
      </c>
      <c r="B229" s="48" t="str">
        <f>IFERROR(__xludf.DUMMYFUNCTION("""COMPUTED_VALUE"""),"NUR QOMARIYAH")</f>
        <v>NUR QOMARIYAH</v>
      </c>
      <c r="C229" s="49">
        <f>IFERROR(__xludf.DUMMYFUNCTION("""COMPUTED_VALUE"""),2.025070347E9)</f>
        <v>2025070347</v>
      </c>
      <c r="D229" s="48" t="str">
        <f>IFERROR(__xludf.DUMMYFUNCTION("""COMPUTED_VALUE"""),"SUTA`AT")</f>
        <v>SUTA`AT</v>
      </c>
      <c r="E229" s="48" t="str">
        <f>IFERROR(__xludf.DUMMYFUNCTION("""COMPUTED_VALUE"""),"SUCI SANIA")</f>
        <v>SUCI SANIA</v>
      </c>
      <c r="F229" s="48" t="str">
        <f>IFERROR(__xludf.DUMMYFUNCTION("""COMPUTED_VALUE"""),"PILANG TEJOASRI RT 003 RW 001 LAREN LAMONGAN")</f>
        <v>PILANG TEJOASRI RT 003 RW 001 LAREN LAMONGAN</v>
      </c>
      <c r="G229" s="50" t="str">
        <f>IFERROR(__xludf.DUMMYFUNCTION("""COMPUTED_VALUE"""),"MA-XI.6")</f>
        <v>MA-XI.6</v>
      </c>
      <c r="H229" s="47" t="str">
        <f>IFERROR(__xludf.DUMMYFUNCTION("""COMPUTED_VALUE"""),"C")</f>
        <v>C</v>
      </c>
      <c r="I229" s="51" t="str">
        <f>IFERROR(__xludf.DUMMYFUNCTION("""COMPUTED_VALUE"""),"C-10")</f>
        <v>C-10</v>
      </c>
      <c r="J229" s="51">
        <f>IFERROR(__xludf.DUMMYFUNCTION("""COMPUTED_VALUE"""),2.0)</f>
        <v>2</v>
      </c>
      <c r="K229" s="51" t="str">
        <f>IFERROR(__xludf.DUMMYFUNCTION("""COMPUTED_VALUE"""),"2 WUSTHO C PUTRI")</f>
        <v>2 WUSTHO C PUTRI</v>
      </c>
      <c r="L229" s="52" t="str">
        <f>IFERROR(__xludf.DUMMYFUNCTION("""COMPUTED_VALUE"""),"6288991851255")</f>
        <v>6288991851255</v>
      </c>
      <c r="M229" s="53">
        <f>IFERROR(__xludf.DUMMYFUNCTION("""COMPUTED_VALUE"""),600000.0)</f>
        <v>600000</v>
      </c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>
        <f>IFERROR(__xludf.DUMMYFUNCTION("""COMPUTED_VALUE"""),450000.0)</f>
        <v>450000</v>
      </c>
      <c r="AA229" s="53"/>
      <c r="AB229" s="54">
        <f>IFERROR(__xludf.DUMMYFUNCTION("""COMPUTED_VALUE"""),500000.0)</f>
        <v>500000</v>
      </c>
      <c r="AC229" s="53"/>
      <c r="AD229" s="54"/>
      <c r="AE229" s="54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>
        <f>IFERROR(__xludf.DUMMYFUNCTION("""COMPUTED_VALUE"""),500000.0)</f>
        <v>500000</v>
      </c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IFERROR(__xludf.DUMMYFUNCTION("""COMPUTED_VALUE"""),450000.0)</f>
        <v>450000</v>
      </c>
      <c r="BD229" s="54">
        <f>IFERROR(__xludf.DUMMYFUNCTION("""COMPUTED_VALUE"""),1600000.0)</f>
        <v>1600000</v>
      </c>
      <c r="BE229" s="54">
        <f>IFERROR(__xludf.DUMMYFUNCTION("""COMPUTED_VALUE"""),0.0)</f>
        <v>0</v>
      </c>
      <c r="BF229" s="55">
        <f>IFERROR(__xludf.DUMMYFUNCTION("""COMPUTED_VALUE"""),2050000.0)</f>
        <v>2050000</v>
      </c>
      <c r="BG229" s="53"/>
      <c r="BH229" s="53"/>
      <c r="BI229" s="53"/>
      <c r="BJ229" s="45"/>
      <c r="BK229" s="45"/>
      <c r="BL229" s="45"/>
      <c r="BM229" s="45"/>
      <c r="BN229" s="45"/>
      <c r="BO229" s="46"/>
    </row>
    <row r="230">
      <c r="A230" s="36">
        <f>IFERROR(__xludf.DUMMYFUNCTION("""COMPUTED_VALUE"""),229.0)</f>
        <v>229</v>
      </c>
      <c r="B230" s="37" t="str">
        <f>IFERROR(__xludf.DUMMYFUNCTION("""COMPUTED_VALUE"""),"NURUL AINI LAILIYAH")</f>
        <v>NURUL AINI LAILIYAH</v>
      </c>
      <c r="C230" s="38">
        <f>IFERROR(__xludf.DUMMYFUNCTION("""COMPUTED_VALUE"""),2.025070567E9)</f>
        <v>2025070567</v>
      </c>
      <c r="D230" s="37" t="str">
        <f>IFERROR(__xludf.DUMMYFUNCTION("""COMPUTED_VALUE"""),"SYAFI`I")</f>
        <v>SYAFI`I</v>
      </c>
      <c r="E230" s="37" t="str">
        <f>IFERROR(__xludf.DUMMYFUNCTION("""COMPUTED_VALUE"""),"ALIMATUS SHOLIKHAH")</f>
        <v>ALIMATUS SHOLIKHAH</v>
      </c>
      <c r="F230" s="37" t="str">
        <f>IFERROR(__xludf.DUMMYFUNCTION("""COMPUTED_VALUE"""),"KEBEN RT 002 RW 001 TURI LAMONGAN")</f>
        <v>KEBEN RT 002 RW 001 TURI LAMONGAN</v>
      </c>
      <c r="G230" s="39" t="str">
        <f>IFERROR(__xludf.DUMMYFUNCTION("""COMPUTED_VALUE"""),"MTS-8 D")</f>
        <v>MTS-8 D</v>
      </c>
      <c r="H230" s="36" t="str">
        <f>IFERROR(__xludf.DUMMYFUNCTION("""COMPUTED_VALUE"""),"C")</f>
        <v>C</v>
      </c>
      <c r="I230" s="42" t="str">
        <f>IFERROR(__xludf.DUMMYFUNCTION("""COMPUTED_VALUE"""),"C-13")</f>
        <v>C-13</v>
      </c>
      <c r="J230" s="40">
        <f>IFERROR(__xludf.DUMMYFUNCTION("""COMPUTED_VALUE"""),2.0)</f>
        <v>2</v>
      </c>
      <c r="K230" s="40" t="str">
        <f>IFERROR(__xludf.DUMMYFUNCTION("""COMPUTED_VALUE"""),"2 ULA B PUTRI")</f>
        <v>2 ULA B PUTRI</v>
      </c>
      <c r="L230" s="41" t="str">
        <f>IFERROR(__xludf.DUMMYFUNCTION("""COMPUTED_VALUE"""),"628121782262")</f>
        <v>628121782262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3"/>
      <c r="AC230" s="42"/>
      <c r="AD230" s="42"/>
      <c r="AE230" s="43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IFERROR(__xludf.DUMMYFUNCTION("""COMPUTED_VALUE"""),0.0)</f>
        <v>0</v>
      </c>
      <c r="BE230" s="43">
        <f>IFERROR(__xludf.DUMMYFUNCTION("""COMPUTED_VALUE"""),0.0)</f>
        <v>0</v>
      </c>
      <c r="BF230" s="44">
        <f>IFERROR(__xludf.DUMMYFUNCTION("""COMPUTED_VALUE"""),0.0)</f>
        <v>0</v>
      </c>
      <c r="BG230" s="42"/>
      <c r="BH230" s="42"/>
      <c r="BI230" s="42"/>
      <c r="BJ230" s="45"/>
      <c r="BK230" s="45"/>
      <c r="BL230" s="45"/>
      <c r="BM230" s="45"/>
      <c r="BN230" s="45"/>
      <c r="BO230" s="46"/>
    </row>
    <row r="231">
      <c r="A231" s="47">
        <f>IFERROR(__xludf.DUMMYFUNCTION("""COMPUTED_VALUE"""),230.0)</f>
        <v>230</v>
      </c>
      <c r="B231" s="48" t="str">
        <f>IFERROR(__xludf.DUMMYFUNCTION("""COMPUTED_VALUE"""),"NURUL HAFIZAH")</f>
        <v>NURUL HAFIZAH</v>
      </c>
      <c r="C231" s="49">
        <f>IFERROR(__xludf.DUMMYFUNCTION("""COMPUTED_VALUE"""),2.025070237E9)</f>
        <v>2025070237</v>
      </c>
      <c r="D231" s="48" t="str">
        <f>IFERROR(__xludf.DUMMYFUNCTION("""COMPUTED_VALUE"""),"AHMAD ZAINI")</f>
        <v>AHMAD ZAINI</v>
      </c>
      <c r="E231" s="48" t="str">
        <f>IFERROR(__xludf.DUMMYFUNCTION("""COMPUTED_VALUE"""),"SITI THOYYIBATUN NI`MAH")</f>
        <v>SITI THOYYIBATUN NI`MAH</v>
      </c>
      <c r="F231" s="48" t="str">
        <f>IFERROR(__xludf.DUMMYFUNCTION("""COMPUTED_VALUE"""),"DAGAN RT 003 RW 002 SOLOKURO LAMONGAN")</f>
        <v>DAGAN RT 003 RW 002 SOLOKURO LAMONGAN</v>
      </c>
      <c r="G231" s="49" t="str">
        <f>IFERROR(__xludf.DUMMYFUNCTION("""COMPUTED_VALUE"""),"MA-XI.3")</f>
        <v>MA-XI.3</v>
      </c>
      <c r="H231" s="47" t="str">
        <f>IFERROR(__xludf.DUMMYFUNCTION("""COMPUTED_VALUE"""),"C")</f>
        <v>C</v>
      </c>
      <c r="I231" s="51" t="str">
        <f>IFERROR(__xludf.DUMMYFUNCTION("""COMPUTED_VALUE"""),"C-10")</f>
        <v>C-10</v>
      </c>
      <c r="J231" s="51">
        <f>IFERROR(__xludf.DUMMYFUNCTION("""COMPUTED_VALUE"""),2.0)</f>
        <v>2</v>
      </c>
      <c r="K231" s="51" t="str">
        <f>IFERROR(__xludf.DUMMYFUNCTION("""COMPUTED_VALUE"""),"2 WUSTHO A PUTRI")</f>
        <v>2 WUSTHO A PUTRI</v>
      </c>
      <c r="L231" s="52" t="str">
        <f>IFERROR(__xludf.DUMMYFUNCTION("""COMPUTED_VALUE"""),"6285648857302")</f>
        <v>6285648857302</v>
      </c>
      <c r="M231" s="54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4"/>
      <c r="AC231" s="53"/>
      <c r="AD231" s="53"/>
      <c r="AE231" s="54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4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IFERROR(__xludf.DUMMYFUNCTION("""COMPUTED_VALUE"""),0.0)</f>
        <v>0</v>
      </c>
      <c r="BD231" s="54">
        <f>IFERROR(__xludf.DUMMYFUNCTION("""COMPUTED_VALUE"""),0.0)</f>
        <v>0</v>
      </c>
      <c r="BE231" s="54">
        <f>IFERROR(__xludf.DUMMYFUNCTION("""COMPUTED_VALUE"""),0.0)</f>
        <v>0</v>
      </c>
      <c r="BF231" s="55">
        <f>IFERROR(__xludf.DUMMYFUNCTION("""COMPUTED_VALUE"""),0.0)</f>
        <v>0</v>
      </c>
      <c r="BG231" s="53"/>
      <c r="BH231" s="53"/>
      <c r="BI231" s="53"/>
      <c r="BJ231" s="45"/>
      <c r="BK231" s="45"/>
      <c r="BL231" s="45"/>
      <c r="BM231" s="45"/>
      <c r="BN231" s="45"/>
      <c r="BO231" s="46"/>
    </row>
    <row r="232">
      <c r="A232" s="36">
        <f>IFERROR(__xludf.DUMMYFUNCTION("""COMPUTED_VALUE"""),231.0)</f>
        <v>231</v>
      </c>
      <c r="B232" s="37" t="str">
        <f>IFERROR(__xludf.DUMMYFUNCTION("""COMPUTED_VALUE"""),"NUZULUL AINURROHMA")</f>
        <v>NUZULUL AINURROHMA</v>
      </c>
      <c r="C232" s="38">
        <f>IFERROR(__xludf.DUMMYFUNCTION("""COMPUTED_VALUE"""),2.025070584E9)</f>
        <v>2025070584</v>
      </c>
      <c r="D232" s="37" t="str">
        <f>IFERROR(__xludf.DUMMYFUNCTION("""COMPUTED_VALUE"""),"ASNAN")</f>
        <v>ASNAN</v>
      </c>
      <c r="E232" s="37" t="str">
        <f>IFERROR(__xludf.DUMMYFUNCTION("""COMPUTED_VALUE"""),"NUZULATUS SHOIDAH")</f>
        <v>NUZULATUS SHOIDAH</v>
      </c>
      <c r="F232" s="37" t="str">
        <f>IFERROR(__xludf.DUMMYFUNCTION("""COMPUTED_VALUE"""),"SAWO RT 008 RW 004 DUKUN DUKUN")</f>
        <v>SAWO RT 008 RW 004 DUKUN DUKUN</v>
      </c>
      <c r="G232" s="39" t="str">
        <f>IFERROR(__xludf.DUMMYFUNCTION("""COMPUTED_VALUE"""),"MTS-8 C")</f>
        <v>MTS-8 C</v>
      </c>
      <c r="H232" s="36" t="str">
        <f>IFERROR(__xludf.DUMMYFUNCTION("""COMPUTED_VALUE"""),"C")</f>
        <v>C</v>
      </c>
      <c r="I232" s="40" t="str">
        <f>IFERROR(__xludf.DUMMYFUNCTION("""COMPUTED_VALUE"""),"C-13")</f>
        <v>C-13</v>
      </c>
      <c r="J232" s="40">
        <f>IFERROR(__xludf.DUMMYFUNCTION("""COMPUTED_VALUE"""),2.0)</f>
        <v>2</v>
      </c>
      <c r="K232" s="40" t="str">
        <f>IFERROR(__xludf.DUMMYFUNCTION("""COMPUTED_VALUE"""),"2 ULA A PUTRI")</f>
        <v>2 ULA A PUTRI</v>
      </c>
      <c r="L232" s="41" t="str">
        <f>IFERROR(__xludf.DUMMYFUNCTION("""COMPUTED_VALUE"""),"6285649304810")</f>
        <v>6285649304810</v>
      </c>
      <c r="M232" s="43"/>
      <c r="N232" s="42"/>
      <c r="O232" s="42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>
        <f>IFERROR(__xludf.DUMMYFUNCTION("""COMPUTED_VALUE"""),500000.0)</f>
        <v>500000</v>
      </c>
      <c r="AC232" s="43"/>
      <c r="AD232" s="43"/>
      <c r="AE232" s="43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3">
        <f>IFERROR(__xludf.DUMMYFUNCTION("""COMPUTED_VALUE"""),500000.0)</f>
        <v>500000</v>
      </c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IFERROR(__xludf.DUMMYFUNCTION("""COMPUTED_VALUE"""),1000000.0)</f>
        <v>1000000</v>
      </c>
      <c r="BE232" s="43">
        <f>IFERROR(__xludf.DUMMYFUNCTION("""COMPUTED_VALUE"""),0.0)</f>
        <v>0</v>
      </c>
      <c r="BF232" s="44">
        <f>IFERROR(__xludf.DUMMYFUNCTION("""COMPUTED_VALUE"""),1000000.0)</f>
        <v>1000000</v>
      </c>
      <c r="BG232" s="42"/>
      <c r="BH232" s="42"/>
      <c r="BI232" s="42"/>
      <c r="BJ232" s="45"/>
      <c r="BK232" s="45"/>
      <c r="BL232" s="45"/>
      <c r="BM232" s="45"/>
      <c r="BN232" s="45"/>
      <c r="BO232" s="46"/>
    </row>
    <row r="233">
      <c r="A233" s="47">
        <f>IFERROR(__xludf.DUMMYFUNCTION("""COMPUTED_VALUE"""),232.0)</f>
        <v>232</v>
      </c>
      <c r="B233" s="48" t="str">
        <f>IFERROR(__xludf.DUMMYFUNCTION("""COMPUTED_VALUE"""),"PUTRI DEWI SEKAR SARI")</f>
        <v>PUTRI DEWI SEKAR SARI</v>
      </c>
      <c r="C233" s="49">
        <f>IFERROR(__xludf.DUMMYFUNCTION("""COMPUTED_VALUE"""),2.025070247E9)</f>
        <v>2025070247</v>
      </c>
      <c r="D233" s="48" t="str">
        <f>IFERROR(__xludf.DUMMYFUNCTION("""COMPUTED_VALUE"""),"KASIADI")</f>
        <v>KASIADI</v>
      </c>
      <c r="E233" s="48" t="str">
        <f>IFERROR(__xludf.DUMMYFUNCTION("""COMPUTED_VALUE"""),"SUSILOWATI")</f>
        <v>SUSILOWATI</v>
      </c>
      <c r="F233" s="48" t="str">
        <f>IFERROR(__xludf.DUMMYFUNCTION("""COMPUTED_VALUE"""),"GUCI RT 003 RW 001 KARANGGENENG LAMONGAN")</f>
        <v>GUCI RT 003 RW 001 KARANGGENENG LAMONGAN</v>
      </c>
      <c r="G233" s="50" t="str">
        <f>IFERROR(__xludf.DUMMYFUNCTION("""COMPUTED_VALUE"""),"MA-XI.1")</f>
        <v>MA-XI.1</v>
      </c>
      <c r="H233" s="47" t="str">
        <f>IFERROR(__xludf.DUMMYFUNCTION("""COMPUTED_VALUE"""),"C")</f>
        <v>C</v>
      </c>
      <c r="I233" s="53" t="str">
        <f>IFERROR(__xludf.DUMMYFUNCTION("""COMPUTED_VALUE"""),"C-6")</f>
        <v>C-6</v>
      </c>
      <c r="J233" s="51">
        <f>IFERROR(__xludf.DUMMYFUNCTION("""COMPUTED_VALUE"""),2.0)</f>
        <v>2</v>
      </c>
      <c r="K233" s="51" t="str">
        <f>IFERROR(__xludf.DUMMYFUNCTION("""COMPUTED_VALUE"""),"TAHFIDZ")</f>
        <v>TAHFIDZ</v>
      </c>
      <c r="L233" s="52" t="str">
        <f>IFERROR(__xludf.DUMMYFUNCTION("""COMPUTED_VALUE"""),"6285852532735")</f>
        <v>6285852532735</v>
      </c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>
        <f>IFERROR(__xludf.DUMMYFUNCTION("""COMPUTED_VALUE"""),500000.0)</f>
        <v>500000</v>
      </c>
      <c r="AC233" s="54"/>
      <c r="AD233" s="54"/>
      <c r="AE233" s="54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4">
        <f>IFERROR(__xludf.DUMMYFUNCTION("""COMPUTED_VALUE"""),500000.0)</f>
        <v>500000</v>
      </c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IFERROR(__xludf.DUMMYFUNCTION("""COMPUTED_VALUE"""),1000000.0)</f>
        <v>1000000</v>
      </c>
      <c r="BE233" s="54">
        <f>IFERROR(__xludf.DUMMYFUNCTION("""COMPUTED_VALUE"""),0.0)</f>
        <v>0</v>
      </c>
      <c r="BF233" s="55">
        <f>IFERROR(__xludf.DUMMYFUNCTION("""COMPUTED_VALUE"""),1000000.0)</f>
        <v>1000000</v>
      </c>
      <c r="BG233" s="53"/>
      <c r="BH233" s="53"/>
      <c r="BI233" s="53"/>
      <c r="BJ233" s="45"/>
      <c r="BK233" s="45"/>
      <c r="BL233" s="45"/>
      <c r="BM233" s="45"/>
      <c r="BN233" s="45"/>
      <c r="BO233" s="46"/>
    </row>
    <row r="234">
      <c r="A234" s="36">
        <f>IFERROR(__xludf.DUMMYFUNCTION("""COMPUTED_VALUE"""),233.0)</f>
        <v>233</v>
      </c>
      <c r="B234" s="37" t="str">
        <f>IFERROR(__xludf.DUMMYFUNCTION("""COMPUTED_VALUE"""),"PUTRI NOVIANA")</f>
        <v>PUTRI NOVIANA</v>
      </c>
      <c r="C234" s="38">
        <f>IFERROR(__xludf.DUMMYFUNCTION("""COMPUTED_VALUE"""),2.025070391E9)</f>
        <v>2025070391</v>
      </c>
      <c r="D234" s="37" t="str">
        <f>IFERROR(__xludf.DUMMYFUNCTION("""COMPUTED_VALUE"""),"M. YUYUS ANWAR")</f>
        <v>M. YUYUS ANWAR</v>
      </c>
      <c r="E234" s="37" t="str">
        <f>IFERROR(__xludf.DUMMYFUNCTION("""COMPUTED_VALUE"""),"SIFAURROHMAH")</f>
        <v>SIFAURROHMAH</v>
      </c>
      <c r="F234" s="37" t="str">
        <f>IFERROR(__xludf.DUMMYFUNCTION("""COMPUTED_VALUE"""),"DARINGAN MAESAN RT 001 RW 008 MOJO KEDIRI")</f>
        <v>DARINGAN MAESAN RT 001 RW 008 MOJO KEDIRI</v>
      </c>
      <c r="G234" s="39" t="str">
        <f>IFERROR(__xludf.DUMMYFUNCTION("""COMPUTED_VALUE"""),"MA-XI.13")</f>
        <v>MA-XI.13</v>
      </c>
      <c r="H234" s="36" t="str">
        <f>IFERROR(__xludf.DUMMYFUNCTION("""COMPUTED_VALUE"""),"C")</f>
        <v>C</v>
      </c>
      <c r="I234" s="42" t="str">
        <f>IFERROR(__xludf.DUMMYFUNCTION("""COMPUTED_VALUE"""),"C-7")</f>
        <v>C-7</v>
      </c>
      <c r="J234" s="40">
        <f>IFERROR(__xludf.DUMMYFUNCTION("""COMPUTED_VALUE"""),2.0)</f>
        <v>2</v>
      </c>
      <c r="K234" s="40" t="str">
        <f>IFERROR(__xludf.DUMMYFUNCTION("""COMPUTED_VALUE"""),"2 MAK PUTRI")</f>
        <v>2 MAK PUTRI</v>
      </c>
      <c r="L234" s="41" t="str">
        <f>IFERROR(__xludf.DUMMYFUNCTION("""COMPUTED_VALUE"""),"6285707375910")</f>
        <v>6285707375910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3"/>
      <c r="Z234" s="43"/>
      <c r="AA234" s="43"/>
      <c r="AB234" s="43">
        <f>IFERROR(__xludf.DUMMYFUNCTION("""COMPUTED_VALUE"""),500000.0)</f>
        <v>500000</v>
      </c>
      <c r="AC234" s="43"/>
      <c r="AD234" s="43"/>
      <c r="AE234" s="43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3">
        <f>IFERROR(__xludf.DUMMYFUNCTION("""COMPUTED_VALUE"""),500000.0)</f>
        <v>500000</v>
      </c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IFERROR(__xludf.DUMMYFUNCTION("""COMPUTED_VALUE"""),0.0)</f>
        <v>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IFERROR(__xludf.DUMMYFUNCTION("""COMPUTED_VALUE"""),1000000.0)</f>
        <v>1000000</v>
      </c>
      <c r="BG234" s="42"/>
      <c r="BH234" s="42"/>
      <c r="BI234" s="42"/>
      <c r="BJ234" s="45"/>
      <c r="BK234" s="45"/>
      <c r="BL234" s="45"/>
      <c r="BM234" s="45"/>
      <c r="BN234" s="45"/>
      <c r="BO234" s="46"/>
    </row>
    <row r="235">
      <c r="A235" s="47">
        <f>IFERROR(__xludf.DUMMYFUNCTION("""COMPUTED_VALUE"""),234.0)</f>
        <v>234</v>
      </c>
      <c r="B235" s="48" t="str">
        <f>IFERROR(__xludf.DUMMYFUNCTION("""COMPUTED_VALUE"""),"RARA CINDRA NATASYA")</f>
        <v>RARA CINDRA NATASYA</v>
      </c>
      <c r="C235" s="49">
        <f>IFERROR(__xludf.DUMMYFUNCTION("""COMPUTED_VALUE"""),2.025070387E9)</f>
        <v>2025070387</v>
      </c>
      <c r="D235" s="48" t="str">
        <f>IFERROR(__xludf.DUMMYFUNCTION("""COMPUTED_VALUE"""),"SARIYANTO")</f>
        <v>SARIYANTO</v>
      </c>
      <c r="E235" s="48" t="str">
        <f>IFERROR(__xludf.DUMMYFUNCTION("""COMPUTED_VALUE"""),"HARTIK")</f>
        <v>HARTIK</v>
      </c>
      <c r="F235" s="48" t="str">
        <f>IFERROR(__xludf.DUMMYFUNCTION("""COMPUTED_VALUE"""),"TAMAN PRIJEK TAMANPRIJEG RT 002 RW 001 LAREN LAMONGAN")</f>
        <v>TAMAN PRIJEK TAMANPRIJEG RT 002 RW 001 LAREN LAMONGAN</v>
      </c>
      <c r="G235" s="50" t="str">
        <f>IFERROR(__xludf.DUMMYFUNCTION("""COMPUTED_VALUE"""),"MA-XI.13")</f>
        <v>MA-XI.13</v>
      </c>
      <c r="H235" s="47" t="str">
        <f>IFERROR(__xludf.DUMMYFUNCTION("""COMPUTED_VALUE"""),"C")</f>
        <v>C</v>
      </c>
      <c r="I235" s="51" t="str">
        <f>IFERROR(__xludf.DUMMYFUNCTION("""COMPUTED_VALUE"""),"C-7")</f>
        <v>C-7</v>
      </c>
      <c r="J235" s="51">
        <f>IFERROR(__xludf.DUMMYFUNCTION("""COMPUTED_VALUE"""),2.0)</f>
        <v>2</v>
      </c>
      <c r="K235" s="51" t="str">
        <f>IFERROR(__xludf.DUMMYFUNCTION("""COMPUTED_VALUE"""),"2 MAK PUTRI")</f>
        <v>2 MAK PUTRI</v>
      </c>
      <c r="L235" s="52" t="str">
        <f>IFERROR(__xludf.DUMMYFUNCTION("""COMPUTED_VALUE"""),"6285707136264")</f>
        <v>6285707136264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4">
        <f>IFERROR(__xludf.DUMMYFUNCTION("""COMPUTED_VALUE"""),500000.0)</f>
        <v>500000</v>
      </c>
      <c r="AC235" s="53"/>
      <c r="AD235" s="53"/>
      <c r="AE235" s="54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4">
        <f>IFERROR(__xludf.DUMMYFUNCTION("""COMPUTED_VALUE"""),500000.0)</f>
        <v>500000</v>
      </c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IFERROR(__xludf.DUMMYFUNCTION("""COMPUTED_VALUE"""),1000000.0)</f>
        <v>1000000</v>
      </c>
      <c r="BE235" s="54">
        <f>IFERROR(__xludf.DUMMYFUNCTION("""COMPUTED_VALUE"""),0.0)</f>
        <v>0</v>
      </c>
      <c r="BF235" s="55">
        <f>IFERROR(__xludf.DUMMYFUNCTION("""COMPUTED_VALUE"""),1000000.0)</f>
        <v>1000000</v>
      </c>
      <c r="BG235" s="53"/>
      <c r="BH235" s="53"/>
      <c r="BI235" s="53"/>
      <c r="BJ235" s="45"/>
      <c r="BK235" s="45"/>
      <c r="BL235" s="45"/>
      <c r="BM235" s="45"/>
      <c r="BN235" s="45"/>
      <c r="BO235" s="46"/>
    </row>
    <row r="236">
      <c r="A236" s="36">
        <f>IFERROR(__xludf.DUMMYFUNCTION("""COMPUTED_VALUE"""),235.0)</f>
        <v>235</v>
      </c>
      <c r="B236" s="37" t="str">
        <f>IFERROR(__xludf.DUMMYFUNCTION("""COMPUTED_VALUE"""),"REVANA HIKMATUL AULIA")</f>
        <v>REVANA HIKMATUL AULIA</v>
      </c>
      <c r="C236" s="38">
        <f>IFERROR(__xludf.DUMMYFUNCTION("""COMPUTED_VALUE"""),2.025070225E9)</f>
        <v>2025070225</v>
      </c>
      <c r="D236" s="37" t="str">
        <f>IFERROR(__xludf.DUMMYFUNCTION("""COMPUTED_VALUE"""),"NUR HASAN")</f>
        <v>NUR HASAN</v>
      </c>
      <c r="E236" s="37" t="str">
        <f>IFERROR(__xludf.DUMMYFUNCTION("""COMPUTED_VALUE"""),"KHUSNUL KHOTIMAH ")</f>
        <v>KHUSNUL KHOTIMAH </v>
      </c>
      <c r="F236" s="37" t="str">
        <f>IFERROR(__xludf.DUMMYFUNCTION("""COMPUTED_VALUE"""),"BLURI RT 012 RW 003 SOLOKURO LAMONGAN")</f>
        <v>BLURI RT 012 RW 003 SOLOKURO LAMONGAN</v>
      </c>
      <c r="G236" s="39" t="str">
        <f>IFERROR(__xludf.DUMMYFUNCTION("""COMPUTED_VALUE"""),"MA-XI.8")</f>
        <v>MA-XI.8</v>
      </c>
      <c r="H236" s="36" t="str">
        <f>IFERROR(__xludf.DUMMYFUNCTION("""COMPUTED_VALUE"""),"C")</f>
        <v>C</v>
      </c>
      <c r="I236" s="40" t="str">
        <f>IFERROR(__xludf.DUMMYFUNCTION("""COMPUTED_VALUE"""),"C-10")</f>
        <v>C-10</v>
      </c>
      <c r="J236" s="40">
        <f>IFERROR(__xludf.DUMMYFUNCTION("""COMPUTED_VALUE"""),2.0)</f>
        <v>2</v>
      </c>
      <c r="K236" s="40" t="str">
        <f>IFERROR(__xludf.DUMMYFUNCTION("""COMPUTED_VALUE"""),"2 WUSTHO A PUTRI")</f>
        <v>2 WUSTHO A PUTRI</v>
      </c>
      <c r="L236" s="41" t="str">
        <f>IFERROR(__xludf.DUMMYFUNCTION("""COMPUTED_VALUE"""),"628155162065")</f>
        <v>628155162065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>
        <f>IFERROR(__xludf.DUMMYFUNCTION("""COMPUTED_VALUE"""),450000.0)</f>
        <v>450000</v>
      </c>
      <c r="AA236" s="42"/>
      <c r="AB236" s="43">
        <f>IFERROR(__xludf.DUMMYFUNCTION("""COMPUTED_VALUE"""),500000.0)</f>
        <v>500000</v>
      </c>
      <c r="AC236" s="43"/>
      <c r="AD236" s="43"/>
      <c r="AE236" s="43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3">
        <f>IFERROR(__xludf.DUMMYFUNCTION("""COMPUTED_VALUE"""),500000.0)</f>
        <v>500000</v>
      </c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42"/>
      <c r="BH236" s="42"/>
      <c r="BI236" s="42"/>
      <c r="BJ236" s="45"/>
      <c r="BK236" s="45"/>
      <c r="BL236" s="45"/>
      <c r="BM236" s="45"/>
      <c r="BN236" s="45"/>
      <c r="BO236" s="46"/>
    </row>
    <row r="237">
      <c r="A237" s="47">
        <f>IFERROR(__xludf.DUMMYFUNCTION("""COMPUTED_VALUE"""),236.0)</f>
        <v>236</v>
      </c>
      <c r="B237" s="48" t="str">
        <f>IFERROR(__xludf.DUMMYFUNCTION("""COMPUTED_VALUE"""),"REVANI PUTRI ANGGRAENI")</f>
        <v>REVANI PUTRI ANGGRAENI</v>
      </c>
      <c r="C237" s="49">
        <f>IFERROR(__xludf.DUMMYFUNCTION("""COMPUTED_VALUE"""),2.025070128E9)</f>
        <v>2025070128</v>
      </c>
      <c r="D237" s="48" t="str">
        <f>IFERROR(__xludf.DUMMYFUNCTION("""COMPUTED_VALUE"""),"BENI ISWANTO")</f>
        <v>BENI ISWANTO</v>
      </c>
      <c r="E237" s="48" t="str">
        <f>IFERROR(__xludf.DUMMYFUNCTION("""COMPUTED_VALUE"""),"SELVIA ANGGRAENI")</f>
        <v>SELVIA ANGGRAENI</v>
      </c>
      <c r="F237" s="48" t="str">
        <f>IFERROR(__xludf.DUMMYFUNCTION("""COMPUTED_VALUE"""),"PADENGANPLOSO RT 011 RW 001 PUCUK LAMONGAN")</f>
        <v>PADENGANPLOSO RT 011 RW 001 PUCUK LAMONGAN</v>
      </c>
      <c r="G237" s="50" t="str">
        <f>IFERROR(__xludf.DUMMYFUNCTION("""COMPUTED_VALUE"""),"MA-XI.13")</f>
        <v>MA-XI.13</v>
      </c>
      <c r="H237" s="47" t="str">
        <f>IFERROR(__xludf.DUMMYFUNCTION("""COMPUTED_VALUE"""),"C")</f>
        <v>C</v>
      </c>
      <c r="I237" s="51" t="str">
        <f>IFERROR(__xludf.DUMMYFUNCTION("""COMPUTED_VALUE"""),"C-7")</f>
        <v>C-7</v>
      </c>
      <c r="J237" s="51">
        <f>IFERROR(__xludf.DUMMYFUNCTION("""COMPUTED_VALUE"""),2.0)</f>
        <v>2</v>
      </c>
      <c r="K237" s="51" t="str">
        <f>IFERROR(__xludf.DUMMYFUNCTION("""COMPUTED_VALUE"""),"2 MAK PUTRI")</f>
        <v>2 MAK PUTRI</v>
      </c>
      <c r="L237" s="50" t="str">
        <f>IFERROR(__xludf.DUMMYFUNCTION("""COMPUTED_VALUE"""),"6285785848825")</f>
        <v>6285785848825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4">
        <f>IFERROR(__xludf.DUMMYFUNCTION("""COMPUTED_VALUE"""),500000.0)</f>
        <v>500000</v>
      </c>
      <c r="AC237" s="53"/>
      <c r="AD237" s="53"/>
      <c r="AE237" s="54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4">
        <f>IFERROR(__xludf.DUMMYFUNCTION("""COMPUTED_VALUE"""),500000.0)</f>
        <v>500000</v>
      </c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IFERROR(__xludf.DUMMYFUNCTION("""COMPUTED_VALUE"""),1000000.0)</f>
        <v>1000000</v>
      </c>
      <c r="BE237" s="54">
        <f>IFERROR(__xludf.DUMMYFUNCTION("""COMPUTED_VALUE"""),0.0)</f>
        <v>0</v>
      </c>
      <c r="BF237" s="55">
        <f>IFERROR(__xludf.DUMMYFUNCTION("""COMPUTED_VALUE"""),1000000.0)</f>
        <v>1000000</v>
      </c>
      <c r="BG237" s="53"/>
      <c r="BH237" s="53"/>
      <c r="BI237" s="53"/>
      <c r="BJ237" s="45"/>
      <c r="BK237" s="45"/>
      <c r="BL237" s="45"/>
      <c r="BM237" s="45"/>
      <c r="BN237" s="45"/>
      <c r="BO237" s="46"/>
    </row>
    <row r="238">
      <c r="A238" s="36">
        <f>IFERROR(__xludf.DUMMYFUNCTION("""COMPUTED_VALUE"""),237.0)</f>
        <v>237</v>
      </c>
      <c r="B238" s="37" t="str">
        <f>IFERROR(__xludf.DUMMYFUNCTION("""COMPUTED_VALUE"""),"SAFNA NUR AULIYA`")</f>
        <v>SAFNA NUR AULIYA`</v>
      </c>
      <c r="C238" s="38">
        <f>IFERROR(__xludf.DUMMYFUNCTION("""COMPUTED_VALUE"""),2.025070153E9)</f>
        <v>2025070153</v>
      </c>
      <c r="D238" s="37" t="str">
        <f>IFERROR(__xludf.DUMMYFUNCTION("""COMPUTED_VALUE"""),"A YANI")</f>
        <v>A YANI</v>
      </c>
      <c r="E238" s="37" t="str">
        <f>IFERROR(__xludf.DUMMYFUNCTION("""COMPUTED_VALUE"""),"KHOIROH NISWATIN")</f>
        <v>KHOIROH NISWATIN</v>
      </c>
      <c r="F238" s="37" t="str">
        <f>IFERROR(__xludf.DUMMYFUNCTION("""COMPUTED_VALUE"""),"BESUR RT 005 RW 003 SEKARAN LAMONGAN")</f>
        <v>BESUR RT 005 RW 003 SEKARAN LAMONGAN</v>
      </c>
      <c r="G238" s="39" t="str">
        <f>IFERROR(__xludf.DUMMYFUNCTION("""COMPUTED_VALUE"""),"MA-XI.4")</f>
        <v>MA-XI.4</v>
      </c>
      <c r="H238" s="36" t="str">
        <f>IFERROR(__xludf.DUMMYFUNCTION("""COMPUTED_VALUE"""),"C")</f>
        <v>C</v>
      </c>
      <c r="I238" s="42" t="str">
        <f>IFERROR(__xludf.DUMMYFUNCTION("""COMPUTED_VALUE"""),"C-10")</f>
        <v>C-10</v>
      </c>
      <c r="J238" s="40">
        <f>IFERROR(__xludf.DUMMYFUNCTION("""COMPUTED_VALUE"""),2.0)</f>
        <v>2</v>
      </c>
      <c r="K238" s="40" t="str">
        <f>IFERROR(__xludf.DUMMYFUNCTION("""COMPUTED_VALUE"""),"2 WUSTHO C PUTRI")</f>
        <v>2 WUSTHO C PUTRI</v>
      </c>
      <c r="L238" s="39" t="str">
        <f>IFERROR(__xludf.DUMMYFUNCTION("""COMPUTED_VALUE"""),"6282232129390")</f>
        <v>6282232129390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>
        <f>IFERROR(__xludf.DUMMYFUNCTION("""COMPUTED_VALUE"""),500000.0)</f>
        <v>500000</v>
      </c>
      <c r="AC238" s="42"/>
      <c r="AD238" s="42"/>
      <c r="AE238" s="43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3">
        <f>IFERROR(__xludf.DUMMYFUNCTION("""COMPUTED_VALUE"""),500000.0)</f>
        <v>500000</v>
      </c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IFERROR(__xludf.DUMMYFUNCTION("""COMPUTED_VALUE"""),1000000.0)</f>
        <v>1000000</v>
      </c>
      <c r="BE238" s="43">
        <f>IFERROR(__xludf.DUMMYFUNCTION("""COMPUTED_VALUE"""),0.0)</f>
        <v>0</v>
      </c>
      <c r="BF238" s="44">
        <f>IFERROR(__xludf.DUMMYFUNCTION("""COMPUTED_VALUE"""),1000000.0)</f>
        <v>1000000</v>
      </c>
      <c r="BG238" s="42"/>
      <c r="BH238" s="42"/>
      <c r="BI238" s="42"/>
      <c r="BJ238" s="45"/>
      <c r="BK238" s="45"/>
      <c r="BL238" s="45"/>
      <c r="BM238" s="45"/>
      <c r="BN238" s="45"/>
      <c r="BO238" s="46"/>
    </row>
    <row r="239">
      <c r="A239" s="47">
        <f>IFERROR(__xludf.DUMMYFUNCTION("""COMPUTED_VALUE"""),238.0)</f>
        <v>238</v>
      </c>
      <c r="B239" s="48" t="str">
        <f>IFERROR(__xludf.DUMMYFUNCTION("""COMPUTED_VALUE"""),"SALSA ZANI RAMADINA")</f>
        <v>SALSA ZANI RAMADINA</v>
      </c>
      <c r="C239" s="49">
        <f>IFERROR(__xludf.DUMMYFUNCTION("""COMPUTED_VALUE"""),2.025070011E9)</f>
        <v>2025070011</v>
      </c>
      <c r="D239" s="48" t="str">
        <f>IFERROR(__xludf.DUMMYFUNCTION("""COMPUTED_VALUE"""),"MATENUR")</f>
        <v>MATENUR</v>
      </c>
      <c r="E239" s="48" t="str">
        <f>IFERROR(__xludf.DUMMYFUNCTION("""COMPUTED_VALUE"""),"ALIYA")</f>
        <v>ALIYA</v>
      </c>
      <c r="F239" s="48" t="str">
        <f>IFERROR(__xludf.DUMMYFUNCTION("""COMPUTED_VALUE"""),"SEPAT TAMBAKMENJANGAN RT 001 RW 008 SARIREJO LAMONGAN")</f>
        <v>SEPAT TAMBAKMENJANGAN RT 001 RW 008 SARIREJO LAMONGAN</v>
      </c>
      <c r="G239" s="50" t="str">
        <f>IFERROR(__xludf.DUMMYFUNCTION("""COMPUTED_VALUE"""),"MA-XI.12")</f>
        <v>MA-XI.12</v>
      </c>
      <c r="H239" s="47" t="str">
        <f>IFERROR(__xludf.DUMMYFUNCTION("""COMPUTED_VALUE"""),"C")</f>
        <v>C</v>
      </c>
      <c r="I239" s="53" t="str">
        <f>IFERROR(__xludf.DUMMYFUNCTION("""COMPUTED_VALUE"""),"C-10")</f>
        <v>C-10</v>
      </c>
      <c r="J239" s="51">
        <f>IFERROR(__xludf.DUMMYFUNCTION("""COMPUTED_VALUE"""),2.0)</f>
        <v>2</v>
      </c>
      <c r="K239" s="51" t="str">
        <f>IFERROR(__xludf.DUMMYFUNCTION("""COMPUTED_VALUE"""),"2 WUSTHO C PUTRI")</f>
        <v>2 WUSTHO C PUTRI</v>
      </c>
      <c r="L239" s="52" t="str">
        <f>IFERROR(__xludf.DUMMYFUNCTION("""COMPUTED_VALUE"""),"6285136532021")</f>
        <v>6285136532021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>
        <f>IFERROR(__xludf.DUMMYFUNCTION("""COMPUTED_VALUE"""),500000.0)</f>
        <v>500000</v>
      </c>
      <c r="AC239" s="53"/>
      <c r="AD239" s="53"/>
      <c r="AE239" s="54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>
        <f>IFERROR(__xludf.DUMMYFUNCTION("""COMPUTED_VALUE"""),500000.0)</f>
        <v>500000</v>
      </c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IFERROR(__xludf.DUMMYFUNCTION("""COMPUTED_VALUE"""),0.0)</f>
        <v>0</v>
      </c>
      <c r="BD239" s="54">
        <f>IFERROR(__xludf.DUMMYFUNCTION("""COMPUTED_VALUE"""),1000000.0)</f>
        <v>1000000</v>
      </c>
      <c r="BE239" s="54">
        <f>IFERROR(__xludf.DUMMYFUNCTION("""COMPUTED_VALUE"""),0.0)</f>
        <v>0</v>
      </c>
      <c r="BF239" s="55">
        <f>IFERROR(__xludf.DUMMYFUNCTION("""COMPUTED_VALUE"""),1000000.0)</f>
        <v>1000000</v>
      </c>
      <c r="BG239" s="53"/>
      <c r="BH239" s="53"/>
      <c r="BI239" s="53"/>
      <c r="BJ239" s="45"/>
      <c r="BK239" s="45"/>
      <c r="BL239" s="45"/>
      <c r="BM239" s="45"/>
      <c r="BN239" s="45"/>
      <c r="BO239" s="46"/>
    </row>
    <row r="240">
      <c r="A240" s="36">
        <f>IFERROR(__xludf.DUMMYFUNCTION("""COMPUTED_VALUE"""),239.0)</f>
        <v>239</v>
      </c>
      <c r="B240" s="37" t="str">
        <f>IFERROR(__xludf.DUMMYFUNCTION("""COMPUTED_VALUE"""),"SALWA `ALINA ROSYADA")</f>
        <v>SALWA `ALINA ROSYADA</v>
      </c>
      <c r="C240" s="38">
        <f>IFERROR(__xludf.DUMMYFUNCTION("""COMPUTED_VALUE"""),2.025070064E9)</f>
        <v>2025070064</v>
      </c>
      <c r="D240" s="37" t="str">
        <f>IFERROR(__xludf.DUMMYFUNCTION("""COMPUTED_VALUE"""),"ISLAHUL FAUZI")</f>
        <v>ISLAHUL FAUZI</v>
      </c>
      <c r="E240" s="37" t="str">
        <f>IFERROR(__xludf.DUMMYFUNCTION("""COMPUTED_VALUE"""),"ALFATUN NIKMAH")</f>
        <v>ALFATUN NIKMAH</v>
      </c>
      <c r="F240" s="37" t="str">
        <f>IFERROR(__xludf.DUMMYFUNCTION("""COMPUTED_VALUE"""),"BLURI RT 001 RW 001 SOLOKURO LAMONGAN")</f>
        <v>BLURI RT 001 RW 001 SOLOKURO LAMONGAN</v>
      </c>
      <c r="G240" s="38" t="str">
        <f>IFERROR(__xludf.DUMMYFUNCTION("""COMPUTED_VALUE"""),"MA-XI.13")</f>
        <v>MA-XI.13</v>
      </c>
      <c r="H240" s="36" t="str">
        <f>IFERROR(__xludf.DUMMYFUNCTION("""COMPUTED_VALUE"""),"C")</f>
        <v>C</v>
      </c>
      <c r="I240" s="42" t="str">
        <f>IFERROR(__xludf.DUMMYFUNCTION("""COMPUTED_VALUE"""),"C-7")</f>
        <v>C-7</v>
      </c>
      <c r="J240" s="40">
        <f>IFERROR(__xludf.DUMMYFUNCTION("""COMPUTED_VALUE"""),2.0)</f>
        <v>2</v>
      </c>
      <c r="K240" s="40" t="str">
        <f>IFERROR(__xludf.DUMMYFUNCTION("""COMPUTED_VALUE"""),"2 MAK PUTRI")</f>
        <v>2 MAK PUTRI</v>
      </c>
      <c r="L240" s="41" t="str">
        <f>IFERROR(__xludf.DUMMYFUNCTION("""COMPUTED_VALUE"""),"6285731139975")</f>
        <v>6285731139975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>
        <f>IFERROR(__xludf.DUMMYFUNCTION("""COMPUTED_VALUE"""),500000.0)</f>
        <v>500000</v>
      </c>
      <c r="AC240" s="43"/>
      <c r="AD240" s="43"/>
      <c r="AE240" s="43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>
        <f>IFERROR(__xludf.DUMMYFUNCTION("""COMPUTED_VALUE"""),500000.0)</f>
        <v>500000</v>
      </c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IFERROR(__xludf.DUMMYFUNCTION("""COMPUTED_VALUE"""),1000000.0)</f>
        <v>1000000</v>
      </c>
      <c r="BE240" s="43">
        <f>IFERROR(__xludf.DUMMYFUNCTION("""COMPUTED_VALUE"""),0.0)</f>
        <v>0</v>
      </c>
      <c r="BF240" s="44">
        <f>IFERROR(__xludf.DUMMYFUNCTION("""COMPUTED_VALUE"""),1000000.0)</f>
        <v>1000000</v>
      </c>
      <c r="BG240" s="42"/>
      <c r="BH240" s="42"/>
      <c r="BI240" s="42"/>
      <c r="BJ240" s="45"/>
      <c r="BK240" s="45"/>
      <c r="BL240" s="45"/>
      <c r="BM240" s="45"/>
      <c r="BN240" s="45"/>
      <c r="BO240" s="46"/>
    </row>
    <row r="241">
      <c r="A241" s="47">
        <f>IFERROR(__xludf.DUMMYFUNCTION("""COMPUTED_VALUE"""),240.0)</f>
        <v>240</v>
      </c>
      <c r="B241" s="48" t="str">
        <f>IFERROR(__xludf.DUMMYFUNCTION("""COMPUTED_VALUE"""),"SALWA SHOFIYANA ATIQOH")</f>
        <v>SALWA SHOFIYANA ATIQOH</v>
      </c>
      <c r="C241" s="49">
        <f>IFERROR(__xludf.DUMMYFUNCTION("""COMPUTED_VALUE"""),2.025070183E9)</f>
        <v>2025070183</v>
      </c>
      <c r="D241" s="48" t="str">
        <f>IFERROR(__xludf.DUMMYFUNCTION("""COMPUTED_VALUE"""),"ALI AHMADI")</f>
        <v>ALI AHMADI</v>
      </c>
      <c r="E241" s="48" t="str">
        <f>IFERROR(__xludf.DUMMYFUNCTION("""COMPUTED_VALUE"""),"IIS IZZATUL LUTHFIYAH")</f>
        <v>IIS IZZATUL LUTHFIYAH</v>
      </c>
      <c r="F241" s="48" t="str">
        <f>IFERROR(__xludf.DUMMYFUNCTION("""COMPUTED_VALUE"""),"BANGERAN RT 003 RW 002 DUKUN GRESIK")</f>
        <v>BANGERAN RT 003 RW 002 DUKUN GRESIK</v>
      </c>
      <c r="G241" s="50" t="str">
        <f>IFERROR(__xludf.DUMMYFUNCTION("""COMPUTED_VALUE"""),"MA-XI.1")</f>
        <v>MA-XI.1</v>
      </c>
      <c r="H241" s="47" t="str">
        <f>IFERROR(__xludf.DUMMYFUNCTION("""COMPUTED_VALUE"""),"C")</f>
        <v>C</v>
      </c>
      <c r="I241" s="51" t="str">
        <f>IFERROR(__xludf.DUMMYFUNCTION("""COMPUTED_VALUE"""),"C-6")</f>
        <v>C-6</v>
      </c>
      <c r="J241" s="51">
        <f>IFERROR(__xludf.DUMMYFUNCTION("""COMPUTED_VALUE"""),2.0)</f>
        <v>2</v>
      </c>
      <c r="K241" s="51" t="str">
        <f>IFERROR(__xludf.DUMMYFUNCTION("""COMPUTED_VALUE"""),"TAHFIDZ")</f>
        <v>TAHFIDZ</v>
      </c>
      <c r="L241" s="52" t="str">
        <f>IFERROR(__xludf.DUMMYFUNCTION("""COMPUTED_VALUE"""),"6285829454955")</f>
        <v>6285829454955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4"/>
      <c r="AC241" s="53"/>
      <c r="AD241" s="54"/>
      <c r="AE241" s="54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4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3"/>
      <c r="BH241" s="53"/>
      <c r="BI241" s="53"/>
      <c r="BJ241" s="45"/>
      <c r="BK241" s="45"/>
      <c r="BL241" s="45"/>
      <c r="BM241" s="45"/>
      <c r="BN241" s="45"/>
      <c r="BO241" s="46"/>
    </row>
    <row r="242">
      <c r="A242" s="36">
        <f>IFERROR(__xludf.DUMMYFUNCTION("""COMPUTED_VALUE"""),241.0)</f>
        <v>241</v>
      </c>
      <c r="B242" s="37" t="str">
        <f>IFERROR(__xludf.DUMMYFUNCTION("""COMPUTED_VALUE"""),"SAVA NUR ALFIKA")</f>
        <v>SAVA NUR ALFIKA</v>
      </c>
      <c r="C242" s="38">
        <f>IFERROR(__xludf.DUMMYFUNCTION("""COMPUTED_VALUE"""),2.025070067E9)</f>
        <v>2025070067</v>
      </c>
      <c r="D242" s="37" t="str">
        <f>IFERROR(__xludf.DUMMYFUNCTION("""COMPUTED_VALUE"""),"MUFIDL")</f>
        <v>MUFIDL</v>
      </c>
      <c r="E242" s="37" t="str">
        <f>IFERROR(__xludf.DUMMYFUNCTION("""COMPUTED_VALUE"""),"SITI MUSLIKAH")</f>
        <v>SITI MUSLIKAH</v>
      </c>
      <c r="F242" s="37" t="str">
        <f>IFERROR(__xludf.DUMMYFUNCTION("""COMPUTED_VALUE"""),"JL. PUTRI AYU SIDOMULYO BABAKBAWO RT 011 RW 004 DUKUN GRESIK")</f>
        <v>JL. PUTRI AYU SIDOMULYO BABAKBAWO RT 011 RW 004 DUKUN GRESIK</v>
      </c>
      <c r="G242" s="38" t="str">
        <f>IFERROR(__xludf.DUMMYFUNCTION("""COMPUTED_VALUE"""),"MA-XI.5")</f>
        <v>MA-XI.5</v>
      </c>
      <c r="H242" s="36" t="str">
        <f>IFERROR(__xludf.DUMMYFUNCTION("""COMPUTED_VALUE"""),"C")</f>
        <v>C</v>
      </c>
      <c r="I242" s="42" t="str">
        <f>IFERROR(__xludf.DUMMYFUNCTION("""COMPUTED_VALUE"""),"C-10")</f>
        <v>C-10</v>
      </c>
      <c r="J242" s="40">
        <f>IFERROR(__xludf.DUMMYFUNCTION("""COMPUTED_VALUE"""),2.0)</f>
        <v>2</v>
      </c>
      <c r="K242" s="40" t="str">
        <f>IFERROR(__xludf.DUMMYFUNCTION("""COMPUTED_VALUE"""),"2 WUSTHO D PUTRI")</f>
        <v>2 WUSTHO D PUTRI</v>
      </c>
      <c r="L242" s="41" t="str">
        <f>IFERROR(__xludf.DUMMYFUNCTION("""COMPUTED_VALUE"""),"6281515801313")</f>
        <v>6281515801313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242" s="42"/>
      <c r="Z242" s="42">
        <f>IFERROR(__xludf.DUMMYFUNCTION("""COMPUTED_VALUE"""),450000.0)</f>
        <v>450000</v>
      </c>
      <c r="AA242" s="42"/>
      <c r="AB242" s="43">
        <f>IFERROR(__xludf.DUMMYFUNCTION("""COMPUTED_VALUE"""),500000.0)</f>
        <v>500000</v>
      </c>
      <c r="AC242" s="43"/>
      <c r="AD242" s="43"/>
      <c r="AE242" s="43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>
        <f>IFERROR(__xludf.DUMMYFUNCTION("""COMPUTED_VALUE"""),500000.0)</f>
        <v>500000</v>
      </c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IFERROR(__xludf.DUMMYFUNCTION("""COMPUTED_VALUE"""),450000.0)</f>
        <v>450000</v>
      </c>
      <c r="BD242" s="43">
        <f>IFERROR(__xludf.DUMMYFUNCTION("""COMPUTED_VALUE"""),1000000.0)</f>
        <v>1000000</v>
      </c>
      <c r="BE242" s="43">
        <f>IFERROR(__xludf.DUMMYFUNCTION("""COMPUTED_VALUE"""),0.0)</f>
        <v>0</v>
      </c>
      <c r="BF242" s="44">
        <f>IFERROR(__xludf.DUMMYFUNCTION("""COMPUTED_VALUE"""),1450000.0)</f>
        <v>1450000</v>
      </c>
      <c r="BG242" s="42"/>
      <c r="BH242" s="42"/>
      <c r="BI242" s="42"/>
      <c r="BJ242" s="45"/>
      <c r="BK242" s="45"/>
      <c r="BL242" s="45"/>
      <c r="BM242" s="45"/>
      <c r="BN242" s="45"/>
      <c r="BO242" s="46"/>
    </row>
    <row r="243">
      <c r="A243" s="47">
        <f>IFERROR(__xludf.DUMMYFUNCTION("""COMPUTED_VALUE"""),242.0)</f>
        <v>242</v>
      </c>
      <c r="B243" s="48" t="str">
        <f>IFERROR(__xludf.DUMMYFUNCTION("""COMPUTED_VALUE"""),"SHOFIYATUL AWWALIYYAH")</f>
        <v>SHOFIYATUL AWWALIYYAH</v>
      </c>
      <c r="C243" s="49">
        <f>IFERROR(__xludf.DUMMYFUNCTION("""COMPUTED_VALUE"""),2.025070255E9)</f>
        <v>2025070255</v>
      </c>
      <c r="D243" s="48" t="str">
        <f>IFERROR(__xludf.DUMMYFUNCTION("""COMPUTED_VALUE"""),"ABDUL GHOFUR")</f>
        <v>ABDUL GHOFUR</v>
      </c>
      <c r="E243" s="48" t="str">
        <f>IFERROR(__xludf.DUMMYFUNCTION("""COMPUTED_VALUE"""),"QOMARIYATUL HIDAYAH")</f>
        <v>QOMARIYATUL HIDAYAH</v>
      </c>
      <c r="F243" s="48" t="str">
        <f>IFERROR(__xludf.DUMMYFUNCTION("""COMPUTED_VALUE"""),"GAYAM PAYAMAN RT 004 RW 009 SOLOKURO LAMONGAN")</f>
        <v>GAYAM PAYAMAN RT 004 RW 009 SOLOKURO LAMONGAN</v>
      </c>
      <c r="G243" s="50" t="str">
        <f>IFERROR(__xludf.DUMMYFUNCTION("""COMPUTED_VALUE"""),"MA-XI.3")</f>
        <v>MA-XI.3</v>
      </c>
      <c r="H243" s="47" t="str">
        <f>IFERROR(__xludf.DUMMYFUNCTION("""COMPUTED_VALUE"""),"C")</f>
        <v>C</v>
      </c>
      <c r="I243" s="51" t="str">
        <f>IFERROR(__xludf.DUMMYFUNCTION("""COMPUTED_VALUE"""),"C-5")</f>
        <v>C-5</v>
      </c>
      <c r="J243" s="51">
        <f>IFERROR(__xludf.DUMMYFUNCTION("""COMPUTED_VALUE"""),2.0)</f>
        <v>2</v>
      </c>
      <c r="K243" s="51" t="str">
        <f>IFERROR(__xludf.DUMMYFUNCTION("""COMPUTED_VALUE"""),"2 WUSTHO A PUTRI")</f>
        <v>2 WUSTHO A PUTRI</v>
      </c>
      <c r="L243" s="52" t="str">
        <f>IFERROR(__xludf.DUMMYFUNCTION("""COMPUTED_VALUE"""),"6285746894245")</f>
        <v>6285746894245</v>
      </c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4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IFERROR(__xludf.DUMMYFUNCTION("""COMPUTED_VALUE"""),0.0)</f>
        <v>0</v>
      </c>
      <c r="BD243" s="54">
        <f>IFERROR(__xludf.DUMMYFUNCTION("""COMPUTED_VALUE"""),0.0)</f>
        <v>0</v>
      </c>
      <c r="BE243" s="54">
        <f>IFERROR(__xludf.DUMMYFUNCTION("""COMPUTED_VALUE"""),0.0)</f>
        <v>0</v>
      </c>
      <c r="BF243" s="55">
        <f>IFERROR(__xludf.DUMMYFUNCTION("""COMPUTED_VALUE"""),0.0)</f>
        <v>0</v>
      </c>
      <c r="BG243" s="53"/>
      <c r="BH243" s="53"/>
      <c r="BI243" s="53"/>
      <c r="BJ243" s="45"/>
      <c r="BK243" s="45"/>
      <c r="BL243" s="45"/>
      <c r="BM243" s="45"/>
      <c r="BN243" s="45"/>
      <c r="BO243" s="46"/>
    </row>
    <row r="244">
      <c r="A244" s="36">
        <f>IFERROR(__xludf.DUMMYFUNCTION("""COMPUTED_VALUE"""),243.0)</f>
        <v>243</v>
      </c>
      <c r="B244" s="37" t="str">
        <f>IFERROR(__xludf.DUMMYFUNCTION("""COMPUTED_VALUE"""),"SILAH KAMILAH")</f>
        <v>SILAH KAMILAH</v>
      </c>
      <c r="C244" s="38">
        <f>IFERROR(__xludf.DUMMYFUNCTION("""COMPUTED_VALUE"""),2.025070182E9)</f>
        <v>2025070182</v>
      </c>
      <c r="D244" s="37" t="str">
        <f>IFERROR(__xludf.DUMMYFUNCTION("""COMPUTED_VALUE"""),"MUJIONO")</f>
        <v>MUJIONO</v>
      </c>
      <c r="E244" s="37" t="str">
        <f>IFERROR(__xludf.DUMMYFUNCTION("""COMPUTED_VALUE"""),"ENDANG MUJIATI")</f>
        <v>ENDANG MUJIATI</v>
      </c>
      <c r="F244" s="37" t="str">
        <f>IFERROR(__xludf.DUMMYFUNCTION("""COMPUTED_VALUE"""),"BUGOHARJO RT 003 RW 005 PUCUK LAMONGAN")</f>
        <v>BUGOHARJO RT 003 RW 005 PUCUK LAMONGAN</v>
      </c>
      <c r="G244" s="39" t="str">
        <f>IFERROR(__xludf.DUMMYFUNCTION("""COMPUTED_VALUE"""),"MA-XI.2")</f>
        <v>MA-XI.2</v>
      </c>
      <c r="H244" s="36" t="str">
        <f>IFERROR(__xludf.DUMMYFUNCTION("""COMPUTED_VALUE"""),"C")</f>
        <v>C</v>
      </c>
      <c r="I244" s="40" t="str">
        <f>IFERROR(__xludf.DUMMYFUNCTION("""COMPUTED_VALUE"""),"C-10")</f>
        <v>C-10</v>
      </c>
      <c r="J244" s="40">
        <f>IFERROR(__xludf.DUMMYFUNCTION("""COMPUTED_VALUE"""),2.0)</f>
        <v>2</v>
      </c>
      <c r="K244" s="40" t="str">
        <f>IFERROR(__xludf.DUMMYFUNCTION("""COMPUTED_VALUE"""),"2 WUSTHO C PUTRI")</f>
        <v>2 WUSTHO C PUTRI</v>
      </c>
      <c r="L244" s="41" t="str">
        <f>IFERROR(__xludf.DUMMYFUNCTION("""COMPUTED_VALUE"""),"6285230611819")</f>
        <v>6285230611819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3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3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42"/>
      <c r="BH244" s="42"/>
      <c r="BI244" s="42"/>
      <c r="BJ244" s="45"/>
      <c r="BK244" s="45"/>
      <c r="BL244" s="45"/>
      <c r="BM244" s="45"/>
      <c r="BN244" s="45"/>
      <c r="BO244" s="46"/>
    </row>
    <row r="245">
      <c r="A245" s="47">
        <f>IFERROR(__xludf.DUMMYFUNCTION("""COMPUTED_VALUE"""),244.0)</f>
        <v>244</v>
      </c>
      <c r="B245" s="48" t="str">
        <f>IFERROR(__xludf.DUMMYFUNCTION("""COMPUTED_VALUE"""),"SINTA ROBBATUL BARIYAH")</f>
        <v>SINTA ROBBATUL BARIYAH</v>
      </c>
      <c r="C245" s="49">
        <f>IFERROR(__xludf.DUMMYFUNCTION("""COMPUTED_VALUE"""),2.025070292E9)</f>
        <v>2025070292</v>
      </c>
      <c r="D245" s="48" t="str">
        <f>IFERROR(__xludf.DUMMYFUNCTION("""COMPUTED_VALUE"""),"ISTIKLAN BUDI UTOMO")</f>
        <v>ISTIKLAN BUDI UTOMO</v>
      </c>
      <c r="E245" s="48" t="str">
        <f>IFERROR(__xludf.DUMMYFUNCTION("""COMPUTED_VALUE"""),"UMI HANIK")</f>
        <v>UMI HANIK</v>
      </c>
      <c r="F245" s="48" t="str">
        <f>IFERROR(__xludf.DUMMYFUNCTION("""COMPUTED_VALUE"""),"GUNDIK SUKOREJO RT 001 RW 004 KARANGBINANGUN LAMONGAN")</f>
        <v>GUNDIK SUKOREJO RT 001 RW 004 KARANGBINANGUN LAMONGAN</v>
      </c>
      <c r="G245" s="49" t="str">
        <f>IFERROR(__xludf.DUMMYFUNCTION("""COMPUTED_VALUE"""),"MA-XI.4")</f>
        <v>MA-XI.4</v>
      </c>
      <c r="H245" s="47" t="str">
        <f>IFERROR(__xludf.DUMMYFUNCTION("""COMPUTED_VALUE"""),"C")</f>
        <v>C</v>
      </c>
      <c r="I245" s="53" t="str">
        <f>IFERROR(__xludf.DUMMYFUNCTION("""COMPUTED_VALUE"""),"C-10")</f>
        <v>C-10</v>
      </c>
      <c r="J245" s="51">
        <f>IFERROR(__xludf.DUMMYFUNCTION("""COMPUTED_VALUE"""),2.0)</f>
        <v>2</v>
      </c>
      <c r="K245" s="51" t="str">
        <f>IFERROR(__xludf.DUMMYFUNCTION("""COMPUTED_VALUE"""),"2 WUSTHO A PUTRI")</f>
        <v>2 WUSTHO A PUTRI</v>
      </c>
      <c r="L245" s="52" t="str">
        <f>IFERROR(__xludf.DUMMYFUNCTION("""COMPUTED_VALUE"""),"6285850178252")</f>
        <v>6285850178252</v>
      </c>
      <c r="M245" s="53">
        <f>IFERROR(__xludf.DUMMYFUNCTION("""COMPUTED_VALUE"""),600000.0)</f>
        <v>600000</v>
      </c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>
        <f>IFERROR(__xludf.DUMMYFUNCTION("""COMPUTED_VALUE"""),450000.0)</f>
        <v>450000</v>
      </c>
      <c r="Z245" s="53">
        <f>IFERROR(__xludf.DUMMYFUNCTION("""COMPUTED_VALUE"""),450000.0)</f>
        <v>450000</v>
      </c>
      <c r="AA245" s="54"/>
      <c r="AB245" s="54">
        <f>IFERROR(__xludf.DUMMYFUNCTION("""COMPUTED_VALUE"""),500000.0)</f>
        <v>500000</v>
      </c>
      <c r="AC245" s="53"/>
      <c r="AD245" s="54"/>
      <c r="AE245" s="54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4">
        <f>IFERROR(__xludf.DUMMYFUNCTION("""COMPUTED_VALUE"""),500000.0)</f>
        <v>500000</v>
      </c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IFERROR(__xludf.DUMMYFUNCTION("""COMPUTED_VALUE"""),900000.0)</f>
        <v>900000</v>
      </c>
      <c r="BD245" s="54">
        <f>IFERROR(__xludf.DUMMYFUNCTION("""COMPUTED_VALUE"""),1600000.0)</f>
        <v>1600000</v>
      </c>
      <c r="BE245" s="54">
        <f>IFERROR(__xludf.DUMMYFUNCTION("""COMPUTED_VALUE"""),0.0)</f>
        <v>0</v>
      </c>
      <c r="BF245" s="55">
        <f>IFERROR(__xludf.DUMMYFUNCTION("""COMPUTED_VALUE"""),2500000.0)</f>
        <v>2500000</v>
      </c>
      <c r="BG245" s="53"/>
      <c r="BH245" s="53"/>
      <c r="BI245" s="53"/>
      <c r="BJ245" s="45"/>
      <c r="BK245" s="45"/>
      <c r="BL245" s="45"/>
      <c r="BM245" s="45"/>
      <c r="BN245" s="45"/>
      <c r="BO245" s="46"/>
    </row>
    <row r="246">
      <c r="A246" s="36">
        <f>IFERROR(__xludf.DUMMYFUNCTION("""COMPUTED_VALUE"""),245.0)</f>
        <v>245</v>
      </c>
      <c r="B246" s="37" t="str">
        <f>IFERROR(__xludf.DUMMYFUNCTION("""COMPUTED_VALUE"""),"SINTYA AYU RAMADHONI")</f>
        <v>SINTYA AYU RAMADHONI</v>
      </c>
      <c r="C246" s="38">
        <f>IFERROR(__xludf.DUMMYFUNCTION("""COMPUTED_VALUE"""),2.025070288E9)</f>
        <v>2025070288</v>
      </c>
      <c r="D246" s="37" t="str">
        <f>IFERROR(__xludf.DUMMYFUNCTION("""COMPUTED_VALUE"""),"NURUL HUDA")</f>
        <v>NURUL HUDA</v>
      </c>
      <c r="E246" s="37" t="str">
        <f>IFERROR(__xludf.DUMMYFUNCTION("""COMPUTED_VALUE"""),"SRI RAHAYU")</f>
        <v>SRI RAHAYU</v>
      </c>
      <c r="F246" s="37" t="str">
        <f>IFERROR(__xludf.DUMMYFUNCTION("""COMPUTED_VALUE"""),"SANUR JOTOSANUR RT 001 RW 004 TIKUNG LAMONGAN")</f>
        <v>SANUR JOTOSANUR RT 001 RW 004 TIKUNG LAMONGAN</v>
      </c>
      <c r="G246" s="39" t="str">
        <f>IFERROR(__xludf.DUMMYFUNCTION("""COMPUTED_VALUE"""),"MA-XI.13")</f>
        <v>MA-XI.13</v>
      </c>
      <c r="H246" s="36" t="str">
        <f>IFERROR(__xludf.DUMMYFUNCTION("""COMPUTED_VALUE"""),"C")</f>
        <v>C</v>
      </c>
      <c r="I246" s="40" t="str">
        <f>IFERROR(__xludf.DUMMYFUNCTION("""COMPUTED_VALUE"""),"C-7")</f>
        <v>C-7</v>
      </c>
      <c r="J246" s="40">
        <f>IFERROR(__xludf.DUMMYFUNCTION("""COMPUTED_VALUE"""),2.0)</f>
        <v>2</v>
      </c>
      <c r="K246" s="40" t="str">
        <f>IFERROR(__xludf.DUMMYFUNCTION("""COMPUTED_VALUE"""),"2 MAK PUTRI")</f>
        <v>2 MAK PUTRI</v>
      </c>
      <c r="L246" s="41" t="str">
        <f>IFERROR(__xludf.DUMMYFUNCTION("""COMPUTED_VALUE"""),"6285730288055")</f>
        <v>6285730288055</v>
      </c>
      <c r="M246" s="42">
        <f>IFERROR(__xludf.DUMMYFUNCTION("""COMPUTED_VALUE"""),600000.0)</f>
        <v>600000</v>
      </c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3"/>
      <c r="AB246" s="43">
        <f>IFERROR(__xludf.DUMMYFUNCTION("""COMPUTED_VALUE"""),500000.0)</f>
        <v>500000</v>
      </c>
      <c r="AC246" s="42"/>
      <c r="AD246" s="43"/>
      <c r="AE246" s="43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3">
        <f>IFERROR(__xludf.DUMMYFUNCTION("""COMPUTED_VALUE"""),500000.0)</f>
        <v>500000</v>
      </c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IFERROR(__xludf.DUMMYFUNCTION("""COMPUTED_VALUE"""),1600000.0)</f>
        <v>1600000</v>
      </c>
      <c r="BE246" s="43">
        <f>IFERROR(__xludf.DUMMYFUNCTION("""COMPUTED_VALUE"""),0.0)</f>
        <v>0</v>
      </c>
      <c r="BF246" s="44">
        <f>IFERROR(__xludf.DUMMYFUNCTION("""COMPUTED_VALUE"""),1600000.0)</f>
        <v>1600000</v>
      </c>
      <c r="BG246" s="42"/>
      <c r="BH246" s="42"/>
      <c r="BI246" s="42"/>
      <c r="BJ246" s="45"/>
      <c r="BK246" s="45"/>
      <c r="BL246" s="45"/>
      <c r="BM246" s="45"/>
      <c r="BN246" s="45"/>
      <c r="BO246" s="46"/>
    </row>
    <row r="247">
      <c r="A247" s="47">
        <f>IFERROR(__xludf.DUMMYFUNCTION("""COMPUTED_VALUE"""),246.0)</f>
        <v>246</v>
      </c>
      <c r="B247" s="48" t="str">
        <f>IFERROR(__xludf.DUMMYFUNCTION("""COMPUTED_VALUE"""),"SYA`BANIA ROHMA RISQIYAH WULANDARI")</f>
        <v>SYA`BANIA ROHMA RISQIYAH WULANDARI</v>
      </c>
      <c r="C247" s="49">
        <f>IFERROR(__xludf.DUMMYFUNCTION("""COMPUTED_VALUE"""),2.025070527E9)</f>
        <v>2025070527</v>
      </c>
      <c r="D247" s="48" t="str">
        <f>IFERROR(__xludf.DUMMYFUNCTION("""COMPUTED_VALUE"""),"ACHMAD TOHAR")</f>
        <v>ACHMAD TOHAR</v>
      </c>
      <c r="E247" s="48" t="str">
        <f>IFERROR(__xludf.DUMMYFUNCTION("""COMPUTED_VALUE"""),"KUSNAH")</f>
        <v>KUSNAH</v>
      </c>
      <c r="F247" s="48" t="str">
        <f>IFERROR(__xludf.DUMMYFUNCTION("""COMPUTED_VALUE"""),"SARIREJO SUKOREJO RT 003 RW 003 LAMONGAN LAMONGAN")</f>
        <v>SARIREJO SUKOREJO RT 003 RW 003 LAMONGAN LAMONGAN</v>
      </c>
      <c r="G247" s="49" t="str">
        <f>IFERROR(__xludf.DUMMYFUNCTION("""COMPUTED_VALUE"""),"MTS-8 A")</f>
        <v>MTS-8 A</v>
      </c>
      <c r="H247" s="47" t="str">
        <f>IFERROR(__xludf.DUMMYFUNCTION("""COMPUTED_VALUE"""),"C")</f>
        <v>C</v>
      </c>
      <c r="I247" s="53" t="str">
        <f>IFERROR(__xludf.DUMMYFUNCTION("""COMPUTED_VALUE"""),"C-6")</f>
        <v>C-6</v>
      </c>
      <c r="J247" s="51">
        <f>IFERROR(__xludf.DUMMYFUNCTION("""COMPUTED_VALUE"""),2.0)</f>
        <v>2</v>
      </c>
      <c r="K247" s="51" t="str">
        <f>IFERROR(__xludf.DUMMYFUNCTION("""COMPUTED_VALUE"""),"2 ULA C PUTRI")</f>
        <v>2 ULA C PUTRI</v>
      </c>
      <c r="L247" s="52" t="str">
        <f>IFERROR(__xludf.DUMMYFUNCTION("""COMPUTED_VALUE"""),"6285796171854")</f>
        <v>6285796171854</v>
      </c>
      <c r="M247" s="53"/>
      <c r="N247" s="53"/>
      <c r="O247" s="53"/>
      <c r="P247" s="53"/>
      <c r="Q247" s="53"/>
      <c r="R247" s="53"/>
      <c r="S247" s="53"/>
      <c r="T247" s="53">
        <f>IFERROR(__xludf.DUMMYFUNCTION("""COMPUTED_VALUE"""),450000.0)</f>
        <v>450000</v>
      </c>
      <c r="U247" s="53">
        <f>IFERROR(__xludf.DUMMYFUNCTION("""COMPUTED_VALUE"""),450000.0)</f>
        <v>450000</v>
      </c>
      <c r="V247" s="53">
        <f>IFERROR(__xludf.DUMMYFUNCTION("""COMPUTED_VALUE"""),450000.0)</f>
        <v>450000</v>
      </c>
      <c r="W247" s="53">
        <f>IFERROR(__xludf.DUMMYFUNCTION("""COMPUTED_VALUE"""),450000.0)</f>
        <v>450000</v>
      </c>
      <c r="X247" s="53">
        <f>IFERROR(__xludf.DUMMYFUNCTION("""COMPUTED_VALUE"""),450000.0)</f>
        <v>450000</v>
      </c>
      <c r="Y247" s="53">
        <f>IFERROR(__xludf.DUMMYFUNCTION("""COMPUTED_VALUE"""),450000.0)</f>
        <v>450000</v>
      </c>
      <c r="Z247" s="53">
        <f>IFERROR(__xludf.DUMMYFUNCTION("""COMPUTED_VALUE"""),450000.0)</f>
        <v>450000</v>
      </c>
      <c r="AA247" s="53"/>
      <c r="AB247" s="53">
        <f>IFERROR(__xludf.DUMMYFUNCTION("""COMPUTED_VALUE"""),500000.0)</f>
        <v>500000</v>
      </c>
      <c r="AC247" s="54"/>
      <c r="AD247" s="54"/>
      <c r="AE247" s="54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>
        <f>IFERROR(__xludf.DUMMYFUNCTION("""COMPUTED_VALUE"""),500000.0)</f>
        <v>500000</v>
      </c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IFERROR(__xludf.DUMMYFUNCTION("""COMPUTED_VALUE"""),3150000.0)</f>
        <v>3150000</v>
      </c>
      <c r="BD247" s="54">
        <f>IFERROR(__xludf.DUMMYFUNCTION("""COMPUTED_VALUE"""),1000000.0)</f>
        <v>1000000</v>
      </c>
      <c r="BE247" s="54">
        <f>IFERROR(__xludf.DUMMYFUNCTION("""COMPUTED_VALUE"""),0.0)</f>
        <v>0</v>
      </c>
      <c r="BF247" s="55">
        <f>IFERROR(__xludf.DUMMYFUNCTION("""COMPUTED_VALUE"""),4150000.0)</f>
        <v>4150000</v>
      </c>
      <c r="BG247" s="53"/>
      <c r="BH247" s="53"/>
      <c r="BI247" s="53"/>
      <c r="BJ247" s="45"/>
      <c r="BK247" s="45"/>
      <c r="BL247" s="45"/>
      <c r="BM247" s="45"/>
      <c r="BN247" s="45"/>
      <c r="BO247" s="46"/>
    </row>
    <row r="248">
      <c r="A248" s="36">
        <f>IFERROR(__xludf.DUMMYFUNCTION("""COMPUTED_VALUE"""),247.0)</f>
        <v>247</v>
      </c>
      <c r="B248" s="37" t="str">
        <f>IFERROR(__xludf.DUMMYFUNCTION("""COMPUTED_VALUE"""),"SYAHIDA MAULA")</f>
        <v>SYAHIDA MAULA</v>
      </c>
      <c r="C248" s="38">
        <f>IFERROR(__xludf.DUMMYFUNCTION("""COMPUTED_VALUE"""),2.025070279E9)</f>
        <v>2025070279</v>
      </c>
      <c r="D248" s="37" t="str">
        <f>IFERROR(__xludf.DUMMYFUNCTION("""COMPUTED_VALUE"""),"SHOLIHUN")</f>
        <v>SHOLIHUN</v>
      </c>
      <c r="E248" s="37" t="str">
        <f>IFERROR(__xludf.DUMMYFUNCTION("""COMPUTED_VALUE"""),"NURUL MAHMUDAH")</f>
        <v>NURUL MAHMUDAH</v>
      </c>
      <c r="F248" s="37" t="str">
        <f>IFERROR(__xludf.DUMMYFUNCTION("""COMPUTED_VALUE"""),"KARANGREJO RT 008 RW 004 UJUNGPANGKAH GRESIK")</f>
        <v>KARANGREJO RT 008 RW 004 UJUNGPANGKAH GRESIK</v>
      </c>
      <c r="G248" s="39" t="str">
        <f>IFERROR(__xludf.DUMMYFUNCTION("""COMPUTED_VALUE"""),"MA-XI.3")</f>
        <v>MA-XI.3</v>
      </c>
      <c r="H248" s="36" t="str">
        <f>IFERROR(__xludf.DUMMYFUNCTION("""COMPUTED_VALUE"""),"C")</f>
        <v>C</v>
      </c>
      <c r="I248" s="40" t="str">
        <f>IFERROR(__xludf.DUMMYFUNCTION("""COMPUTED_VALUE"""),"C-10")</f>
        <v>C-10</v>
      </c>
      <c r="J248" s="40">
        <f>IFERROR(__xludf.DUMMYFUNCTION("""COMPUTED_VALUE"""),2.0)</f>
        <v>2</v>
      </c>
      <c r="K248" s="40" t="str">
        <f>IFERROR(__xludf.DUMMYFUNCTION("""COMPUTED_VALUE"""),"2 WUSTHO A PUTRI")</f>
        <v>2 WUSTHO A PUTRI</v>
      </c>
      <c r="L248" s="41" t="str">
        <f>IFERROR(__xludf.DUMMYFUNCTION("""COMPUTED_VALUE"""),"6281515501631")</f>
        <v>6281515501631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>
        <f>IFERROR(__xludf.DUMMYFUNCTION("""COMPUTED_VALUE"""),450000.0)</f>
        <v>450000</v>
      </c>
      <c r="AA248" s="43"/>
      <c r="AB248" s="43">
        <f>IFERROR(__xludf.DUMMYFUNCTION("""COMPUTED_VALUE"""),500000.0)</f>
        <v>500000</v>
      </c>
      <c r="AC248" s="43"/>
      <c r="AD248" s="43"/>
      <c r="AE248" s="43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3">
        <f>IFERROR(__xludf.DUMMYFUNCTION("""COMPUTED_VALUE"""),500000.0)</f>
        <v>500000</v>
      </c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IFERROR(__xludf.DUMMYFUNCTION("""COMPUTED_VALUE"""),450000.0)</f>
        <v>450000</v>
      </c>
      <c r="BD248" s="43">
        <f>IFERROR(__xludf.DUMMYFUNCTION("""COMPUTED_VALUE"""),1000000.0)</f>
        <v>1000000</v>
      </c>
      <c r="BE248" s="43">
        <f>IFERROR(__xludf.DUMMYFUNCTION("""COMPUTED_VALUE"""),0.0)</f>
        <v>0</v>
      </c>
      <c r="BF248" s="44">
        <f>IFERROR(__xludf.DUMMYFUNCTION("""COMPUTED_VALUE"""),1450000.0)</f>
        <v>1450000</v>
      </c>
      <c r="BG248" s="42"/>
      <c r="BH248" s="42"/>
      <c r="BI248" s="42"/>
      <c r="BJ248" s="45"/>
      <c r="BK248" s="45"/>
      <c r="BL248" s="45"/>
      <c r="BM248" s="45"/>
      <c r="BN248" s="45"/>
      <c r="BO248" s="46"/>
    </row>
    <row r="249">
      <c r="A249" s="47">
        <f>IFERROR(__xludf.DUMMYFUNCTION("""COMPUTED_VALUE"""),248.0)</f>
        <v>248</v>
      </c>
      <c r="B249" s="48" t="str">
        <f>IFERROR(__xludf.DUMMYFUNCTION("""COMPUTED_VALUE"""),"TRI AMALIYAH NABILA")</f>
        <v>TRI AMALIYAH NABILA</v>
      </c>
      <c r="C249" s="49">
        <f>IFERROR(__xludf.DUMMYFUNCTION("""COMPUTED_VALUE"""),2.025070421E9)</f>
        <v>2025070421</v>
      </c>
      <c r="D249" s="48" t="str">
        <f>IFERROR(__xludf.DUMMYFUNCTION("""COMPUTED_VALUE"""),"HERMAN")</f>
        <v>HERMAN</v>
      </c>
      <c r="E249" s="48" t="str">
        <f>IFERROR(__xludf.DUMMYFUNCTION("""COMPUTED_VALUE"""),"HIDAYATUL FITRIYAH")</f>
        <v>HIDAYATUL FITRIYAH</v>
      </c>
      <c r="F249" s="48" t="str">
        <f>IFERROR(__xludf.DUMMYFUNCTION("""COMPUTED_VALUE"""),"BANYUTENGAH RT 001 RW 001 PANCENG GRESIK")</f>
        <v>BANYUTENGAH RT 001 RW 001 PANCENG GRESIK</v>
      </c>
      <c r="G249" s="50" t="str">
        <f>IFERROR(__xludf.DUMMYFUNCTION("""COMPUTED_VALUE"""),"MA-XI.12")</f>
        <v>MA-XI.12</v>
      </c>
      <c r="H249" s="47" t="str">
        <f>IFERROR(__xludf.DUMMYFUNCTION("""COMPUTED_VALUE"""),"C")</f>
        <v>C</v>
      </c>
      <c r="I249" s="51" t="str">
        <f>IFERROR(__xludf.DUMMYFUNCTION("""COMPUTED_VALUE"""),"C-10")</f>
        <v>C-10</v>
      </c>
      <c r="J249" s="51">
        <f>IFERROR(__xludf.DUMMYFUNCTION("""COMPUTED_VALUE"""),2.0)</f>
        <v>2</v>
      </c>
      <c r="K249" s="51" t="str">
        <f>IFERROR(__xludf.DUMMYFUNCTION("""COMPUTED_VALUE"""),"2 WUSTHO C PUTRI")</f>
        <v>2 WUSTHO C PUTRI</v>
      </c>
      <c r="L249" s="52" t="str">
        <f>IFERROR(__xludf.DUMMYFUNCTION("""COMPUTED_VALUE"""),"6282132903669")</f>
        <v>6282132903669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4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4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3"/>
      <c r="BH249" s="53"/>
      <c r="BI249" s="53"/>
      <c r="BJ249" s="45"/>
      <c r="BK249" s="45"/>
      <c r="BL249" s="45"/>
      <c r="BM249" s="45"/>
      <c r="BN249" s="45"/>
      <c r="BO249" s="46"/>
    </row>
    <row r="250">
      <c r="A250" s="36">
        <f>IFERROR(__xludf.DUMMYFUNCTION("""COMPUTED_VALUE"""),249.0)</f>
        <v>249</v>
      </c>
      <c r="B250" s="37" t="str">
        <f>IFERROR(__xludf.DUMMYFUNCTION("""COMPUTED_VALUE"""),"TRIAS NABILA ARCHIDEA SYARIFAH")</f>
        <v>TRIAS NABILA ARCHIDEA SYARIFAH</v>
      </c>
      <c r="C250" s="38">
        <f>IFERROR(__xludf.DUMMYFUNCTION("""COMPUTED_VALUE"""),2.02507056E9)</f>
        <v>2025070560</v>
      </c>
      <c r="D250" s="37" t="str">
        <f>IFERROR(__xludf.DUMMYFUNCTION("""COMPUTED_VALUE"""),"LAPIN")</f>
        <v>LAPIN</v>
      </c>
      <c r="E250" s="37" t="str">
        <f>IFERROR(__xludf.DUMMYFUNCTION("""COMPUTED_VALUE"""),"ERRY MURNIASIH")</f>
        <v>ERRY MURNIASIH</v>
      </c>
      <c r="F250" s="37" t="str">
        <f>IFERROR(__xludf.DUMMYFUNCTION("""COMPUTED_VALUE"""),"KEDIREN RT 004 RW 001 KALITENGAH LAMONGAN")</f>
        <v>KEDIREN RT 004 RW 001 KALITENGAH LAMONGAN</v>
      </c>
      <c r="G250" s="38" t="str">
        <f>IFERROR(__xludf.DUMMYFUNCTION("""COMPUTED_VALUE"""),"MTS-8 G")</f>
        <v>MTS-8 G</v>
      </c>
      <c r="H250" s="36" t="str">
        <f>IFERROR(__xludf.DUMMYFUNCTION("""COMPUTED_VALUE"""),"C")</f>
        <v>C</v>
      </c>
      <c r="I250" s="40" t="str">
        <f>IFERROR(__xludf.DUMMYFUNCTION("""COMPUTED_VALUE"""),"C-12")</f>
        <v>C-12</v>
      </c>
      <c r="J250" s="40">
        <f>IFERROR(__xludf.DUMMYFUNCTION("""COMPUTED_VALUE"""),2.0)</f>
        <v>2</v>
      </c>
      <c r="K250" s="40" t="str">
        <f>IFERROR(__xludf.DUMMYFUNCTION("""COMPUTED_VALUE"""),"ULA")</f>
        <v>ULA</v>
      </c>
      <c r="L250" s="41" t="str">
        <f>IFERROR(__xludf.DUMMYFUNCTION("""COMPUTED_VALUE"""),"6285731727960")</f>
        <v>6285731727960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>
        <f>IFERROR(__xludf.DUMMYFUNCTION("""COMPUTED_VALUE"""),500000.0)</f>
        <v>500000</v>
      </c>
      <c r="AC250" s="42"/>
      <c r="AD250" s="43"/>
      <c r="AE250" s="43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>
        <f>IFERROR(__xludf.DUMMYFUNCTION("""COMPUTED_VALUE"""),500000.0)</f>
        <v>500000</v>
      </c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IFERROR(__xludf.DUMMYFUNCTION("""COMPUTED_VALUE"""),1000000.0)</f>
        <v>1000000</v>
      </c>
      <c r="BE250" s="43">
        <f>IFERROR(__xludf.DUMMYFUNCTION("""COMPUTED_VALUE"""),0.0)</f>
        <v>0</v>
      </c>
      <c r="BF250" s="44">
        <f>IFERROR(__xludf.DUMMYFUNCTION("""COMPUTED_VALUE"""),1000000.0)</f>
        <v>1000000</v>
      </c>
      <c r="BG250" s="42"/>
      <c r="BH250" s="42"/>
      <c r="BI250" s="42"/>
      <c r="BJ250" s="45"/>
      <c r="BK250" s="45"/>
      <c r="BL250" s="45"/>
      <c r="BM250" s="45"/>
      <c r="BN250" s="45"/>
      <c r="BO250" s="46"/>
    </row>
    <row r="251">
      <c r="A251" s="47">
        <f>IFERROR(__xludf.DUMMYFUNCTION("""COMPUTED_VALUE"""),250.0)</f>
        <v>250</v>
      </c>
      <c r="B251" s="48" t="str">
        <f>IFERROR(__xludf.DUMMYFUNCTION("""COMPUTED_VALUE"""),"VALENCIA MEGA DEALOVA")</f>
        <v>VALENCIA MEGA DEALOVA</v>
      </c>
      <c r="C251" s="49">
        <f>IFERROR(__xludf.DUMMYFUNCTION("""COMPUTED_VALUE"""),2.025070566E9)</f>
        <v>2025070566</v>
      </c>
      <c r="D251" s="48" t="str">
        <f>IFERROR(__xludf.DUMMYFUNCTION("""COMPUTED_VALUE"""),"SUPRIYANTO")</f>
        <v>SUPRIYANTO</v>
      </c>
      <c r="E251" s="48" t="str">
        <f>IFERROR(__xludf.DUMMYFUNCTION("""COMPUTED_VALUE"""),"SRI LASWIJI")</f>
        <v>SRI LASWIJI</v>
      </c>
      <c r="F251" s="48" t="str">
        <f>IFERROR(__xludf.DUMMYFUNCTION("""COMPUTED_VALUE"""),"WINONG WANGUNREJO RT 001 RW 002 TURI LAMONGAN")</f>
        <v>WINONG WANGUNREJO RT 001 RW 002 TURI LAMONGAN</v>
      </c>
      <c r="G251" s="50" t="str">
        <f>IFERROR(__xludf.DUMMYFUNCTION("""COMPUTED_VALUE"""),"MTS-8 G")</f>
        <v>MTS-8 G</v>
      </c>
      <c r="H251" s="47" t="str">
        <f>IFERROR(__xludf.DUMMYFUNCTION("""COMPUTED_VALUE"""),"C")</f>
        <v>C</v>
      </c>
      <c r="I251" s="51" t="str">
        <f>IFERROR(__xludf.DUMMYFUNCTION("""COMPUTED_VALUE"""),"C-13")</f>
        <v>C-13</v>
      </c>
      <c r="J251" s="51">
        <f>IFERROR(__xludf.DUMMYFUNCTION("""COMPUTED_VALUE"""),2.0)</f>
        <v>2</v>
      </c>
      <c r="K251" s="51" t="str">
        <f>IFERROR(__xludf.DUMMYFUNCTION("""COMPUTED_VALUE"""),"2 ULA C PUTRI")</f>
        <v>2 ULA C PUTRI</v>
      </c>
      <c r="L251" s="52" t="str">
        <f>IFERROR(__xludf.DUMMYFUNCTION("""COMPUTED_VALUE"""),"628123276159")</f>
        <v>628123276159</v>
      </c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4"/>
      <c r="AC251" s="53"/>
      <c r="AD251" s="53"/>
      <c r="AE251" s="54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4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3"/>
      <c r="BH251" s="53"/>
      <c r="BI251" s="53"/>
      <c r="BJ251" s="45"/>
      <c r="BK251" s="45"/>
      <c r="BL251" s="45"/>
      <c r="BM251" s="45"/>
      <c r="BN251" s="45"/>
      <c r="BO251" s="46"/>
    </row>
    <row r="252">
      <c r="A252" s="36">
        <f>IFERROR(__xludf.DUMMYFUNCTION("""COMPUTED_VALUE"""),251.0)</f>
        <v>251</v>
      </c>
      <c r="B252" s="37" t="str">
        <f>IFERROR(__xludf.DUMMYFUNCTION("""COMPUTED_VALUE"""),"VANESYA OKTAVIDIA AULIA BALQIS")</f>
        <v>VANESYA OKTAVIDIA AULIA BALQIS</v>
      </c>
      <c r="C252" s="38">
        <f>IFERROR(__xludf.DUMMYFUNCTION("""COMPUTED_VALUE"""),2.025070007E9)</f>
        <v>2025070007</v>
      </c>
      <c r="D252" s="37" t="str">
        <f>IFERROR(__xludf.DUMMYFUNCTION("""COMPUTED_VALUE"""),"MANSUR UBAIDI")</f>
        <v>MANSUR UBAIDI</v>
      </c>
      <c r="E252" s="37" t="str">
        <f>IFERROR(__xludf.DUMMYFUNCTION("""COMPUTED_VALUE"""),"IKA VITA NUR DIANA")</f>
        <v>IKA VITA NUR DIANA</v>
      </c>
      <c r="F252" s="37" t="str">
        <f>IFERROR(__xludf.DUMMYFUNCTION("""COMPUTED_VALUE"""),"LEMBOR RT 005 RW 002 BRONDONG LAMONGAN")</f>
        <v>LEMBOR RT 005 RW 002 BRONDONG LAMONGAN</v>
      </c>
      <c r="G252" s="39" t="str">
        <f>IFERROR(__xludf.DUMMYFUNCTION("""COMPUTED_VALUE"""),"MA-XI.12")</f>
        <v>MA-XI.12</v>
      </c>
      <c r="H252" s="36" t="str">
        <f>IFERROR(__xludf.DUMMYFUNCTION("""COMPUTED_VALUE"""),"C")</f>
        <v>C</v>
      </c>
      <c r="I252" s="42" t="str">
        <f>IFERROR(__xludf.DUMMYFUNCTION("""COMPUTED_VALUE"""),"C-5")</f>
        <v>C-5</v>
      </c>
      <c r="J252" s="40">
        <f>IFERROR(__xludf.DUMMYFUNCTION("""COMPUTED_VALUE"""),2.0)</f>
        <v>2</v>
      </c>
      <c r="K252" s="40" t="str">
        <f>IFERROR(__xludf.DUMMYFUNCTION("""COMPUTED_VALUE"""),"2 WUSTHO C PUTRI")</f>
        <v>2 WUSTHO C PUTRI</v>
      </c>
      <c r="L252" s="41" t="str">
        <f>IFERROR(__xludf.DUMMYFUNCTION("""COMPUTED_VALUE"""),"6285251555052")</f>
        <v>6285251555052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3"/>
      <c r="AC252" s="42"/>
      <c r="AD252" s="42"/>
      <c r="AE252" s="43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3">
        <f>IFERROR(__xludf.DUMMYFUNCTION("""COMPUTED_VALUE"""),500000.0)</f>
        <v>500000</v>
      </c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IFERROR(__xludf.DUMMYFUNCTION("""COMPUTED_VALUE"""),0.0)</f>
        <v>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IFERROR(__xludf.DUMMYFUNCTION("""COMPUTED_VALUE"""),500000.0)</f>
        <v>500000</v>
      </c>
      <c r="BG252" s="42"/>
      <c r="BH252" s="42"/>
      <c r="BI252" s="42"/>
      <c r="BJ252" s="45"/>
      <c r="BK252" s="45"/>
      <c r="BL252" s="45"/>
      <c r="BM252" s="45"/>
      <c r="BN252" s="45"/>
      <c r="BO252" s="46"/>
    </row>
    <row r="253">
      <c r="A253" s="47">
        <f>IFERROR(__xludf.DUMMYFUNCTION("""COMPUTED_VALUE"""),252.0)</f>
        <v>252</v>
      </c>
      <c r="B253" s="48" t="str">
        <f>IFERROR(__xludf.DUMMYFUNCTION("""COMPUTED_VALUE"""),"VIYA DIWANI AUDI")</f>
        <v>VIYA DIWANI AUDI</v>
      </c>
      <c r="C253" s="49">
        <f>IFERROR(__xludf.DUMMYFUNCTION("""COMPUTED_VALUE"""),2.025070293E9)</f>
        <v>2025070293</v>
      </c>
      <c r="D253" s="48" t="str">
        <f>IFERROR(__xludf.DUMMYFUNCTION("""COMPUTED_VALUE"""),"NUR SHODIQ")</f>
        <v>NUR SHODIQ</v>
      </c>
      <c r="E253" s="48" t="str">
        <f>IFERROR(__xludf.DUMMYFUNCTION("""COMPUTED_VALUE"""),"MUTMA`INAH")</f>
        <v>MUTMA`INAH</v>
      </c>
      <c r="F253" s="48" t="str">
        <f>IFERROR(__xludf.DUMMYFUNCTION("""COMPUTED_VALUE"""),"BABAT WETAN BABATAGUNG RT 002 RW 001 DEKET LAMONGAN")</f>
        <v>BABAT WETAN BABATAGUNG RT 002 RW 001 DEKET LAMONGAN</v>
      </c>
      <c r="G253" s="49" t="str">
        <f>IFERROR(__xludf.DUMMYFUNCTION("""COMPUTED_VALUE"""),"MA-XI.13")</f>
        <v>MA-XI.13</v>
      </c>
      <c r="H253" s="47" t="str">
        <f>IFERROR(__xludf.DUMMYFUNCTION("""COMPUTED_VALUE"""),"C")</f>
        <v>C</v>
      </c>
      <c r="I253" s="53" t="str">
        <f>IFERROR(__xludf.DUMMYFUNCTION("""COMPUTED_VALUE"""),"C-7")</f>
        <v>C-7</v>
      </c>
      <c r="J253" s="51">
        <f>IFERROR(__xludf.DUMMYFUNCTION("""COMPUTED_VALUE"""),2.0)</f>
        <v>2</v>
      </c>
      <c r="K253" s="51" t="str">
        <f>IFERROR(__xludf.DUMMYFUNCTION("""COMPUTED_VALUE"""),"2 MAK PUTRI")</f>
        <v>2 MAK PUTRI</v>
      </c>
      <c r="L253" s="52" t="str">
        <f>IFERROR(__xludf.DUMMYFUNCTION("""COMPUTED_VALUE"""),"6285730240542")</f>
        <v>6285730240542</v>
      </c>
      <c r="M253" s="53"/>
      <c r="N253" s="53"/>
      <c r="O253" s="53"/>
      <c r="P253" s="53"/>
      <c r="Q253" s="53"/>
      <c r="R253" s="54"/>
      <c r="S253" s="54"/>
      <c r="T253" s="54"/>
      <c r="U253" s="54"/>
      <c r="V253" s="54"/>
      <c r="W253" s="54"/>
      <c r="X253" s="54"/>
      <c r="Y253" s="54"/>
      <c r="Z253" s="54">
        <f>IFERROR(__xludf.DUMMYFUNCTION("""COMPUTED_VALUE"""),450000.0)</f>
        <v>450000</v>
      </c>
      <c r="AA253" s="54"/>
      <c r="AB253" s="53"/>
      <c r="AC253" s="54"/>
      <c r="AD253" s="54"/>
      <c r="AE253" s="54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IFERROR(__xludf.DUMMYFUNCTION("""COMPUTED_VALUE"""),450000.0)</f>
        <v>450000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IFERROR(__xludf.DUMMYFUNCTION("""COMPUTED_VALUE"""),450000.0)</f>
        <v>450000</v>
      </c>
      <c r="BG253" s="53"/>
      <c r="BH253" s="53"/>
      <c r="BI253" s="53"/>
      <c r="BJ253" s="45"/>
      <c r="BK253" s="45"/>
      <c r="BL253" s="45"/>
      <c r="BM253" s="45"/>
      <c r="BN253" s="45"/>
      <c r="BO253" s="46"/>
    </row>
    <row r="254">
      <c r="A254" s="36">
        <f>IFERROR(__xludf.DUMMYFUNCTION("""COMPUTED_VALUE"""),253.0)</f>
        <v>253</v>
      </c>
      <c r="B254" s="37" t="str">
        <f>IFERROR(__xludf.DUMMYFUNCTION("""COMPUTED_VALUE"""),"WAKHIDATUL AMELIA")</f>
        <v>WAKHIDATUL AMELIA</v>
      </c>
      <c r="C254" s="38">
        <f>IFERROR(__xludf.DUMMYFUNCTION("""COMPUTED_VALUE"""),2.025070246E9)</f>
        <v>2025070246</v>
      </c>
      <c r="D254" s="37" t="str">
        <f>IFERROR(__xludf.DUMMYFUNCTION("""COMPUTED_VALUE"""),"JOKO PURWANTO")</f>
        <v>JOKO PURWANTO</v>
      </c>
      <c r="E254" s="37" t="str">
        <f>IFERROR(__xludf.DUMMYFUNCTION("""COMPUTED_VALUE"""),"MAR`ATUS SHOLIHAH")</f>
        <v>MAR`ATUS SHOLIHAH</v>
      </c>
      <c r="F254" s="37" t="str">
        <f>IFERROR(__xludf.DUMMYFUNCTION("""COMPUTED_VALUE"""),"MUNGSU SUGIHWARAS RT 002 RW 004 KALITENGAH LAMONGAN")</f>
        <v>MUNGSU SUGIHWARAS RT 002 RW 004 KALITENGAH LAMONGAN</v>
      </c>
      <c r="G254" s="39" t="str">
        <f>IFERROR(__xludf.DUMMYFUNCTION("""COMPUTED_VALUE"""),"MA-XI.4")</f>
        <v>MA-XI.4</v>
      </c>
      <c r="H254" s="36" t="str">
        <f>IFERROR(__xludf.DUMMYFUNCTION("""COMPUTED_VALUE"""),"C")</f>
        <v>C</v>
      </c>
      <c r="I254" s="42" t="str">
        <f>IFERROR(__xludf.DUMMYFUNCTION("""COMPUTED_VALUE"""),"C-10")</f>
        <v>C-10</v>
      </c>
      <c r="J254" s="40">
        <f>IFERROR(__xludf.DUMMYFUNCTION("""COMPUTED_VALUE"""),2.0)</f>
        <v>2</v>
      </c>
      <c r="K254" s="40" t="str">
        <f>IFERROR(__xludf.DUMMYFUNCTION("""COMPUTED_VALUE"""),"2 WUSTHO A PUTRI")</f>
        <v>2 WUSTHO A PUTRI</v>
      </c>
      <c r="L254" s="41" t="str">
        <f>IFERROR(__xludf.DUMMYFUNCTION("""COMPUTED_VALUE"""),"6285856126328")</f>
        <v>6285856126328</v>
      </c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>
        <f>IFERROR(__xludf.DUMMYFUNCTION("""COMPUTED_VALUE"""),500000.0)</f>
        <v>500000</v>
      </c>
      <c r="AC254" s="42"/>
      <c r="AD254" s="42"/>
      <c r="AE254" s="43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>
        <f>IFERROR(__xludf.DUMMYFUNCTION("""COMPUTED_VALUE"""),500000.0)</f>
        <v>500000</v>
      </c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IFERROR(__xludf.DUMMYFUNCTION("""COMPUTED_VALUE"""),1000000.0)</f>
        <v>1000000</v>
      </c>
      <c r="BE254" s="43">
        <f>IFERROR(__xludf.DUMMYFUNCTION("""COMPUTED_VALUE"""),0.0)</f>
        <v>0</v>
      </c>
      <c r="BF254" s="44">
        <f>IFERROR(__xludf.DUMMYFUNCTION("""COMPUTED_VALUE"""),1000000.0)</f>
        <v>1000000</v>
      </c>
      <c r="BG254" s="42"/>
      <c r="BH254" s="42"/>
      <c r="BI254" s="42"/>
      <c r="BJ254" s="45"/>
      <c r="BK254" s="45"/>
      <c r="BL254" s="45"/>
      <c r="BM254" s="45"/>
      <c r="BN254" s="45"/>
      <c r="BO254" s="46"/>
    </row>
    <row r="255">
      <c r="A255" s="47">
        <f>IFERROR(__xludf.DUMMYFUNCTION("""COMPUTED_VALUE"""),254.0)</f>
        <v>254</v>
      </c>
      <c r="B255" s="48" t="str">
        <f>IFERROR(__xludf.DUMMYFUNCTION("""COMPUTED_VALUE"""),"YASMIN ELIKA RAMDANI")</f>
        <v>YASMIN ELIKA RAMDANI</v>
      </c>
      <c r="C255" s="49">
        <f>IFERROR(__xludf.DUMMYFUNCTION("""COMPUTED_VALUE"""),2.025070521E9)</f>
        <v>2025070521</v>
      </c>
      <c r="D255" s="48" t="str">
        <f>IFERROR(__xludf.DUMMYFUNCTION("""COMPUTED_VALUE"""),"LESTARI")</f>
        <v>LESTARI</v>
      </c>
      <c r="E255" s="48" t="str">
        <f>IFERROR(__xludf.DUMMYFUNCTION("""COMPUTED_VALUE"""),"SITI AMANAH")</f>
        <v>SITI AMANAH</v>
      </c>
      <c r="F255" s="48" t="str">
        <f>IFERROR(__xludf.DUMMYFUNCTION("""COMPUTED_VALUE"""),"NGAYUNG RT 010 RW 003 MADURAN LAMONGAN")</f>
        <v>NGAYUNG RT 010 RW 003 MADURAN LAMONGAN</v>
      </c>
      <c r="G255" s="50" t="str">
        <f>IFERROR(__xludf.DUMMYFUNCTION("""COMPUTED_VALUE"""),"MTS-8 B")</f>
        <v>MTS-8 B</v>
      </c>
      <c r="H255" s="47" t="str">
        <f>IFERROR(__xludf.DUMMYFUNCTION("""COMPUTED_VALUE"""),"C")</f>
        <v>C</v>
      </c>
      <c r="I255" s="51" t="str">
        <f>IFERROR(__xludf.DUMMYFUNCTION("""COMPUTED_VALUE"""),"C-13")</f>
        <v>C-13</v>
      </c>
      <c r="J255" s="51">
        <f>IFERROR(__xludf.DUMMYFUNCTION("""COMPUTED_VALUE"""),2.0)</f>
        <v>2</v>
      </c>
      <c r="K255" s="51" t="str">
        <f>IFERROR(__xludf.DUMMYFUNCTION("""COMPUTED_VALUE"""),"2 ULA A PUTRI")</f>
        <v>2 ULA A PUTRI</v>
      </c>
      <c r="L255" s="52" t="str">
        <f>IFERROR(__xludf.DUMMYFUNCTION("""COMPUTED_VALUE"""),"6288983113464")</f>
        <v>6288983113464</v>
      </c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>
        <f>IFERROR(__xludf.DUMMYFUNCTION("""COMPUTED_VALUE"""),500000.0)</f>
        <v>500000</v>
      </c>
      <c r="AC255" s="53"/>
      <c r="AD255" s="53"/>
      <c r="AE255" s="54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4">
        <f>IFERROR(__xludf.DUMMYFUNCTION("""COMPUTED_VALUE"""),500000.0)</f>
        <v>500000</v>
      </c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IFERROR(__xludf.DUMMYFUNCTION("""COMPUTED_VALUE"""),1000000.0)</f>
        <v>1000000</v>
      </c>
      <c r="BE255" s="54">
        <f>IFERROR(__xludf.DUMMYFUNCTION("""COMPUTED_VALUE"""),0.0)</f>
        <v>0</v>
      </c>
      <c r="BF255" s="55">
        <f>IFERROR(__xludf.DUMMYFUNCTION("""COMPUTED_VALUE"""),1000000.0)</f>
        <v>1000000</v>
      </c>
      <c r="BG255" s="53"/>
      <c r="BH255" s="53"/>
      <c r="BI255" s="53"/>
      <c r="BJ255" s="45"/>
      <c r="BK255" s="45"/>
      <c r="BL255" s="45"/>
      <c r="BM255" s="45"/>
      <c r="BN255" s="45"/>
      <c r="BO255" s="46"/>
    </row>
    <row r="256">
      <c r="A256" s="36">
        <f>IFERROR(__xludf.DUMMYFUNCTION("""COMPUTED_VALUE"""),255.0)</f>
        <v>255</v>
      </c>
      <c r="B256" s="37" t="str">
        <f>IFERROR(__xludf.DUMMYFUNCTION("""COMPUTED_VALUE"""),"ZAHRA QURROTA AINI")</f>
        <v>ZAHRA QURROTA AINI</v>
      </c>
      <c r="C256" s="38">
        <f>IFERROR(__xludf.DUMMYFUNCTION("""COMPUTED_VALUE"""),2.025070601E9)</f>
        <v>2025070601</v>
      </c>
      <c r="D256" s="37" t="str">
        <f>IFERROR(__xludf.DUMMYFUNCTION("""COMPUTED_VALUE"""),"MOCH. NURUL HUDA")</f>
        <v>MOCH. NURUL HUDA</v>
      </c>
      <c r="E256" s="37" t="str">
        <f>IFERROR(__xludf.DUMMYFUNCTION("""COMPUTED_VALUE"""),"NURROTUL ILMA")</f>
        <v>NURROTUL ILMA</v>
      </c>
      <c r="F256" s="37" t="str">
        <f>IFERROR(__xludf.DUMMYFUNCTION("""COMPUTED_VALUE"""),"KAUMAN TAWANGREJO RT 004 RW 003 TURI LAMONGAN")</f>
        <v>KAUMAN TAWANGREJO RT 004 RW 003 TURI LAMONGAN</v>
      </c>
      <c r="G256" s="39" t="str">
        <f>IFERROR(__xludf.DUMMYFUNCTION("""COMPUTED_VALUE"""),"MTS-8 B")</f>
        <v>MTS-8 B</v>
      </c>
      <c r="H256" s="36" t="str">
        <f>IFERROR(__xludf.DUMMYFUNCTION("""COMPUTED_VALUE"""),"C")</f>
        <v>C</v>
      </c>
      <c r="I256" s="42" t="str">
        <f>IFERROR(__xludf.DUMMYFUNCTION("""COMPUTED_VALUE"""),"C-13")</f>
        <v>C-13</v>
      </c>
      <c r="J256" s="40">
        <f>IFERROR(__xludf.DUMMYFUNCTION("""COMPUTED_VALUE"""),2.0)</f>
        <v>2</v>
      </c>
      <c r="K256" s="40" t="str">
        <f>IFERROR(__xludf.DUMMYFUNCTION("""COMPUTED_VALUE"""),"2 ULA C PUTRI")</f>
        <v>2 ULA C PUTRI</v>
      </c>
      <c r="L256" s="41" t="str">
        <f>IFERROR(__xludf.DUMMYFUNCTION("""COMPUTED_VALUE"""),"6285711574550")</f>
        <v>6285711574550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3"/>
      <c r="AE256" s="43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42"/>
      <c r="BH256" s="42"/>
      <c r="BI256" s="42"/>
      <c r="BJ256" s="45"/>
      <c r="BK256" s="45"/>
      <c r="BL256" s="45"/>
      <c r="BM256" s="45"/>
      <c r="BN256" s="45"/>
      <c r="BO256" s="46"/>
    </row>
    <row r="257">
      <c r="A257" s="47">
        <f>IFERROR(__xludf.DUMMYFUNCTION("""COMPUTED_VALUE"""),256.0)</f>
        <v>256</v>
      </c>
      <c r="B257" s="48" t="str">
        <f>IFERROR(__xludf.DUMMYFUNCTION("""COMPUTED_VALUE"""),"ZAHWA AULIA SYAHIRAH")</f>
        <v>ZAHWA AULIA SYAHIRAH</v>
      </c>
      <c r="C257" s="49">
        <f>IFERROR(__xludf.DUMMYFUNCTION("""COMPUTED_VALUE"""),2.025070025E9)</f>
        <v>2025070025</v>
      </c>
      <c r="D257" s="48" t="str">
        <f>IFERROR(__xludf.DUMMYFUNCTION("""COMPUTED_VALUE"""),"TAKOH")</f>
        <v>TAKOH</v>
      </c>
      <c r="E257" s="48" t="str">
        <f>IFERROR(__xludf.DUMMYFUNCTION("""COMPUTED_VALUE"""),"NUR IZZATIN")</f>
        <v>NUR IZZATIN</v>
      </c>
      <c r="F257" s="48" t="str">
        <f>IFERROR(__xludf.DUMMYFUNCTION("""COMPUTED_VALUE"""),"MENTARAS RT 012 RW 005 DUKUN GRESIK")</f>
        <v>MENTARAS RT 012 RW 005 DUKUN GRESIK</v>
      </c>
      <c r="G257" s="50" t="str">
        <f>IFERROR(__xludf.DUMMYFUNCTION("""COMPUTED_VALUE"""),"MA-XI.3")</f>
        <v>MA-XI.3</v>
      </c>
      <c r="H257" s="47" t="str">
        <f>IFERROR(__xludf.DUMMYFUNCTION("""COMPUTED_VALUE"""),"C")</f>
        <v>C</v>
      </c>
      <c r="I257" s="53" t="str">
        <f>IFERROR(__xludf.DUMMYFUNCTION("""COMPUTED_VALUE"""),"C-6")</f>
        <v>C-6</v>
      </c>
      <c r="J257" s="51">
        <f>IFERROR(__xludf.DUMMYFUNCTION("""COMPUTED_VALUE"""),2.0)</f>
        <v>2</v>
      </c>
      <c r="K257" s="51" t="str">
        <f>IFERROR(__xludf.DUMMYFUNCTION("""COMPUTED_VALUE"""),"2 WUSTHO A PUTRI")</f>
        <v>2 WUSTHO A PUTRI</v>
      </c>
      <c r="L257" s="52" t="str">
        <f>IFERROR(__xludf.DUMMYFUNCTION("""COMPUTED_VALUE"""),"6281332084557")</f>
        <v>6281332084557</v>
      </c>
      <c r="M257" s="54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4"/>
      <c r="Z257" s="54"/>
      <c r="AA257" s="53"/>
      <c r="AB257" s="54">
        <f>IFERROR(__xludf.DUMMYFUNCTION("""COMPUTED_VALUE"""),500000.0)</f>
        <v>500000</v>
      </c>
      <c r="AC257" s="54"/>
      <c r="AD257" s="54"/>
      <c r="AE257" s="54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4">
        <f>IFERROR(__xludf.DUMMYFUNCTION("""COMPUTED_VALUE"""),500000.0)</f>
        <v>500000</v>
      </c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IFERROR(__xludf.DUMMYFUNCTION("""COMPUTED_VALUE"""),0.0)</f>
        <v>0</v>
      </c>
      <c r="BD257" s="54">
        <f>IFERROR(__xludf.DUMMYFUNCTION("""COMPUTED_VALUE"""),1000000.0)</f>
        <v>1000000</v>
      </c>
      <c r="BE257" s="54">
        <f>IFERROR(__xludf.DUMMYFUNCTION("""COMPUTED_VALUE"""),0.0)</f>
        <v>0</v>
      </c>
      <c r="BF257" s="55">
        <f>IFERROR(__xludf.DUMMYFUNCTION("""COMPUTED_VALUE"""),1000000.0)</f>
        <v>1000000</v>
      </c>
      <c r="BG257" s="53"/>
      <c r="BH257" s="53"/>
      <c r="BI257" s="53"/>
      <c r="BJ257" s="45"/>
      <c r="BK257" s="45"/>
      <c r="BL257" s="45"/>
      <c r="BM257" s="45"/>
      <c r="BN257" s="45"/>
      <c r="BO257" s="46"/>
    </row>
    <row r="258">
      <c r="A258" s="36">
        <f>IFERROR(__xludf.DUMMYFUNCTION("""COMPUTED_VALUE"""),257.0)</f>
        <v>257</v>
      </c>
      <c r="B258" s="37" t="str">
        <f>IFERROR(__xludf.DUMMYFUNCTION("""COMPUTED_VALUE"""),"ZAKIA AULIA RUSTIC")</f>
        <v>ZAKIA AULIA RUSTIC</v>
      </c>
      <c r="C258" s="38">
        <f>IFERROR(__xludf.DUMMYFUNCTION("""COMPUTED_VALUE"""),2.025070573E9)</f>
        <v>2025070573</v>
      </c>
      <c r="D258" s="37" t="str">
        <f>IFERROR(__xludf.DUMMYFUNCTION("""COMPUTED_VALUE"""),"AKHMAD SAIKHU")</f>
        <v>AKHMAD SAIKHU</v>
      </c>
      <c r="E258" s="37" t="str">
        <f>IFERROR(__xludf.DUMMYFUNCTION("""COMPUTED_VALUE"""),"MUALIMAH")</f>
        <v>MUALIMAH</v>
      </c>
      <c r="F258" s="37" t="str">
        <f>IFERROR(__xludf.DUMMYFUNCTION("""COMPUTED_VALUE"""),"BONTEN BRUMBUN RT 003 RW 003 MADURAN LAMONGAN")</f>
        <v>BONTEN BRUMBUN RT 003 RW 003 MADURAN LAMONGAN</v>
      </c>
      <c r="G258" s="56" t="str">
        <f>IFERROR(__xludf.DUMMYFUNCTION("""COMPUTED_VALUE"""),"MTS-8 A")</f>
        <v>MTS-8 A</v>
      </c>
      <c r="H258" s="36" t="str">
        <f>IFERROR(__xludf.DUMMYFUNCTION("""COMPUTED_VALUE"""),"C")</f>
        <v>C</v>
      </c>
      <c r="I258" s="40" t="str">
        <f>IFERROR(__xludf.DUMMYFUNCTION("""COMPUTED_VALUE"""),"C-6")</f>
        <v>C-6</v>
      </c>
      <c r="J258" s="40">
        <f>IFERROR(__xludf.DUMMYFUNCTION("""COMPUTED_VALUE"""),2.0)</f>
        <v>2</v>
      </c>
      <c r="K258" s="40" t="str">
        <f>IFERROR(__xludf.DUMMYFUNCTION("""COMPUTED_VALUE"""),"2 ULA A PUTRI")</f>
        <v>2 ULA A PUTRI</v>
      </c>
      <c r="L258" s="41" t="str">
        <f>IFERROR(__xludf.DUMMYFUNCTION("""COMPUTED_VALUE"""),"6285258943334")</f>
        <v>6285258943334</v>
      </c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3"/>
      <c r="AE258" s="43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42"/>
      <c r="BH258" s="42"/>
      <c r="BI258" s="42"/>
      <c r="BJ258" s="45"/>
      <c r="BK258" s="45"/>
      <c r="BL258" s="45"/>
      <c r="BM258" s="45"/>
      <c r="BN258" s="45"/>
      <c r="BO258" s="46"/>
    </row>
    <row r="259">
      <c r="A259" s="47">
        <f>IFERROR(__xludf.DUMMYFUNCTION("""COMPUTED_VALUE"""),258.0)</f>
        <v>258</v>
      </c>
      <c r="B259" s="48" t="str">
        <f>IFERROR(__xludf.DUMMYFUNCTION("""COMPUTED_VALUE"""),"ZAKIYATUL MAULIDIYAH")</f>
        <v>ZAKIYATUL MAULIDIYAH</v>
      </c>
      <c r="C259" s="49">
        <f>IFERROR(__xludf.DUMMYFUNCTION("""COMPUTED_VALUE"""),2.025070147E9)</f>
        <v>2025070147</v>
      </c>
      <c r="D259" s="48" t="str">
        <f>IFERROR(__xludf.DUMMYFUNCTION("""COMPUTED_VALUE"""),"SUPRO")</f>
        <v>SUPRO</v>
      </c>
      <c r="E259" s="48" t="str">
        <f>IFERROR(__xludf.DUMMYFUNCTION("""COMPUTED_VALUE"""),"SUBAIKAH")</f>
        <v>SUBAIKAH</v>
      </c>
      <c r="F259" s="48" t="str">
        <f>IFERROR(__xludf.DUMMYFUNCTION("""COMPUTED_VALUE"""),"BESUR RT 004 RW 002 SEKARAN LAMONGAN")</f>
        <v>BESUR RT 004 RW 002 SEKARAN LAMONGAN</v>
      </c>
      <c r="G259" s="50" t="str">
        <f>IFERROR(__xludf.DUMMYFUNCTION("""COMPUTED_VALUE"""),"MA-XI.4")</f>
        <v>MA-XI.4</v>
      </c>
      <c r="H259" s="47" t="str">
        <f>IFERROR(__xludf.DUMMYFUNCTION("""COMPUTED_VALUE"""),"C")</f>
        <v>C</v>
      </c>
      <c r="I259" s="53" t="str">
        <f>IFERROR(__xludf.DUMMYFUNCTION("""COMPUTED_VALUE"""),"C-10")</f>
        <v>C-10</v>
      </c>
      <c r="J259" s="51">
        <f>IFERROR(__xludf.DUMMYFUNCTION("""COMPUTED_VALUE"""),2.0)</f>
        <v>2</v>
      </c>
      <c r="K259" s="51" t="str">
        <f>IFERROR(__xludf.DUMMYFUNCTION("""COMPUTED_VALUE"""),"WUSTHO")</f>
        <v>WUSTHO</v>
      </c>
      <c r="L259" s="52" t="str">
        <f>IFERROR(__xludf.DUMMYFUNCTION("""COMPUTED_VALUE"""),"6283121371276")</f>
        <v>6283121371276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4">
        <f>IFERROR(__xludf.DUMMYFUNCTION("""COMPUTED_VALUE"""),500000.0)</f>
        <v>500000</v>
      </c>
      <c r="AC259" s="53"/>
      <c r="AD259" s="54"/>
      <c r="AE259" s="54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4">
        <f>IFERROR(__xludf.DUMMYFUNCTION("""COMPUTED_VALUE"""),500000.0)</f>
        <v>500000</v>
      </c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IFERROR(__xludf.DUMMYFUNCTION("""COMPUTED_VALUE"""),0.0)</f>
        <v>0</v>
      </c>
      <c r="BD259" s="54">
        <f>IFERROR(__xludf.DUMMYFUNCTION("""COMPUTED_VALUE"""),1000000.0)</f>
        <v>1000000</v>
      </c>
      <c r="BE259" s="54">
        <f>IFERROR(__xludf.DUMMYFUNCTION("""COMPUTED_VALUE"""),0.0)</f>
        <v>0</v>
      </c>
      <c r="BF259" s="55">
        <f>IFERROR(__xludf.DUMMYFUNCTION("""COMPUTED_VALUE"""),1000000.0)</f>
        <v>1000000</v>
      </c>
      <c r="BG259" s="53"/>
      <c r="BH259" s="53"/>
      <c r="BI259" s="53"/>
      <c r="BJ259" s="45"/>
      <c r="BK259" s="45"/>
      <c r="BL259" s="45"/>
      <c r="BM259" s="45"/>
      <c r="BN259" s="45"/>
      <c r="BO259" s="46"/>
    </row>
    <row r="260">
      <c r="A260" s="36">
        <f>IFERROR(__xludf.DUMMYFUNCTION("""COMPUTED_VALUE"""),259.0)</f>
        <v>259</v>
      </c>
      <c r="B260" s="37" t="str">
        <f>IFERROR(__xludf.DUMMYFUNCTION("""COMPUTED_VALUE"""),"ZANNUBA ARIFAH HAFSHO")</f>
        <v>ZANNUBA ARIFAH HAFSHO</v>
      </c>
      <c r="C260" s="38">
        <f>IFERROR(__xludf.DUMMYFUNCTION("""COMPUTED_VALUE"""),2.025070208E9)</f>
        <v>2025070208</v>
      </c>
      <c r="D260" s="37" t="str">
        <f>IFERROR(__xludf.DUMMYFUNCTION("""COMPUTED_VALUE"""),"M SUWARNO")</f>
        <v>M SUWARNO</v>
      </c>
      <c r="E260" s="37" t="str">
        <f>IFERROR(__xludf.DUMMYFUNCTION("""COMPUTED_VALUE"""),"MUSTIKA SARI")</f>
        <v>MUSTIKA SARI</v>
      </c>
      <c r="F260" s="37" t="str">
        <f>IFERROR(__xludf.DUMMYFUNCTION("""COMPUTED_VALUE"""),"KARANGASEM KARANGSAMBIGALIH RT 003 RW 004 SUGIO LAMONGAN")</f>
        <v>KARANGASEM KARANGSAMBIGALIH RT 003 RW 004 SUGIO LAMONGAN</v>
      </c>
      <c r="G260" s="39" t="str">
        <f>IFERROR(__xludf.DUMMYFUNCTION("""COMPUTED_VALUE"""),"MA-XI.12")</f>
        <v>MA-XI.12</v>
      </c>
      <c r="H260" s="36" t="str">
        <f>IFERROR(__xludf.DUMMYFUNCTION("""COMPUTED_VALUE"""),"C")</f>
        <v>C</v>
      </c>
      <c r="I260" s="42" t="str">
        <f>IFERROR(__xludf.DUMMYFUNCTION("""COMPUTED_VALUE"""),"C-6")</f>
        <v>C-6</v>
      </c>
      <c r="J260" s="40">
        <f>IFERROR(__xludf.DUMMYFUNCTION("""COMPUTED_VALUE"""),2.0)</f>
        <v>2</v>
      </c>
      <c r="K260" s="40" t="str">
        <f>IFERROR(__xludf.DUMMYFUNCTION("""COMPUTED_VALUE"""),"2 WUSTHO A PUTRI")</f>
        <v>2 WUSTHO A PUTRI</v>
      </c>
      <c r="L260" s="41" t="str">
        <f>IFERROR(__xludf.DUMMYFUNCTION("""COMPUTED_VALUE"""),"6281231204455")</f>
        <v>6281231204455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3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42"/>
      <c r="BH260" s="42"/>
      <c r="BI260" s="42"/>
      <c r="BJ260" s="45"/>
      <c r="BK260" s="45"/>
      <c r="BL260" s="45"/>
      <c r="BM260" s="45"/>
      <c r="BN260" s="45"/>
      <c r="BO260" s="46"/>
    </row>
    <row r="261">
      <c r="A261" s="47">
        <f>IFERROR(__xludf.DUMMYFUNCTION("""COMPUTED_VALUE"""),260.0)</f>
        <v>260</v>
      </c>
      <c r="B261" s="48" t="str">
        <f>IFERROR(__xludf.DUMMYFUNCTION("""COMPUTED_VALUE"""),"ZANNUBA ARIFFAH CHOFSOH")</f>
        <v>ZANNUBA ARIFFAH CHOFSOH</v>
      </c>
      <c r="C261" s="49">
        <f>IFERROR(__xludf.DUMMYFUNCTION("""COMPUTED_VALUE"""),2.02502041E9)</f>
        <v>2025020410</v>
      </c>
      <c r="D261" s="48" t="str">
        <f>IFERROR(__xludf.DUMMYFUNCTION("""COMPUTED_VALUE"""),"MOHAMMAD ZAENI")</f>
        <v>MOHAMMAD ZAENI</v>
      </c>
      <c r="E261" s="48" t="str">
        <f>IFERROR(__xludf.DUMMYFUNCTION("""COMPUTED_VALUE"""),"CHOIRUL AMALIYAH")</f>
        <v>CHOIRUL AMALIYAH</v>
      </c>
      <c r="F261" s="48" t="str">
        <f>IFERROR(__xludf.DUMMYFUNCTION("""COMPUTED_VALUE"""),"BANTENGPUTIH RT 002 RW 002 KARANGGENENG LAMONGAN")</f>
        <v>BANTENGPUTIH RT 002 RW 002 KARANGGENENG LAMONGAN</v>
      </c>
      <c r="G261" s="50" t="str">
        <f>IFERROR(__xludf.DUMMYFUNCTION("""COMPUTED_VALUE"""),"MA-XI.1")</f>
        <v>MA-XI.1</v>
      </c>
      <c r="H261" s="47" t="str">
        <f>IFERROR(__xludf.DUMMYFUNCTION("""COMPUTED_VALUE"""),"C")</f>
        <v>C</v>
      </c>
      <c r="I261" s="51" t="str">
        <f>IFERROR(__xludf.DUMMYFUNCTION("""COMPUTED_VALUE"""),"C-6")</f>
        <v>C-6</v>
      </c>
      <c r="J261" s="51">
        <f>IFERROR(__xludf.DUMMYFUNCTION("""COMPUTED_VALUE"""),2.0)</f>
        <v>2</v>
      </c>
      <c r="K261" s="51" t="str">
        <f>IFERROR(__xludf.DUMMYFUNCTION("""COMPUTED_VALUE"""),"TAHFIDZ")</f>
        <v>TAHFIDZ</v>
      </c>
      <c r="L261" s="52" t="str">
        <f>IFERROR(__xludf.DUMMYFUNCTION("""COMPUTED_VALUE"""),"6282142912003")</f>
        <v>6282142912003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4"/>
      <c r="AE261" s="54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IFERROR(__xludf.DUMMYFUNCTION("""COMPUTED_VALUE"""),0.0)</f>
        <v>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IFERROR(__xludf.DUMMYFUNCTION("""COMPUTED_VALUE"""),0.0)</f>
        <v>0</v>
      </c>
      <c r="BG261" s="53"/>
      <c r="BH261" s="53"/>
      <c r="BI261" s="53"/>
      <c r="BJ261" s="45"/>
      <c r="BK261" s="45"/>
      <c r="BL261" s="45"/>
      <c r="BM261" s="45"/>
      <c r="BN261" s="45"/>
      <c r="BO261" s="46"/>
    </row>
    <row r="262">
      <c r="A262" s="36">
        <f>IFERROR(__xludf.DUMMYFUNCTION("""COMPUTED_VALUE"""),261.0)</f>
        <v>261</v>
      </c>
      <c r="B262" s="37" t="str">
        <f>IFERROR(__xludf.DUMMYFUNCTION("""COMPUTED_VALUE"""),"ZETTY FITRIANI AFIDAH")</f>
        <v>ZETTY FITRIANI AFIDAH</v>
      </c>
      <c r="C262" s="38">
        <f>IFERROR(__xludf.DUMMYFUNCTION("""COMPUTED_VALUE"""),2.025070508E9)</f>
        <v>2025070508</v>
      </c>
      <c r="D262" s="37" t="str">
        <f>IFERROR(__xludf.DUMMYFUNCTION("""COMPUTED_VALUE"""),"SUMARJI")</f>
        <v>SUMARJI</v>
      </c>
      <c r="E262" s="37" t="str">
        <f>IFERROR(__xludf.DUMMYFUNCTION("""COMPUTED_VALUE"""),"MUJAYANAH")</f>
        <v>MUJAYANAH</v>
      </c>
      <c r="F262" s="37" t="str">
        <f>IFERROR(__xludf.DUMMYFUNCTION("""COMPUTED_VALUE"""),"KEBALANPELANG RT 002 RW 003 BABAT LAMONGAN")</f>
        <v>KEBALANPELANG RT 002 RW 003 BABAT LAMONGAN</v>
      </c>
      <c r="G262" s="39" t="str">
        <f>IFERROR(__xludf.DUMMYFUNCTION("""COMPUTED_VALUE"""),"MTS-8 C")</f>
        <v>MTS-8 C</v>
      </c>
      <c r="H262" s="36" t="str">
        <f>IFERROR(__xludf.DUMMYFUNCTION("""COMPUTED_VALUE"""),"C")</f>
        <v>C</v>
      </c>
      <c r="I262" s="40" t="str">
        <f>IFERROR(__xludf.DUMMYFUNCTION("""COMPUTED_VALUE"""),"C-5")</f>
        <v>C-5</v>
      </c>
      <c r="J262" s="40">
        <f>IFERROR(__xludf.DUMMYFUNCTION("""COMPUTED_VALUE"""),2.0)</f>
        <v>2</v>
      </c>
      <c r="K262" s="40" t="str">
        <f>IFERROR(__xludf.DUMMYFUNCTION("""COMPUTED_VALUE"""),"2 ULA A PUTRI")</f>
        <v>2 ULA A PUTRI</v>
      </c>
      <c r="L262" s="41" t="str">
        <f>IFERROR(__xludf.DUMMYFUNCTION("""COMPUTED_VALUE"""),"6285739223308")</f>
        <v>6285739223308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>
        <f>IFERROR(__xludf.DUMMYFUNCTION("""COMPUTED_VALUE"""),450000.0)</f>
        <v>450000</v>
      </c>
      <c r="Z262" s="42">
        <f>IFERROR(__xludf.DUMMYFUNCTION("""COMPUTED_VALUE"""),450000.0)</f>
        <v>450000</v>
      </c>
      <c r="AA262" s="42"/>
      <c r="AB262" s="42">
        <f>IFERROR(__xludf.DUMMYFUNCTION("""COMPUTED_VALUE"""),500000.0)</f>
        <v>500000</v>
      </c>
      <c r="AC262" s="42"/>
      <c r="AD262" s="42"/>
      <c r="AE262" s="43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>
        <f>IFERROR(__xludf.DUMMYFUNCTION("""COMPUTED_VALUE"""),500000.0)</f>
        <v>500000</v>
      </c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IFERROR(__xludf.DUMMYFUNCTION("""COMPUTED_VALUE"""),900000.0)</f>
        <v>900000</v>
      </c>
      <c r="BD262" s="43">
        <f>IFERROR(__xludf.DUMMYFUNCTION("""COMPUTED_VALUE"""),1000000.0)</f>
        <v>1000000</v>
      </c>
      <c r="BE262" s="43">
        <f>IFERROR(__xludf.DUMMYFUNCTION("""COMPUTED_VALUE"""),0.0)</f>
        <v>0</v>
      </c>
      <c r="BF262" s="44">
        <f>IFERROR(__xludf.DUMMYFUNCTION("""COMPUTED_VALUE"""),1900000.0)</f>
        <v>1900000</v>
      </c>
      <c r="BG262" s="42"/>
      <c r="BH262" s="42"/>
      <c r="BI262" s="42"/>
      <c r="BJ262" s="45"/>
      <c r="BK262" s="45"/>
      <c r="BL262" s="45"/>
      <c r="BM262" s="45"/>
      <c r="BN262" s="45"/>
      <c r="BO262" s="46"/>
    </row>
    <row r="263">
      <c r="A263" s="47">
        <f>IFERROR(__xludf.DUMMYFUNCTION("""COMPUTED_VALUE"""),262.0)</f>
        <v>262</v>
      </c>
      <c r="B263" s="48" t="str">
        <f>IFERROR(__xludf.DUMMYFUNCTION("""COMPUTED_VALUE"""),"ZULIANA HIDAYATUZZAHRAH")</f>
        <v>ZULIANA HIDAYATUZZAHRAH</v>
      </c>
      <c r="C263" s="49">
        <f>IFERROR(__xludf.DUMMYFUNCTION("""COMPUTED_VALUE"""),2.025070287E9)</f>
        <v>2025070287</v>
      </c>
      <c r="D263" s="48" t="str">
        <f>IFERROR(__xludf.DUMMYFUNCTION("""COMPUTED_VALUE"""),"SAMPURNO")</f>
        <v>SAMPURNO</v>
      </c>
      <c r="E263" s="48" t="str">
        <f>IFERROR(__xludf.DUMMYFUNCTION("""COMPUTED_VALUE"""),"SUKARTI")</f>
        <v>SUKARTI</v>
      </c>
      <c r="F263" s="48" t="str">
        <f>IFERROR(__xludf.DUMMYFUNCTION("""COMPUTED_VALUE"""),"KARYA BINANGUN MADURAN RT 001 RW 002 MADURAN LAMONGAN")</f>
        <v>KARYA BINANGUN MADURAN RT 001 RW 002 MADURAN LAMONGAN</v>
      </c>
      <c r="G263" s="50" t="str">
        <f>IFERROR(__xludf.DUMMYFUNCTION("""COMPUTED_VALUE"""),"MA-XI.1")</f>
        <v>MA-XI.1</v>
      </c>
      <c r="H263" s="47" t="str">
        <f>IFERROR(__xludf.DUMMYFUNCTION("""COMPUTED_VALUE"""),"C")</f>
        <v>C</v>
      </c>
      <c r="I263" s="53" t="str">
        <f>IFERROR(__xludf.DUMMYFUNCTION("""COMPUTED_VALUE"""),"C-6")</f>
        <v>C-6</v>
      </c>
      <c r="J263" s="51">
        <f>IFERROR(__xludf.DUMMYFUNCTION("""COMPUTED_VALUE"""),2.0)</f>
        <v>2</v>
      </c>
      <c r="K263" s="51" t="str">
        <f>IFERROR(__xludf.DUMMYFUNCTION("""COMPUTED_VALUE"""),"TAHFIDZ")</f>
        <v>TAHFIDZ</v>
      </c>
      <c r="L263" s="52" t="str">
        <f>IFERROR(__xludf.DUMMYFUNCTION("""COMPUTED_VALUE"""),"6285714806167")</f>
        <v>6285714806167</v>
      </c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4">
        <f>IFERROR(__xludf.DUMMYFUNCTION("""COMPUTED_VALUE"""),450000.0)</f>
        <v>450000</v>
      </c>
      <c r="AA263" s="53"/>
      <c r="AB263" s="54">
        <f>IFERROR(__xludf.DUMMYFUNCTION("""COMPUTED_VALUE"""),500000.0)</f>
        <v>500000</v>
      </c>
      <c r="AC263" s="54"/>
      <c r="AD263" s="54"/>
      <c r="AE263" s="54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>
        <f>IFERROR(__xludf.DUMMYFUNCTION("""COMPUTED_VALUE"""),500000.0)</f>
        <v>500000</v>
      </c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IFERROR(__xludf.DUMMYFUNCTION("""COMPUTED_VALUE"""),450000.0)</f>
        <v>450000</v>
      </c>
      <c r="BD263" s="54">
        <f>IFERROR(__xludf.DUMMYFUNCTION("""COMPUTED_VALUE"""),1000000.0)</f>
        <v>1000000</v>
      </c>
      <c r="BE263" s="54">
        <f>IFERROR(__xludf.DUMMYFUNCTION("""COMPUTED_VALUE"""),0.0)</f>
        <v>0</v>
      </c>
      <c r="BF263" s="55">
        <f>IFERROR(__xludf.DUMMYFUNCTION("""COMPUTED_VALUE"""),1450000.0)</f>
        <v>1450000</v>
      </c>
      <c r="BG263" s="53"/>
      <c r="BH263" s="53"/>
      <c r="BI263" s="53"/>
      <c r="BJ263" s="45"/>
      <c r="BK263" s="45"/>
      <c r="BL263" s="45"/>
      <c r="BM263" s="45"/>
      <c r="BN263" s="45"/>
      <c r="BO263" s="46"/>
    </row>
    <row r="264">
      <c r="A264" s="36">
        <f>IFERROR(__xludf.DUMMYFUNCTION("""COMPUTED_VALUE"""),263.0)</f>
        <v>263</v>
      </c>
      <c r="B264" s="37" t="str">
        <f>IFERROR(__xludf.DUMMYFUNCTION("""COMPUTED_VALUE"""),"ZUYIN NISA AL IZZATI")</f>
        <v>ZUYIN NISA AL IZZATI</v>
      </c>
      <c r="C264" s="38">
        <f>IFERROR(__xludf.DUMMYFUNCTION("""COMPUTED_VALUE"""),2.025070259E9)</f>
        <v>2025070259</v>
      </c>
      <c r="D264" s="37" t="str">
        <f>IFERROR(__xludf.DUMMYFUNCTION("""COMPUTED_VALUE"""),"SISWANDI")</f>
        <v>SISWANDI</v>
      </c>
      <c r="E264" s="37" t="str">
        <f>IFERROR(__xludf.DUMMYFUNCTION("""COMPUTED_VALUE"""),"NINIK ANISA")</f>
        <v>NINIK ANISA</v>
      </c>
      <c r="F264" s="37" t="str">
        <f>IFERROR(__xludf.DUMMYFUNCTION("""COMPUTED_VALUE"""),"KOMPLEKS APO CAMAT BHAYANGKARA RT 005 RW 004 JAYAPURA UTARA JAYAPURA")</f>
        <v>KOMPLEKS APO CAMAT BHAYANGKARA RT 005 RW 004 JAYAPURA UTARA JAYAPURA</v>
      </c>
      <c r="G264" s="39" t="str">
        <f>IFERROR(__xludf.DUMMYFUNCTION("""COMPUTED_VALUE"""),"MA-XI.12")</f>
        <v>MA-XI.12</v>
      </c>
      <c r="H264" s="36" t="str">
        <f>IFERROR(__xludf.DUMMYFUNCTION("""COMPUTED_VALUE"""),"C")</f>
        <v>C</v>
      </c>
      <c r="I264" s="40" t="str">
        <f>IFERROR(__xludf.DUMMYFUNCTION("""COMPUTED_VALUE"""),"C-10")</f>
        <v>C-10</v>
      </c>
      <c r="J264" s="40">
        <f>IFERROR(__xludf.DUMMYFUNCTION("""COMPUTED_VALUE"""),2.0)</f>
        <v>2</v>
      </c>
      <c r="K264" s="40" t="str">
        <f>IFERROR(__xludf.DUMMYFUNCTION("""COMPUTED_VALUE"""),"2 WUSTHO C PUTRI")</f>
        <v>2 WUSTHO C PUTRI</v>
      </c>
      <c r="L264" s="41" t="str">
        <f>IFERROR(__xludf.DUMMYFUNCTION("""COMPUTED_VALUE"""),"6281252554677")</f>
        <v>6281252554677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>
        <f>IFERROR(__xludf.DUMMYFUNCTION("""COMPUTED_VALUE"""),500000.0)</f>
        <v>500000</v>
      </c>
      <c r="AC264" s="42"/>
      <c r="AD264" s="42"/>
      <c r="AE264" s="43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>
        <f>IFERROR(__xludf.DUMMYFUNCTION("""COMPUTED_VALUE"""),500000.0)</f>
        <v>500000</v>
      </c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IFERROR(__xludf.DUMMYFUNCTION("""COMPUTED_VALUE"""),0.0)</f>
        <v>0</v>
      </c>
      <c r="BD264" s="43">
        <f>IFERROR(__xludf.DUMMYFUNCTION("""COMPUTED_VALUE"""),1000000.0)</f>
        <v>1000000</v>
      </c>
      <c r="BE264" s="43">
        <f>IFERROR(__xludf.DUMMYFUNCTION("""COMPUTED_VALUE"""),0.0)</f>
        <v>0</v>
      </c>
      <c r="BF264" s="44">
        <f>IFERROR(__xludf.DUMMYFUNCTION("""COMPUTED_VALUE"""),1000000.0)</f>
        <v>1000000</v>
      </c>
      <c r="BG264" s="42"/>
      <c r="BH264" s="42"/>
      <c r="BI264" s="42"/>
      <c r="BJ264" s="45"/>
      <c r="BK264" s="45"/>
      <c r="BL264" s="45"/>
      <c r="BM264" s="45"/>
      <c r="BN264" s="45"/>
      <c r="BO264" s="46"/>
    </row>
    <row r="265">
      <c r="A265" s="47">
        <f>IFERROR(__xludf.DUMMYFUNCTION("""COMPUTED_VALUE"""),264.0)</f>
        <v>264</v>
      </c>
      <c r="B265" s="48" t="str">
        <f>IFERROR(__xludf.DUMMYFUNCTION("""COMPUTED_VALUE"""),"ALLANA PUTRI CALYSTA")</f>
        <v>ALLANA PUTRI CALYSTA</v>
      </c>
      <c r="C265" s="49">
        <f>IFERROR(__xludf.DUMMYFUNCTION("""COMPUTED_VALUE"""),2.025070395E9)</f>
        <v>2025070395</v>
      </c>
      <c r="D265" s="48" t="str">
        <f>IFERROR(__xludf.DUMMYFUNCTION("""COMPUTED_VALUE"""),"NAIMIN HARIANTO")</f>
        <v>NAIMIN HARIANTO</v>
      </c>
      <c r="E265" s="48" t="str">
        <f>IFERROR(__xludf.DUMMYFUNCTION("""COMPUTED_VALUE"""),"MARATUS SHOLIHAH")</f>
        <v>MARATUS SHOLIHAH</v>
      </c>
      <c r="F265" s="48" t="str">
        <f>IFERROR(__xludf.DUMMYFUNCTION("""COMPUTED_VALUE"""),"KARTINI RT 002 RW 004 SOLOKURO LAMONGAN")</f>
        <v>KARTINI RT 002 RW 004 SOLOKURO LAMONGAN</v>
      </c>
      <c r="G265" s="50" t="str">
        <f>IFERROR(__xludf.DUMMYFUNCTION("""COMPUTED_VALUE"""),"MA-XI.4")</f>
        <v>MA-XI.4</v>
      </c>
      <c r="H265" s="47" t="str">
        <f>IFERROR(__xludf.DUMMYFUNCTION("""COMPUTED_VALUE"""),"D")</f>
        <v>D</v>
      </c>
      <c r="I265" s="53" t="str">
        <f>IFERROR(__xludf.DUMMYFUNCTION("""COMPUTED_VALUE"""),"D-7")</f>
        <v>D-7</v>
      </c>
      <c r="J265" s="51">
        <f>IFERROR(__xludf.DUMMYFUNCTION("""COMPUTED_VALUE"""),2.0)</f>
        <v>2</v>
      </c>
      <c r="K265" s="51" t="str">
        <f>IFERROR(__xludf.DUMMYFUNCTION("""COMPUTED_VALUE"""),"2 WUSTHO D PUTRI")</f>
        <v>2 WUSTHO D PUTRI</v>
      </c>
      <c r="L265" s="52" t="str">
        <f>IFERROR(__xludf.DUMMYFUNCTION("""COMPUTED_VALUE"""),"6281230760242")</f>
        <v>6281230760242</v>
      </c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4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4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IFERROR(__xludf.DUMMYFUNCTION("""COMPUTED_VALUE"""),0.0)</f>
        <v>0</v>
      </c>
      <c r="BD265" s="54">
        <f>IFERROR(__xludf.DUMMYFUNCTION("""COMPUTED_VALUE"""),0.0)</f>
        <v>0</v>
      </c>
      <c r="BE265" s="54">
        <f>IFERROR(__xludf.DUMMYFUNCTION("""COMPUTED_VALUE"""),0.0)</f>
        <v>0</v>
      </c>
      <c r="BF265" s="55">
        <f>IFERROR(__xludf.DUMMYFUNCTION("""COMPUTED_VALUE"""),0.0)</f>
        <v>0</v>
      </c>
      <c r="BG265" s="53"/>
      <c r="BH265" s="53"/>
      <c r="BI265" s="53"/>
      <c r="BJ265" s="45"/>
      <c r="BK265" s="45"/>
      <c r="BL265" s="45"/>
      <c r="BM265" s="45"/>
      <c r="BN265" s="45"/>
      <c r="BO265" s="46"/>
    </row>
    <row r="266">
      <c r="A266" s="36">
        <f>IFERROR(__xludf.DUMMYFUNCTION("""COMPUTED_VALUE"""),265.0)</f>
        <v>265</v>
      </c>
      <c r="B266" s="37" t="str">
        <f>IFERROR(__xludf.DUMMYFUNCTION("""COMPUTED_VALUE"""),"ALYA KHAIRANI MAHFUDZ")</f>
        <v>ALYA KHAIRANI MAHFUDZ</v>
      </c>
      <c r="C266" s="38">
        <f>IFERROR(__xludf.DUMMYFUNCTION("""COMPUTED_VALUE"""),2.02507063E9)</f>
        <v>2025070630</v>
      </c>
      <c r="D266" s="37" t="str">
        <f>IFERROR(__xludf.DUMMYFUNCTION("""COMPUTED_VALUE"""),"MUKIYANTO")</f>
        <v>MUKIYANTO</v>
      </c>
      <c r="E266" s="37" t="str">
        <f>IFERROR(__xludf.DUMMYFUNCTION("""COMPUTED_VALUE"""),"RIF`ATUL AZIZAH")</f>
        <v>RIF`ATUL AZIZAH</v>
      </c>
      <c r="F266" s="37" t="str">
        <f>IFERROR(__xludf.DUMMYFUNCTION("""COMPUTED_VALUE"""),"SUNGELEBAK RT 007 RW 002 KARANGGENENG LAMONGAN")</f>
        <v>SUNGELEBAK RT 007 RW 002 KARANGGENENG LAMONGAN</v>
      </c>
      <c r="G266" s="56" t="str">
        <f>IFERROR(__xludf.DUMMYFUNCTION("""COMPUTED_VALUE"""),"MTS-8 C")</f>
        <v>MTS-8 C</v>
      </c>
      <c r="H266" s="36" t="str">
        <f>IFERROR(__xludf.DUMMYFUNCTION("""COMPUTED_VALUE"""),"D")</f>
        <v>D</v>
      </c>
      <c r="I266" s="40" t="str">
        <f>IFERROR(__xludf.DUMMYFUNCTION("""COMPUTED_VALUE"""),"D-2")</f>
        <v>D-2</v>
      </c>
      <c r="J266" s="40">
        <f>IFERROR(__xludf.DUMMYFUNCTION("""COMPUTED_VALUE"""),2.0)</f>
        <v>2</v>
      </c>
      <c r="K266" s="40" t="str">
        <f>IFERROR(__xludf.DUMMYFUNCTION("""COMPUTED_VALUE"""),"2 ULA B PUTRI")</f>
        <v>2 ULA B PUTRI</v>
      </c>
      <c r="L266" s="41" t="str">
        <f>IFERROR(__xludf.DUMMYFUNCTION("""COMPUTED_VALUE"""),"6281331482101")</f>
        <v>6281331482101</v>
      </c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>
        <f>IFERROR(__xludf.DUMMYFUNCTION("""COMPUTED_VALUE"""),500000.0)</f>
        <v>500000</v>
      </c>
      <c r="AC266" s="42"/>
      <c r="AD266" s="42"/>
      <c r="AE266" s="43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>
        <f>IFERROR(__xludf.DUMMYFUNCTION("""COMPUTED_VALUE"""),500000.0)</f>
        <v>500000</v>
      </c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42"/>
      <c r="BH266" s="42"/>
      <c r="BI266" s="42"/>
      <c r="BJ266" s="45"/>
      <c r="BK266" s="45"/>
      <c r="BL266" s="45"/>
      <c r="BM266" s="45"/>
      <c r="BN266" s="45"/>
      <c r="BO266" s="46"/>
    </row>
    <row r="267">
      <c r="A267" s="47">
        <f>IFERROR(__xludf.DUMMYFUNCTION("""COMPUTED_VALUE"""),266.0)</f>
        <v>266</v>
      </c>
      <c r="B267" s="48" t="str">
        <f>IFERROR(__xludf.DUMMYFUNCTION("""COMPUTED_VALUE"""),"ARISTA WIDYA SALSABILA")</f>
        <v>ARISTA WIDYA SALSABILA</v>
      </c>
      <c r="C267" s="49">
        <f>IFERROR(__xludf.DUMMYFUNCTION("""COMPUTED_VALUE"""),2.025070324E9)</f>
        <v>2025070324</v>
      </c>
      <c r="D267" s="48" t="str">
        <f>IFERROR(__xludf.DUMMYFUNCTION("""COMPUTED_VALUE"""),"DJUMAIN")</f>
        <v>DJUMAIN</v>
      </c>
      <c r="E267" s="48" t="str">
        <f>IFERROR(__xludf.DUMMYFUNCTION("""COMPUTED_VALUE"""),"SITI ZAINAB")</f>
        <v>SITI ZAINAB</v>
      </c>
      <c r="F267" s="48" t="str">
        <f>IFERROR(__xludf.DUMMYFUNCTION("""COMPUTED_VALUE"""),"KARANGANOM KULON KARANGANOM RT 001 RW 001 KARANGBINANGUN LAMONGAN")</f>
        <v>KARANGANOM KULON KARANGANOM RT 001 RW 001 KARANGBINANGUN LAMONGAN</v>
      </c>
      <c r="G267" s="50" t="str">
        <f>IFERROR(__xludf.DUMMYFUNCTION("""COMPUTED_VALUE"""),"MA-XI.12")</f>
        <v>MA-XI.12</v>
      </c>
      <c r="H267" s="47" t="str">
        <f>IFERROR(__xludf.DUMMYFUNCTION("""COMPUTED_VALUE"""),"D")</f>
        <v>D</v>
      </c>
      <c r="I267" s="53" t="str">
        <f>IFERROR(__xludf.DUMMYFUNCTION("""COMPUTED_VALUE"""),"D-8")</f>
        <v>D-8</v>
      </c>
      <c r="J267" s="51">
        <f>IFERROR(__xludf.DUMMYFUNCTION("""COMPUTED_VALUE"""),2.0)</f>
        <v>2</v>
      </c>
      <c r="K267" s="51" t="str">
        <f>IFERROR(__xludf.DUMMYFUNCTION("""COMPUTED_VALUE"""),"2 WUSTHO D PUTRI")</f>
        <v>2 WUSTHO D PUTRI</v>
      </c>
      <c r="L267" s="52" t="str">
        <f>IFERROR(__xludf.DUMMYFUNCTION("""COMPUTED_VALUE"""),"6285707536170")</f>
        <v>6285707536170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4">
        <f>IFERROR(__xludf.DUMMYFUNCTION("""COMPUTED_VALUE"""),500000.0)</f>
        <v>500000</v>
      </c>
      <c r="AC267" s="53"/>
      <c r="AD267" s="53"/>
      <c r="AE267" s="54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4">
        <f>IFERROR(__xludf.DUMMYFUNCTION("""COMPUTED_VALUE"""),500000.0)</f>
        <v>500000</v>
      </c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IFERROR(__xludf.DUMMYFUNCTION("""COMPUTED_VALUE"""),1000000.0)</f>
        <v>1000000</v>
      </c>
      <c r="BE267" s="54">
        <f>IFERROR(__xludf.DUMMYFUNCTION("""COMPUTED_VALUE"""),0.0)</f>
        <v>0</v>
      </c>
      <c r="BF267" s="55">
        <f>IFERROR(__xludf.DUMMYFUNCTION("""COMPUTED_VALUE"""),1000000.0)</f>
        <v>1000000</v>
      </c>
      <c r="BG267" s="53"/>
      <c r="BH267" s="53"/>
      <c r="BI267" s="53"/>
      <c r="BJ267" s="45"/>
      <c r="BK267" s="45"/>
      <c r="BL267" s="45"/>
      <c r="BM267" s="45"/>
      <c r="BN267" s="45"/>
      <c r="BO267" s="46"/>
    </row>
    <row r="268">
      <c r="A268" s="36">
        <f>IFERROR(__xludf.DUMMYFUNCTION("""COMPUTED_VALUE"""),267.0)</f>
        <v>267</v>
      </c>
      <c r="B268" s="37" t="str">
        <f>IFERROR(__xludf.DUMMYFUNCTION("""COMPUTED_VALUE"""),"AZKIYATUL MISKIYAH")</f>
        <v>AZKIYATUL MISKIYAH</v>
      </c>
      <c r="C268" s="38">
        <f>IFERROR(__xludf.DUMMYFUNCTION("""COMPUTED_VALUE"""),2.02507059E9)</f>
        <v>2025070590</v>
      </c>
      <c r="D268" s="37" t="str">
        <f>IFERROR(__xludf.DUMMYFUNCTION("""COMPUTED_VALUE"""),"AHMAD ARIFIN")</f>
        <v>AHMAD ARIFIN</v>
      </c>
      <c r="E268" s="37" t="str">
        <f>IFERROR(__xludf.DUMMYFUNCTION("""COMPUTED_VALUE"""),"MISDAROYAH")</f>
        <v>MISDAROYAH</v>
      </c>
      <c r="F268" s="37" t="str">
        <f>IFERROR(__xludf.DUMMYFUNCTION("""COMPUTED_VALUE"""),"GEGER RT 001 RW 003 TURI LAMONGAN")</f>
        <v>GEGER RT 001 RW 003 TURI LAMONGAN</v>
      </c>
      <c r="G268" s="39" t="str">
        <f>IFERROR(__xludf.DUMMYFUNCTION("""COMPUTED_VALUE"""),"MTS-8 A")</f>
        <v>MTS-8 A</v>
      </c>
      <c r="H268" s="36" t="str">
        <f>IFERROR(__xludf.DUMMYFUNCTION("""COMPUTED_VALUE"""),"D")</f>
        <v>D</v>
      </c>
      <c r="I268" s="40" t="str">
        <f>IFERROR(__xludf.DUMMYFUNCTION("""COMPUTED_VALUE"""),"D-2")</f>
        <v>D-2</v>
      </c>
      <c r="J268" s="40">
        <f>IFERROR(__xludf.DUMMYFUNCTION("""COMPUTED_VALUE"""),2.0)</f>
        <v>2</v>
      </c>
      <c r="K268" s="40" t="str">
        <f>IFERROR(__xludf.DUMMYFUNCTION("""COMPUTED_VALUE"""),"2 ULA C PUTRI")</f>
        <v>2 ULA C PUTRI</v>
      </c>
      <c r="L268" s="41" t="str">
        <f>IFERROR(__xludf.DUMMYFUNCTION("""COMPUTED_VALUE"""),"6285731466168")</f>
        <v>6285731466168</v>
      </c>
      <c r="M268" s="42">
        <f>IFERROR(__xludf.DUMMYFUNCTION("""COMPUTED_VALUE"""),600000.0)</f>
        <v>600000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3"/>
      <c r="X268" s="43"/>
      <c r="Y268" s="43"/>
      <c r="Z268" s="43"/>
      <c r="AA268" s="42"/>
      <c r="AB268" s="43">
        <f>IFERROR(__xludf.DUMMYFUNCTION("""COMPUTED_VALUE"""),500000.0)</f>
        <v>500000</v>
      </c>
      <c r="AC268" s="43"/>
      <c r="AD268" s="43"/>
      <c r="AE268" s="43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3">
        <f>IFERROR(__xludf.DUMMYFUNCTION("""COMPUTED_VALUE"""),500000.0)</f>
        <v>500000</v>
      </c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IFERROR(__xludf.DUMMYFUNCTION("""COMPUTED_VALUE"""),1600000.0)</f>
        <v>1600000</v>
      </c>
      <c r="BE268" s="43">
        <f>IFERROR(__xludf.DUMMYFUNCTION("""COMPUTED_VALUE"""),0.0)</f>
        <v>0</v>
      </c>
      <c r="BF268" s="44">
        <f>IFERROR(__xludf.DUMMYFUNCTION("""COMPUTED_VALUE"""),1600000.0)</f>
        <v>1600000</v>
      </c>
      <c r="BG268" s="42"/>
      <c r="BH268" s="42"/>
      <c r="BI268" s="42"/>
      <c r="BJ268" s="45"/>
      <c r="BK268" s="45"/>
      <c r="BL268" s="45"/>
      <c r="BM268" s="45"/>
      <c r="BN268" s="45"/>
      <c r="BO268" s="46"/>
    </row>
    <row r="269">
      <c r="A269" s="47">
        <f>IFERROR(__xludf.DUMMYFUNCTION("""COMPUTED_VALUE"""),268.0)</f>
        <v>268</v>
      </c>
      <c r="B269" s="48" t="str">
        <f>IFERROR(__xludf.DUMMYFUNCTION("""COMPUTED_VALUE"""),"DEWI AZKIYAH RIZQI ALFIAN ULYA")</f>
        <v>DEWI AZKIYAH RIZQI ALFIAN ULYA</v>
      </c>
      <c r="C269" s="49">
        <f>IFERROR(__xludf.DUMMYFUNCTION("""COMPUTED_VALUE"""),2.025070634E9)</f>
        <v>2025070634</v>
      </c>
      <c r="D269" s="48" t="str">
        <f>IFERROR(__xludf.DUMMYFUNCTION("""COMPUTED_VALUE"""),"AINUL YAKIN")</f>
        <v>AINUL YAKIN</v>
      </c>
      <c r="E269" s="48" t="str">
        <f>IFERROR(__xludf.DUMMYFUNCTION("""COMPUTED_VALUE"""),"ULIK MALIKATUS SOLIKAH")</f>
        <v>ULIK MALIKATUS SOLIKAH</v>
      </c>
      <c r="F269" s="48" t="str">
        <f>IFERROR(__xludf.DUMMYFUNCTION("""COMPUTED_VALUE"""),"SUNGELEBAK RT 016 RW 005 KARANGGENENG LAMONGAN")</f>
        <v>SUNGELEBAK RT 016 RW 005 KARANGGENENG LAMONGAN</v>
      </c>
      <c r="G269" s="49" t="str">
        <f>IFERROR(__xludf.DUMMYFUNCTION("""COMPUTED_VALUE"""),"MTS-8 A")</f>
        <v>MTS-8 A</v>
      </c>
      <c r="H269" s="47" t="str">
        <f>IFERROR(__xludf.DUMMYFUNCTION("""COMPUTED_VALUE"""),"D")</f>
        <v>D</v>
      </c>
      <c r="I269" s="51" t="str">
        <f>IFERROR(__xludf.DUMMYFUNCTION("""COMPUTED_VALUE"""),"D-2")</f>
        <v>D-2</v>
      </c>
      <c r="J269" s="51">
        <f>IFERROR(__xludf.DUMMYFUNCTION("""COMPUTED_VALUE"""),2.0)</f>
        <v>2</v>
      </c>
      <c r="K269" s="51" t="str">
        <f>IFERROR(__xludf.DUMMYFUNCTION("""COMPUTED_VALUE"""),"ULA")</f>
        <v>ULA</v>
      </c>
      <c r="L269" s="52" t="str">
        <f>IFERROR(__xludf.DUMMYFUNCTION("""COMPUTED_VALUE"""),"6281249883082")</f>
        <v>6281249883082</v>
      </c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>
        <f>IFERROR(__xludf.DUMMYFUNCTION("""COMPUTED_VALUE"""),450000.0)</f>
        <v>450000</v>
      </c>
      <c r="Z269" s="53">
        <f>IFERROR(__xludf.DUMMYFUNCTION("""COMPUTED_VALUE"""),450000.0)</f>
        <v>450000</v>
      </c>
      <c r="AA269" s="53"/>
      <c r="AB269" s="53">
        <f>IFERROR(__xludf.DUMMYFUNCTION("""COMPUTED_VALUE"""),500000.0)</f>
        <v>500000</v>
      </c>
      <c r="AC269" s="53"/>
      <c r="AD269" s="53"/>
      <c r="AE269" s="54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>
        <f>IFERROR(__xludf.DUMMYFUNCTION("""COMPUTED_VALUE"""),500000.0)</f>
        <v>500000</v>
      </c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IFERROR(__xludf.DUMMYFUNCTION("""COMPUTED_VALUE"""),900000.0)</f>
        <v>900000</v>
      </c>
      <c r="BD269" s="54">
        <f>IFERROR(__xludf.DUMMYFUNCTION("""COMPUTED_VALUE"""),1000000.0)</f>
        <v>1000000</v>
      </c>
      <c r="BE269" s="54">
        <f>IFERROR(__xludf.DUMMYFUNCTION("""COMPUTED_VALUE"""),0.0)</f>
        <v>0</v>
      </c>
      <c r="BF269" s="55">
        <f>IFERROR(__xludf.DUMMYFUNCTION("""COMPUTED_VALUE"""),1900000.0)</f>
        <v>1900000</v>
      </c>
      <c r="BG269" s="53"/>
      <c r="BH269" s="53"/>
      <c r="BI269" s="53"/>
      <c r="BJ269" s="45"/>
      <c r="BK269" s="45"/>
      <c r="BL269" s="45"/>
      <c r="BM269" s="45"/>
      <c r="BN269" s="45"/>
      <c r="BO269" s="46"/>
    </row>
    <row r="270">
      <c r="A270" s="36">
        <f>IFERROR(__xludf.DUMMYFUNCTION("""COMPUTED_VALUE"""),269.0)</f>
        <v>269</v>
      </c>
      <c r="B270" s="37" t="str">
        <f>IFERROR(__xludf.DUMMYFUNCTION("""COMPUTED_VALUE"""),"DZAKIRA TALITA ZAHRA")</f>
        <v>DZAKIRA TALITA ZAHRA</v>
      </c>
      <c r="C270" s="38">
        <f>IFERROR(__xludf.DUMMYFUNCTION("""COMPUTED_VALUE"""),2.0250705E9)</f>
        <v>2025070500</v>
      </c>
      <c r="D270" s="37" t="str">
        <f>IFERROR(__xludf.DUMMYFUNCTION("""COMPUTED_VALUE"""),"SUWANTO")</f>
        <v>SUWANTO</v>
      </c>
      <c r="E270" s="37" t="str">
        <f>IFERROR(__xludf.DUMMYFUNCTION("""COMPUTED_VALUE"""),"YAYUK")</f>
        <v>YAYUK</v>
      </c>
      <c r="F270" s="37" t="str">
        <f>IFERROR(__xludf.DUMMYFUNCTION("""COMPUTED_VALUE"""),"BALI PLUMPANG RT 002 RW 004 SUKODADI LAMONGAN")</f>
        <v>BALI PLUMPANG RT 002 RW 004 SUKODADI LAMONGAN</v>
      </c>
      <c r="G270" s="39" t="str">
        <f>IFERROR(__xludf.DUMMYFUNCTION("""COMPUTED_VALUE"""),"MTS-8 B")</f>
        <v>MTS-8 B</v>
      </c>
      <c r="H270" s="36" t="str">
        <f>IFERROR(__xludf.DUMMYFUNCTION("""COMPUTED_VALUE"""),"D")</f>
        <v>D</v>
      </c>
      <c r="I270" s="42" t="str">
        <f>IFERROR(__xludf.DUMMYFUNCTION("""COMPUTED_VALUE"""),"D-2")</f>
        <v>D-2</v>
      </c>
      <c r="J270" s="40">
        <f>IFERROR(__xludf.DUMMYFUNCTION("""COMPUTED_VALUE"""),2.0)</f>
        <v>2</v>
      </c>
      <c r="K270" s="40" t="str">
        <f>IFERROR(__xludf.DUMMYFUNCTION("""COMPUTED_VALUE"""),"2 ULA B PUTRI")</f>
        <v>2 ULA B PUTRI</v>
      </c>
      <c r="L270" s="41" t="str">
        <f>IFERROR(__xludf.DUMMYFUNCTION("""COMPUTED_VALUE"""),"6285706513453")</f>
        <v>6285706513453</v>
      </c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>
        <f>IFERROR(__xludf.DUMMYFUNCTION("""COMPUTED_VALUE"""),500000.0)</f>
        <v>500000</v>
      </c>
      <c r="AC270" s="42"/>
      <c r="AD270" s="42"/>
      <c r="AE270" s="43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>
        <f>IFERROR(__xludf.DUMMYFUNCTION("""COMPUTED_VALUE"""),500000.0)</f>
        <v>500000</v>
      </c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IFERROR(__xludf.DUMMYFUNCTION("""COMPUTED_VALUE"""),1000000.0)</f>
        <v>1000000</v>
      </c>
      <c r="BE270" s="43">
        <f>IFERROR(__xludf.DUMMYFUNCTION("""COMPUTED_VALUE"""),0.0)</f>
        <v>0</v>
      </c>
      <c r="BF270" s="44">
        <f>IFERROR(__xludf.DUMMYFUNCTION("""COMPUTED_VALUE"""),1000000.0)</f>
        <v>1000000</v>
      </c>
      <c r="BG270" s="42"/>
      <c r="BH270" s="42"/>
      <c r="BI270" s="42"/>
      <c r="BJ270" s="45"/>
      <c r="BK270" s="45"/>
      <c r="BL270" s="45"/>
      <c r="BM270" s="45"/>
      <c r="BN270" s="45"/>
      <c r="BO270" s="46"/>
    </row>
    <row r="271">
      <c r="A271" s="47">
        <f>IFERROR(__xludf.DUMMYFUNCTION("""COMPUTED_VALUE"""),270.0)</f>
        <v>270</v>
      </c>
      <c r="B271" s="48" t="str">
        <f>IFERROR(__xludf.DUMMYFUNCTION("""COMPUTED_VALUE"""),"ELSA MARSHA ANDITA")</f>
        <v>ELSA MARSHA ANDITA</v>
      </c>
      <c r="C271" s="49">
        <f>IFERROR(__xludf.DUMMYFUNCTION("""COMPUTED_VALUE"""),2.025070627E9)</f>
        <v>2025070627</v>
      </c>
      <c r="D271" s="48" t="str">
        <f>IFERROR(__xludf.DUMMYFUNCTION("""COMPUTED_VALUE"""),"SURATNO")</f>
        <v>SURATNO</v>
      </c>
      <c r="E271" s="48" t="str">
        <f>IFERROR(__xludf.DUMMYFUNCTION("""COMPUTED_VALUE"""),"PUTRI INDAH LESTARI")</f>
        <v>PUTRI INDAH LESTARI</v>
      </c>
      <c r="F271" s="48" t="str">
        <f>IFERROR(__xludf.DUMMYFUNCTION("""COMPUTED_VALUE"""),"PERUM NAJWA ASRI BLUNGKAN SENDANGREJO RT 007 RW 003 LAMONGAN LAMONGAN")</f>
        <v>PERUM NAJWA ASRI BLUNGKAN SENDANGREJO RT 007 RW 003 LAMONGAN LAMONGAN</v>
      </c>
      <c r="G271" s="50" t="str">
        <f>IFERROR(__xludf.DUMMYFUNCTION("""COMPUTED_VALUE"""),"MTS-8 G")</f>
        <v>MTS-8 G</v>
      </c>
      <c r="H271" s="47" t="str">
        <f>IFERROR(__xludf.DUMMYFUNCTION("""COMPUTED_VALUE"""),"D")</f>
        <v>D</v>
      </c>
      <c r="I271" s="53" t="str">
        <f>IFERROR(__xludf.DUMMYFUNCTION("""COMPUTED_VALUE"""),"D-2")</f>
        <v>D-2</v>
      </c>
      <c r="J271" s="51">
        <f>IFERROR(__xludf.DUMMYFUNCTION("""COMPUTED_VALUE"""),2.0)</f>
        <v>2</v>
      </c>
      <c r="K271" s="51" t="str">
        <f>IFERROR(__xludf.DUMMYFUNCTION("""COMPUTED_VALUE"""),"2 ULA C PUTRI")</f>
        <v>2 ULA C PUTRI</v>
      </c>
      <c r="L271" s="52" t="str">
        <f>IFERROR(__xludf.DUMMYFUNCTION("""COMPUTED_VALUE"""),"6285704642352")</f>
        <v>6285704642352</v>
      </c>
      <c r="M271" s="53"/>
      <c r="N271" s="53"/>
      <c r="O271" s="53"/>
      <c r="P271" s="53"/>
      <c r="Q271" s="53"/>
      <c r="R271" s="53"/>
      <c r="S271" s="53"/>
      <c r="T271" s="53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4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IFERROR(__xludf.DUMMYFUNCTION("""COMPUTED_VALUE"""),0.0)</f>
        <v>0</v>
      </c>
      <c r="BD271" s="54">
        <f>IFERROR(__xludf.DUMMYFUNCTION("""COMPUTED_VALUE"""),0.0)</f>
        <v>0</v>
      </c>
      <c r="BE271" s="54">
        <f>IFERROR(__xludf.DUMMYFUNCTION("""COMPUTED_VALUE"""),0.0)</f>
        <v>0</v>
      </c>
      <c r="BF271" s="55">
        <f>IFERROR(__xludf.DUMMYFUNCTION("""COMPUTED_VALUE"""),0.0)</f>
        <v>0</v>
      </c>
      <c r="BG271" s="53"/>
      <c r="BH271" s="53"/>
      <c r="BI271" s="53"/>
      <c r="BJ271" s="45"/>
      <c r="BK271" s="45"/>
      <c r="BL271" s="45"/>
      <c r="BM271" s="45"/>
      <c r="BN271" s="45"/>
      <c r="BO271" s="46"/>
    </row>
    <row r="272">
      <c r="A272" s="36">
        <f>IFERROR(__xludf.DUMMYFUNCTION("""COMPUTED_VALUE"""),271.0)</f>
        <v>271</v>
      </c>
      <c r="B272" s="37" t="str">
        <f>IFERROR(__xludf.DUMMYFUNCTION("""COMPUTED_VALUE"""),"FARAH ADIBAH")</f>
        <v>FARAH ADIBAH</v>
      </c>
      <c r="C272" s="38">
        <f>IFERROR(__xludf.DUMMYFUNCTION("""COMPUTED_VALUE"""),2.025070633E9)</f>
        <v>2025070633</v>
      </c>
      <c r="D272" s="37" t="str">
        <f>IFERROR(__xludf.DUMMYFUNCTION("""COMPUTED_VALUE"""),"AHMAD KHOLIQ")</f>
        <v>AHMAD KHOLIQ</v>
      </c>
      <c r="E272" s="37" t="str">
        <f>IFERROR(__xludf.DUMMYFUNCTION("""COMPUTED_VALUE"""),"FADILAH")</f>
        <v>FADILAH</v>
      </c>
      <c r="F272" s="37" t="str">
        <f>IFERROR(__xludf.DUMMYFUNCTION("""COMPUTED_VALUE"""),"SUNGELEBAK RT 015 RW 005 KARANGGENENG LAMONGAN")</f>
        <v>SUNGELEBAK RT 015 RW 005 KARANGGENENG LAMONGAN</v>
      </c>
      <c r="G272" s="56" t="str">
        <f>IFERROR(__xludf.DUMMYFUNCTION("""COMPUTED_VALUE"""),"MTS-8 D")</f>
        <v>MTS-8 D</v>
      </c>
      <c r="H272" s="36" t="str">
        <f>IFERROR(__xludf.DUMMYFUNCTION("""COMPUTED_VALUE"""),"D")</f>
        <v>D</v>
      </c>
      <c r="I272" s="40" t="str">
        <f>IFERROR(__xludf.DUMMYFUNCTION("""COMPUTED_VALUE"""),"D-2")</f>
        <v>D-2</v>
      </c>
      <c r="J272" s="40">
        <f>IFERROR(__xludf.DUMMYFUNCTION("""COMPUTED_VALUE"""),2.0)</f>
        <v>2</v>
      </c>
      <c r="K272" s="40" t="str">
        <f>IFERROR(__xludf.DUMMYFUNCTION("""COMPUTED_VALUE"""),"2 ULA C PUTRI")</f>
        <v>2 ULA C PUTRI</v>
      </c>
      <c r="L272" s="41" t="str">
        <f>IFERROR(__xludf.DUMMYFUNCTION("""COMPUTED_VALUE"""),"6282142187105")</f>
        <v>6282142187105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>
        <f>IFERROR(__xludf.DUMMYFUNCTION("""COMPUTED_VALUE"""),500000.0)</f>
        <v>500000</v>
      </c>
      <c r="AC272" s="42"/>
      <c r="AD272" s="42"/>
      <c r="AE272" s="43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>
        <f>IFERROR(__xludf.DUMMYFUNCTION("""COMPUTED_VALUE"""),500000.0)</f>
        <v>500000</v>
      </c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IFERROR(__xludf.DUMMYFUNCTION("""COMPUTED_VALUE"""),0.0)</f>
        <v>0</v>
      </c>
      <c r="BD272" s="43">
        <f>IFERROR(__xludf.DUMMYFUNCTION("""COMPUTED_VALUE"""),1000000.0)</f>
        <v>1000000</v>
      </c>
      <c r="BE272" s="43">
        <f>IFERROR(__xludf.DUMMYFUNCTION("""COMPUTED_VALUE"""),0.0)</f>
        <v>0</v>
      </c>
      <c r="BF272" s="44">
        <f>IFERROR(__xludf.DUMMYFUNCTION("""COMPUTED_VALUE"""),1000000.0)</f>
        <v>1000000</v>
      </c>
      <c r="BG272" s="42"/>
      <c r="BH272" s="42"/>
      <c r="BI272" s="42"/>
      <c r="BJ272" s="45"/>
      <c r="BK272" s="45"/>
      <c r="BL272" s="45"/>
      <c r="BM272" s="45"/>
      <c r="BN272" s="45"/>
      <c r="BO272" s="46"/>
    </row>
    <row r="273">
      <c r="A273" s="47">
        <f>IFERROR(__xludf.DUMMYFUNCTION("""COMPUTED_VALUE"""),272.0)</f>
        <v>272</v>
      </c>
      <c r="B273" s="48" t="str">
        <f>IFERROR(__xludf.DUMMYFUNCTION("""COMPUTED_VALUE"""),"HALIMATUS SA`DIYYAH")</f>
        <v>HALIMATUS SA`DIYYAH</v>
      </c>
      <c r="C273" s="49">
        <f>IFERROR(__xludf.DUMMYFUNCTION("""COMPUTED_VALUE"""),2.025070335E9)</f>
        <v>2025070335</v>
      </c>
      <c r="D273" s="48" t="str">
        <f>IFERROR(__xludf.DUMMYFUNCTION("""COMPUTED_VALUE"""),"H. MUKHLISIN")</f>
        <v>H. MUKHLISIN</v>
      </c>
      <c r="E273" s="48" t="str">
        <f>IFERROR(__xludf.DUMMYFUNCTION("""COMPUTED_VALUE"""),"HJ. ISTIANAH")</f>
        <v>HJ. ISTIANAH</v>
      </c>
      <c r="F273" s="48" t="str">
        <f>IFERROR(__xludf.DUMMYFUNCTION("""COMPUTED_VALUE"""),"SUNGELEBAK RT 013 RW 004 KARANGGENENG LAMONGAN")</f>
        <v>SUNGELEBAK RT 013 RW 004 KARANGGENENG LAMONGAN</v>
      </c>
      <c r="G273" s="50" t="str">
        <f>IFERROR(__xludf.DUMMYFUNCTION("""COMPUTED_VALUE"""),"MA-XI.2")</f>
        <v>MA-XI.2</v>
      </c>
      <c r="H273" s="47" t="str">
        <f>IFERROR(__xludf.DUMMYFUNCTION("""COMPUTED_VALUE"""),"D")</f>
        <v>D</v>
      </c>
      <c r="I273" s="51" t="str">
        <f>IFERROR(__xludf.DUMMYFUNCTION("""COMPUTED_VALUE"""),"D-8")</f>
        <v>D-8</v>
      </c>
      <c r="J273" s="51">
        <f>IFERROR(__xludf.DUMMYFUNCTION("""COMPUTED_VALUE"""),2.0)</f>
        <v>2</v>
      </c>
      <c r="K273" s="51" t="str">
        <f>IFERROR(__xludf.DUMMYFUNCTION("""COMPUTED_VALUE"""),"2 WUSTHO A PUTRI")</f>
        <v>2 WUSTHO A PUTRI</v>
      </c>
      <c r="L273" s="52" t="str">
        <f>IFERROR(__xludf.DUMMYFUNCTION("""COMPUTED_VALUE"""),"6281332519614")</f>
        <v>6281332519614</v>
      </c>
      <c r="M273" s="53"/>
      <c r="N273" s="53">
        <f>IFERROR(__xludf.DUMMYFUNCTION("""COMPUTED_VALUE"""),200000.0)</f>
        <v>200000</v>
      </c>
      <c r="O273" s="53">
        <f>IFERROR(__xludf.DUMMYFUNCTION("""COMPUTED_VALUE"""),450000.0)</f>
        <v>450000</v>
      </c>
      <c r="P273" s="53">
        <f>IFERROR(__xludf.DUMMYFUNCTION("""COMPUTED_VALUE"""),450000.0)</f>
        <v>450000</v>
      </c>
      <c r="Q273" s="53">
        <f>IFERROR(__xludf.DUMMYFUNCTION("""COMPUTED_VALUE"""),450000.0)</f>
        <v>450000</v>
      </c>
      <c r="R273" s="53">
        <f>IFERROR(__xludf.DUMMYFUNCTION("""COMPUTED_VALUE"""),450000.0)</f>
        <v>450000</v>
      </c>
      <c r="S273" s="53">
        <f>IFERROR(__xludf.DUMMYFUNCTION("""COMPUTED_VALUE"""),450000.0)</f>
        <v>450000</v>
      </c>
      <c r="T273" s="53">
        <f>IFERROR(__xludf.DUMMYFUNCTION("""COMPUTED_VALUE"""),450000.0)</f>
        <v>450000</v>
      </c>
      <c r="U273" s="53">
        <f>IFERROR(__xludf.DUMMYFUNCTION("""COMPUTED_VALUE"""),450000.0)</f>
        <v>450000</v>
      </c>
      <c r="V273" s="53">
        <f>IFERROR(__xludf.DUMMYFUNCTION("""COMPUTED_VALUE"""),450000.0)</f>
        <v>450000</v>
      </c>
      <c r="W273" s="53">
        <f>IFERROR(__xludf.DUMMYFUNCTION("""COMPUTED_VALUE"""),450000.0)</f>
        <v>450000</v>
      </c>
      <c r="X273" s="53">
        <f>IFERROR(__xludf.DUMMYFUNCTION("""COMPUTED_VALUE"""),450000.0)</f>
        <v>450000</v>
      </c>
      <c r="Y273" s="53">
        <f>IFERROR(__xludf.DUMMYFUNCTION("""COMPUTED_VALUE"""),450000.0)</f>
        <v>450000</v>
      </c>
      <c r="Z273" s="53">
        <f>IFERROR(__xludf.DUMMYFUNCTION("""COMPUTED_VALUE"""),450000.0)</f>
        <v>450000</v>
      </c>
      <c r="AA273" s="53"/>
      <c r="AB273" s="53"/>
      <c r="AC273" s="53"/>
      <c r="AD273" s="53"/>
      <c r="AE273" s="54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IFERROR(__xludf.DUMMYFUNCTION("""COMPUTED_VALUE"""),5400000.0)</f>
        <v>5400000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IFERROR(__xludf.DUMMYFUNCTION("""COMPUTED_VALUE"""),5400000.0)</f>
        <v>5400000</v>
      </c>
      <c r="BG273" s="53"/>
      <c r="BH273" s="53"/>
      <c r="BI273" s="53"/>
      <c r="BJ273" s="45"/>
      <c r="BK273" s="45"/>
      <c r="BL273" s="45"/>
      <c r="BM273" s="45"/>
      <c r="BN273" s="45"/>
      <c r="BO273" s="46"/>
    </row>
    <row r="274">
      <c r="A274" s="36">
        <f>IFERROR(__xludf.DUMMYFUNCTION("""COMPUTED_VALUE"""),273.0)</f>
        <v>273</v>
      </c>
      <c r="B274" s="37" t="str">
        <f>IFERROR(__xludf.DUMMYFUNCTION("""COMPUTED_VALUE"""),"HILDA ABIDAH ANJANI")</f>
        <v>HILDA ABIDAH ANJANI</v>
      </c>
      <c r="C274" s="38">
        <f>IFERROR(__xludf.DUMMYFUNCTION("""COMPUTED_VALUE"""),2.025070524E9)</f>
        <v>2025070524</v>
      </c>
      <c r="D274" s="37" t="str">
        <f>IFERROR(__xludf.DUMMYFUNCTION("""COMPUTED_VALUE"""),"HANAFI")</f>
        <v>HANAFI</v>
      </c>
      <c r="E274" s="37" t="str">
        <f>IFERROR(__xludf.DUMMYFUNCTION("""COMPUTED_VALUE"""),"SITI MUNAWAROH")</f>
        <v>SITI MUNAWAROH</v>
      </c>
      <c r="F274" s="37" t="str">
        <f>IFERROR(__xludf.DUMMYFUNCTION("""COMPUTED_VALUE"""),"GOWAH POMAHANJANGGAN RT 002 RW 001 TURI LAMONGAN")</f>
        <v>GOWAH POMAHANJANGGAN RT 002 RW 001 TURI LAMONGAN</v>
      </c>
      <c r="G274" s="39" t="str">
        <f>IFERROR(__xludf.DUMMYFUNCTION("""COMPUTED_VALUE"""),"MTS-8 C")</f>
        <v>MTS-8 C</v>
      </c>
      <c r="H274" s="36" t="str">
        <f>IFERROR(__xludf.DUMMYFUNCTION("""COMPUTED_VALUE"""),"D")</f>
        <v>D</v>
      </c>
      <c r="I274" s="40" t="str">
        <f>IFERROR(__xludf.DUMMYFUNCTION("""COMPUTED_VALUE"""),"D-2")</f>
        <v>D-2</v>
      </c>
      <c r="J274" s="40">
        <f>IFERROR(__xludf.DUMMYFUNCTION("""COMPUTED_VALUE"""),2.0)</f>
        <v>2</v>
      </c>
      <c r="K274" s="40" t="str">
        <f>IFERROR(__xludf.DUMMYFUNCTION("""COMPUTED_VALUE"""),"2 ULA A PUTRI")</f>
        <v>2 ULA A PUTRI</v>
      </c>
      <c r="L274" s="41" t="str">
        <f>IFERROR(__xludf.DUMMYFUNCTION("""COMPUTED_VALUE"""),"6285707652707")</f>
        <v>6285707652707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>
        <f>IFERROR(__xludf.DUMMYFUNCTION("""COMPUTED_VALUE"""),450000.0)</f>
        <v>450000</v>
      </c>
      <c r="Z274" s="42">
        <f>IFERROR(__xludf.DUMMYFUNCTION("""COMPUTED_VALUE"""),450000.0)</f>
        <v>450000</v>
      </c>
      <c r="AA274" s="42"/>
      <c r="AB274" s="43"/>
      <c r="AC274" s="42"/>
      <c r="AD274" s="43"/>
      <c r="AE274" s="43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3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IFERROR(__xludf.DUMMYFUNCTION("""COMPUTED_VALUE"""),900000.0)</f>
        <v>900000</v>
      </c>
      <c r="BD274" s="43">
        <f>IFERROR(__xludf.DUMMYFUNCTION("""COMPUTED_VALUE"""),0.0)</f>
        <v>0</v>
      </c>
      <c r="BE274" s="43">
        <f>IFERROR(__xludf.DUMMYFUNCTION("""COMPUTED_VALUE"""),0.0)</f>
        <v>0</v>
      </c>
      <c r="BF274" s="44">
        <f>IFERROR(__xludf.DUMMYFUNCTION("""COMPUTED_VALUE"""),900000.0)</f>
        <v>900000</v>
      </c>
      <c r="BG274" s="42"/>
      <c r="BH274" s="42"/>
      <c r="BI274" s="42"/>
      <c r="BJ274" s="45"/>
      <c r="BK274" s="45"/>
      <c r="BL274" s="45"/>
      <c r="BM274" s="45"/>
      <c r="BN274" s="45"/>
      <c r="BO274" s="46"/>
    </row>
    <row r="275">
      <c r="A275" s="47">
        <f>IFERROR(__xludf.DUMMYFUNCTION("""COMPUTED_VALUE"""),274.0)</f>
        <v>274</v>
      </c>
      <c r="B275" s="48" t="str">
        <f>IFERROR(__xludf.DUMMYFUNCTION("""COMPUTED_VALUE"""),"KHOSIATUL NUR KARIMAH")</f>
        <v>KHOSIATUL NUR KARIMAH</v>
      </c>
      <c r="C275" s="49">
        <f>IFERROR(__xludf.DUMMYFUNCTION("""COMPUTED_VALUE"""),2.025070129E9)</f>
        <v>2025070129</v>
      </c>
      <c r="D275" s="48" t="str">
        <f>IFERROR(__xludf.DUMMYFUNCTION("""COMPUTED_VALUE"""),"SAMIN")</f>
        <v>SAMIN</v>
      </c>
      <c r="E275" s="48" t="str">
        <f>IFERROR(__xludf.DUMMYFUNCTION("""COMPUTED_VALUE"""),"SHOLIKHAH")</f>
        <v>SHOLIKHAH</v>
      </c>
      <c r="F275" s="48" t="str">
        <f>IFERROR(__xludf.DUMMYFUNCTION("""COMPUTED_VALUE"""),"PADENGANPLOSO RT 008 RW 001 PUCUK LAMONGAN")</f>
        <v>PADENGANPLOSO RT 008 RW 001 PUCUK LAMONGAN</v>
      </c>
      <c r="G275" s="50" t="str">
        <f>IFERROR(__xludf.DUMMYFUNCTION("""COMPUTED_VALUE"""),"MA-XI.13")</f>
        <v>MA-XI.13</v>
      </c>
      <c r="H275" s="47" t="str">
        <f>IFERROR(__xludf.DUMMYFUNCTION("""COMPUTED_VALUE"""),"D")</f>
        <v>D</v>
      </c>
      <c r="I275" s="51" t="str">
        <f>IFERROR(__xludf.DUMMYFUNCTION("""COMPUTED_VALUE"""),"D-8")</f>
        <v>D-8</v>
      </c>
      <c r="J275" s="51">
        <f>IFERROR(__xludf.DUMMYFUNCTION("""COMPUTED_VALUE"""),2.0)</f>
        <v>2</v>
      </c>
      <c r="K275" s="51" t="str">
        <f>IFERROR(__xludf.DUMMYFUNCTION("""COMPUTED_VALUE"""),"2 MAK PUTRI")</f>
        <v>2 MAK PUTRI</v>
      </c>
      <c r="L275" s="52" t="str">
        <f>IFERROR(__xludf.DUMMYFUNCTION("""COMPUTED_VALUE"""),"6285732185674")</f>
        <v>6285732185674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>
        <f>IFERROR(__xludf.DUMMYFUNCTION("""COMPUTED_VALUE"""),500000.0)</f>
        <v>500000</v>
      </c>
      <c r="AC275" s="53"/>
      <c r="AD275" s="53"/>
      <c r="AE275" s="54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4">
        <f>IFERROR(__xludf.DUMMYFUNCTION("""COMPUTED_VALUE"""),500000.0)</f>
        <v>500000</v>
      </c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IFERROR(__xludf.DUMMYFUNCTION("""COMPUTED_VALUE"""),1000000.0)</f>
        <v>1000000</v>
      </c>
      <c r="BE275" s="54">
        <f>IFERROR(__xludf.DUMMYFUNCTION("""COMPUTED_VALUE"""),0.0)</f>
        <v>0</v>
      </c>
      <c r="BF275" s="55">
        <f>IFERROR(__xludf.DUMMYFUNCTION("""COMPUTED_VALUE"""),1000000.0)</f>
        <v>1000000</v>
      </c>
      <c r="BG275" s="53"/>
      <c r="BH275" s="53"/>
      <c r="BI275" s="53"/>
      <c r="BJ275" s="45"/>
      <c r="BK275" s="45"/>
      <c r="BL275" s="45"/>
      <c r="BM275" s="45"/>
      <c r="BN275" s="45"/>
      <c r="BO275" s="46"/>
    </row>
    <row r="276">
      <c r="A276" s="36">
        <f>IFERROR(__xludf.DUMMYFUNCTION("""COMPUTED_VALUE"""),275.0)</f>
        <v>275</v>
      </c>
      <c r="B276" s="37" t="str">
        <f>IFERROR(__xludf.DUMMYFUNCTION("""COMPUTED_VALUE"""),"LATHIFATUL FATIHAH ALMASYRIFAH")</f>
        <v>LATHIFATUL FATIHAH ALMASYRIFAH</v>
      </c>
      <c r="C276" s="38">
        <f>IFERROR(__xludf.DUMMYFUNCTION("""COMPUTED_VALUE"""),2.025070663E9)</f>
        <v>2025070663</v>
      </c>
      <c r="D276" s="37" t="str">
        <f>IFERROR(__xludf.DUMMYFUNCTION("""COMPUTED_VALUE"""),"AHMAD MUJIB")</f>
        <v>AHMAD MUJIB</v>
      </c>
      <c r="E276" s="37" t="str">
        <f>IFERROR(__xludf.DUMMYFUNCTION("""COMPUTED_VALUE"""),"ROHMATUL ARIFAH")</f>
        <v>ROHMATUL ARIFAH</v>
      </c>
      <c r="F276" s="37" t="str">
        <f>IFERROR(__xludf.DUMMYFUNCTION("""COMPUTED_VALUE"""),"KH. FAQIH UTSMAN KARANGTAWAR RT 001 RW 002 LAREN LAMONGAN")</f>
        <v>KH. FAQIH UTSMAN KARANGTAWAR RT 001 RW 002 LAREN LAMONGAN</v>
      </c>
      <c r="G276" s="39" t="str">
        <f>IFERROR(__xludf.DUMMYFUNCTION("""COMPUTED_VALUE"""),"SMK-XI DKV")</f>
        <v>SMK-XI DKV</v>
      </c>
      <c r="H276" s="36" t="str">
        <f>IFERROR(__xludf.DUMMYFUNCTION("""COMPUTED_VALUE"""),"D")</f>
        <v>D</v>
      </c>
      <c r="I276" s="40" t="str">
        <f>IFERROR(__xludf.DUMMYFUNCTION("""COMPUTED_VALUE"""),"D-7")</f>
        <v>D-7</v>
      </c>
      <c r="J276" s="40">
        <f>IFERROR(__xludf.DUMMYFUNCTION("""COMPUTED_VALUE"""),2.0)</f>
        <v>2</v>
      </c>
      <c r="K276" s="40" t="str">
        <f>IFERROR(__xludf.DUMMYFUNCTION("""COMPUTED_VALUE"""),"2 WUSTHO A PUTRI")</f>
        <v>2 WUSTHO A PUTRI</v>
      </c>
      <c r="L276" s="41" t="str">
        <f>IFERROR(__xludf.DUMMYFUNCTION("""COMPUTED_VALUE"""),"6285700800189")</f>
        <v>6285700800189</v>
      </c>
      <c r="M276" s="42"/>
      <c r="N276" s="42">
        <f>IFERROR(__xludf.DUMMYFUNCTION("""COMPUTED_VALUE"""),200000.0)</f>
        <v>200000</v>
      </c>
      <c r="O276" s="42"/>
      <c r="P276" s="42"/>
      <c r="Q276" s="42">
        <f>IFERROR(__xludf.DUMMYFUNCTION("""COMPUTED_VALUE"""),450000.0)</f>
        <v>450000</v>
      </c>
      <c r="R276" s="42">
        <f>IFERROR(__xludf.DUMMYFUNCTION("""COMPUTED_VALUE"""),450000.0)</f>
        <v>450000</v>
      </c>
      <c r="S276" s="42">
        <f>IFERROR(__xludf.DUMMYFUNCTION("""COMPUTED_VALUE"""),450000.0)</f>
        <v>450000</v>
      </c>
      <c r="T276" s="42">
        <f>IFERROR(__xludf.DUMMYFUNCTION("""COMPUTED_VALUE"""),450000.0)</f>
        <v>450000</v>
      </c>
      <c r="U276" s="42">
        <f>IFERROR(__xludf.DUMMYFUNCTION("""COMPUTED_VALUE"""),450000.0)</f>
        <v>450000</v>
      </c>
      <c r="V276" s="42">
        <f>IFERROR(__xludf.DUMMYFUNCTION("""COMPUTED_VALUE"""),450000.0)</f>
        <v>450000</v>
      </c>
      <c r="W276" s="42">
        <f>IFERROR(__xludf.DUMMYFUNCTION("""COMPUTED_VALUE"""),450000.0)</f>
        <v>450000</v>
      </c>
      <c r="X276" s="42">
        <f>IFERROR(__xludf.DUMMYFUNCTION("""COMPUTED_VALUE"""),450000.0)</f>
        <v>450000</v>
      </c>
      <c r="Y276" s="42">
        <f>IFERROR(__xludf.DUMMYFUNCTION("""COMPUTED_VALUE"""),450000.0)</f>
        <v>450000</v>
      </c>
      <c r="Z276" s="42">
        <f>IFERROR(__xludf.DUMMYFUNCTION("""COMPUTED_VALUE"""),450000.0)</f>
        <v>450000</v>
      </c>
      <c r="AA276" s="42"/>
      <c r="AB276" s="42"/>
      <c r="AC276" s="42"/>
      <c r="AD276" s="42"/>
      <c r="AE276" s="43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IFERROR(__xludf.DUMMYFUNCTION("""COMPUTED_VALUE"""),4500000.0)</f>
        <v>4500000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IFERROR(__xludf.DUMMYFUNCTION("""COMPUTED_VALUE"""),4500000.0)</f>
        <v>4500000</v>
      </c>
      <c r="BG276" s="42"/>
      <c r="BH276" s="42"/>
      <c r="BI276" s="42"/>
      <c r="BJ276" s="45"/>
      <c r="BK276" s="45"/>
      <c r="BL276" s="45"/>
      <c r="BM276" s="45"/>
      <c r="BN276" s="45"/>
      <c r="BO276" s="46"/>
    </row>
    <row r="277">
      <c r="A277" s="47">
        <f>IFERROR(__xludf.DUMMYFUNCTION("""COMPUTED_VALUE"""),276.0)</f>
        <v>276</v>
      </c>
      <c r="B277" s="48" t="str">
        <f>IFERROR(__xludf.DUMMYFUNCTION("""COMPUTED_VALUE"""),"LUTHFIYAH AHSANAL HURI")</f>
        <v>LUTHFIYAH AHSANAL HURI</v>
      </c>
      <c r="C277" s="49">
        <f>IFERROR(__xludf.DUMMYFUNCTION("""COMPUTED_VALUE"""),2.025070557E9)</f>
        <v>2025070557</v>
      </c>
      <c r="D277" s="48" t="str">
        <f>IFERROR(__xludf.DUMMYFUNCTION("""COMPUTED_VALUE"""),"MUHAMMAD AHSIN HUDA")</f>
        <v>MUHAMMAD AHSIN HUDA</v>
      </c>
      <c r="E277" s="48" t="str">
        <f>IFERROR(__xludf.DUMMYFUNCTION("""COMPUTED_VALUE"""),"MU`AWANAH")</f>
        <v>MU`AWANAH</v>
      </c>
      <c r="F277" s="48" t="str">
        <f>IFERROR(__xludf.DUMMYFUNCTION("""COMPUTED_VALUE"""),"PARENGAN RT 002 RW 004 MADURAN LAMONGAN")</f>
        <v>PARENGAN RT 002 RW 004 MADURAN LAMONGAN</v>
      </c>
      <c r="G277" s="50" t="str">
        <f>IFERROR(__xludf.DUMMYFUNCTION("""COMPUTED_VALUE"""),"MTS-8 E")</f>
        <v>MTS-8 E</v>
      </c>
      <c r="H277" s="47" t="str">
        <f>IFERROR(__xludf.DUMMYFUNCTION("""COMPUTED_VALUE"""),"D")</f>
        <v>D</v>
      </c>
      <c r="I277" s="51" t="str">
        <f>IFERROR(__xludf.DUMMYFUNCTION("""COMPUTED_VALUE"""),"D-2")</f>
        <v>D-2</v>
      </c>
      <c r="J277" s="51">
        <f>IFERROR(__xludf.DUMMYFUNCTION("""COMPUTED_VALUE"""),2.0)</f>
        <v>2</v>
      </c>
      <c r="K277" s="51" t="str">
        <f>IFERROR(__xludf.DUMMYFUNCTION("""COMPUTED_VALUE"""),"2 ULA B PUTRI")</f>
        <v>2 ULA B PUTRI</v>
      </c>
      <c r="L277" s="52" t="str">
        <f>IFERROR(__xludf.DUMMYFUNCTION("""COMPUTED_VALUE"""),"6285735201839")</f>
        <v>6285735201839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>
        <f>IFERROR(__xludf.DUMMYFUNCTION("""COMPUTED_VALUE"""),500000.0)</f>
        <v>500000</v>
      </c>
      <c r="AC277" s="53"/>
      <c r="AD277" s="53"/>
      <c r="AE277" s="54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4">
        <f>IFERROR(__xludf.DUMMYFUNCTION("""COMPUTED_VALUE"""),500000.0)</f>
        <v>500000</v>
      </c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IFERROR(__xludf.DUMMYFUNCTION("""COMPUTED_VALUE"""),1000000.0)</f>
        <v>1000000</v>
      </c>
      <c r="BE277" s="54">
        <f>IFERROR(__xludf.DUMMYFUNCTION("""COMPUTED_VALUE"""),0.0)</f>
        <v>0</v>
      </c>
      <c r="BF277" s="55">
        <f>IFERROR(__xludf.DUMMYFUNCTION("""COMPUTED_VALUE"""),1000000.0)</f>
        <v>1000000</v>
      </c>
      <c r="BG277" s="53"/>
      <c r="BH277" s="53"/>
      <c r="BI277" s="53"/>
      <c r="BJ277" s="45"/>
      <c r="BK277" s="45"/>
      <c r="BL277" s="45"/>
      <c r="BM277" s="45"/>
      <c r="BN277" s="45"/>
      <c r="BO277" s="46"/>
    </row>
    <row r="278">
      <c r="A278" s="36">
        <f>IFERROR(__xludf.DUMMYFUNCTION("""COMPUTED_VALUE"""),277.0)</f>
        <v>277</v>
      </c>
      <c r="B278" s="37" t="str">
        <f>IFERROR(__xludf.DUMMYFUNCTION("""COMPUTED_VALUE"""),"NUR SAFIRA ALFA NIKMAH")</f>
        <v>NUR SAFIRA ALFA NIKMAH</v>
      </c>
      <c r="C278" s="38">
        <f>IFERROR(__xludf.DUMMYFUNCTION("""COMPUTED_VALUE"""),2.025070392E9)</f>
        <v>2025070392</v>
      </c>
      <c r="D278" s="37" t="str">
        <f>IFERROR(__xludf.DUMMYFUNCTION("""COMPUTED_VALUE"""),"MUSTOHA")</f>
        <v>MUSTOHA</v>
      </c>
      <c r="E278" s="37" t="str">
        <f>IFERROR(__xludf.DUMMYFUNCTION("""COMPUTED_VALUE"""),"ALIYAH")</f>
        <v>ALIYAH</v>
      </c>
      <c r="F278" s="37" t="str">
        <f>IFERROR(__xludf.DUMMYFUNCTION("""COMPUTED_VALUE"""),"DAMPIT GEMPOLTUKMLOKO RT 001 RW 001 SARIREJO LAMONGAN")</f>
        <v>DAMPIT GEMPOLTUKMLOKO RT 001 RW 001 SARIREJO LAMONGAN</v>
      </c>
      <c r="G278" s="39" t="str">
        <f>IFERROR(__xludf.DUMMYFUNCTION("""COMPUTED_VALUE"""),"MA-XI.2")</f>
        <v>MA-XI.2</v>
      </c>
      <c r="H278" s="36" t="str">
        <f>IFERROR(__xludf.DUMMYFUNCTION("""COMPUTED_VALUE"""),"D")</f>
        <v>D</v>
      </c>
      <c r="I278" s="42" t="str">
        <f>IFERROR(__xludf.DUMMYFUNCTION("""COMPUTED_VALUE"""),"D-8")</f>
        <v>D-8</v>
      </c>
      <c r="J278" s="40">
        <f>IFERROR(__xludf.DUMMYFUNCTION("""COMPUTED_VALUE"""),2.0)</f>
        <v>2</v>
      </c>
      <c r="K278" s="40" t="str">
        <f>IFERROR(__xludf.DUMMYFUNCTION("""COMPUTED_VALUE"""),"2 WUSTHO D PUTRI")</f>
        <v>2 WUSTHO D PUTRI</v>
      </c>
      <c r="L278" s="41" t="str">
        <f>IFERROR(__xludf.DUMMYFUNCTION("""COMPUTED_VALUE"""),"6285782663806")</f>
        <v>6285782663806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>
        <f>IFERROR(__xludf.DUMMYFUNCTION("""COMPUTED_VALUE"""),450000.0)</f>
        <v>450000</v>
      </c>
      <c r="Z278" s="42">
        <f>IFERROR(__xludf.DUMMYFUNCTION("""COMPUTED_VALUE"""),450000.0)</f>
        <v>450000</v>
      </c>
      <c r="AA278" s="42"/>
      <c r="AB278" s="42">
        <f>IFERROR(__xludf.DUMMYFUNCTION("""COMPUTED_VALUE"""),500000.0)</f>
        <v>500000</v>
      </c>
      <c r="AC278" s="42"/>
      <c r="AD278" s="42"/>
      <c r="AE278" s="43"/>
      <c r="AF278" s="59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>
        <f>IFERROR(__xludf.DUMMYFUNCTION("""COMPUTED_VALUE"""),500000.0)</f>
        <v>500000</v>
      </c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IFERROR(__xludf.DUMMYFUNCTION("""COMPUTED_VALUE"""),900000.0)</f>
        <v>900000</v>
      </c>
      <c r="BD278" s="43">
        <f>IFERROR(__xludf.DUMMYFUNCTION("""COMPUTED_VALUE"""),1000000.0)</f>
        <v>1000000</v>
      </c>
      <c r="BE278" s="43">
        <f>IFERROR(__xludf.DUMMYFUNCTION("""COMPUTED_VALUE"""),0.0)</f>
        <v>0</v>
      </c>
      <c r="BF278" s="44">
        <f>IFERROR(__xludf.DUMMYFUNCTION("""COMPUTED_VALUE"""),1900000.0)</f>
        <v>1900000</v>
      </c>
      <c r="BG278" s="42"/>
      <c r="BH278" s="42"/>
      <c r="BI278" s="42"/>
      <c r="BJ278" s="45"/>
      <c r="BK278" s="45"/>
      <c r="BL278" s="45"/>
      <c r="BM278" s="45"/>
      <c r="BN278" s="45"/>
      <c r="BO278" s="46"/>
    </row>
    <row r="279">
      <c r="A279" s="47">
        <f>IFERROR(__xludf.DUMMYFUNCTION("""COMPUTED_VALUE"""),278.0)</f>
        <v>278</v>
      </c>
      <c r="B279" s="48" t="str">
        <f>IFERROR(__xludf.DUMMYFUNCTION("""COMPUTED_VALUE"""),"NURUSSHAFIYAH RAHMANI")</f>
        <v>NURUSSHAFIYAH RAHMANI</v>
      </c>
      <c r="C279" s="49">
        <f>IFERROR(__xludf.DUMMYFUNCTION("""COMPUTED_VALUE"""),2.025070585E9)</f>
        <v>2025070585</v>
      </c>
      <c r="D279" s="48" t="str">
        <f>IFERROR(__xludf.DUMMYFUNCTION("""COMPUTED_VALUE"""),"WOLIANTO")</f>
        <v>WOLIANTO</v>
      </c>
      <c r="E279" s="48" t="str">
        <f>IFERROR(__xludf.DUMMYFUNCTION("""COMPUTED_VALUE"""),"ENDANG SULISTIYOWATI")</f>
        <v>ENDANG SULISTIYOWATI</v>
      </c>
      <c r="F279" s="48" t="str">
        <f>IFERROR(__xludf.DUMMYFUNCTION("""COMPUTED_VALUE"""),"KARANGWUNGULOR RT 001 RW 001 LAREN LAMONGAN")</f>
        <v>KARANGWUNGULOR RT 001 RW 001 LAREN LAMONGAN</v>
      </c>
      <c r="G279" s="50" t="str">
        <f>IFERROR(__xludf.DUMMYFUNCTION("""COMPUTED_VALUE"""),"MTS-8 B")</f>
        <v>MTS-8 B</v>
      </c>
      <c r="H279" s="47" t="str">
        <f>IFERROR(__xludf.DUMMYFUNCTION("""COMPUTED_VALUE"""),"D")</f>
        <v>D</v>
      </c>
      <c r="I279" s="53" t="str">
        <f>IFERROR(__xludf.DUMMYFUNCTION("""COMPUTED_VALUE"""),"D-2")</f>
        <v>D-2</v>
      </c>
      <c r="J279" s="51">
        <f>IFERROR(__xludf.DUMMYFUNCTION("""COMPUTED_VALUE"""),2.0)</f>
        <v>2</v>
      </c>
      <c r="K279" s="51" t="str">
        <f>IFERROR(__xludf.DUMMYFUNCTION("""COMPUTED_VALUE"""),"2 ULA B PUTRI")</f>
        <v>2 ULA B PUTRI</v>
      </c>
      <c r="L279" s="52" t="str">
        <f>IFERROR(__xludf.DUMMYFUNCTION("""COMPUTED_VALUE"""),"6285852886928")</f>
        <v>6285852886928</v>
      </c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4"/>
      <c r="AC279" s="53"/>
      <c r="AD279" s="53"/>
      <c r="AE279" s="54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4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IFERROR(__xludf.DUMMYFUNCTION("""COMPUTED_VALUE"""),0.0)</f>
        <v>0</v>
      </c>
      <c r="BD279" s="54">
        <f>IFERROR(__xludf.DUMMYFUNCTION("""COMPUTED_VALUE"""),0.0)</f>
        <v>0</v>
      </c>
      <c r="BE279" s="54">
        <f>IFERROR(__xludf.DUMMYFUNCTION("""COMPUTED_VALUE"""),0.0)</f>
        <v>0</v>
      </c>
      <c r="BF279" s="55">
        <f>IFERROR(__xludf.DUMMYFUNCTION("""COMPUTED_VALUE"""),0.0)</f>
        <v>0</v>
      </c>
      <c r="BG279" s="53"/>
      <c r="BH279" s="53"/>
      <c r="BI279" s="53"/>
      <c r="BJ279" s="45"/>
      <c r="BK279" s="45"/>
      <c r="BL279" s="45"/>
      <c r="BM279" s="45"/>
      <c r="BN279" s="45"/>
      <c r="BO279" s="46"/>
    </row>
    <row r="280">
      <c r="A280" s="36">
        <f>IFERROR(__xludf.DUMMYFUNCTION("""COMPUTED_VALUE"""),279.0)</f>
        <v>279</v>
      </c>
      <c r="B280" s="37" t="str">
        <f>IFERROR(__xludf.DUMMYFUNCTION("""COMPUTED_VALUE"""),"OKTAVIA NUR ASTI WULANDARI")</f>
        <v>OKTAVIA NUR ASTI WULANDARI</v>
      </c>
      <c r="C280" s="38">
        <f>IFERROR(__xludf.DUMMYFUNCTION("""COMPUTED_VALUE"""),2.025070637E9)</f>
        <v>2025070637</v>
      </c>
      <c r="D280" s="37" t="str">
        <f>IFERROR(__xludf.DUMMYFUNCTION("""COMPUTED_VALUE"""),"SUNARIAJI")</f>
        <v>SUNARIAJI</v>
      </c>
      <c r="E280" s="37" t="str">
        <f>IFERROR(__xludf.DUMMYFUNCTION("""COMPUTED_VALUE"""),"ASIYAH")</f>
        <v>ASIYAH</v>
      </c>
      <c r="F280" s="37" t="str">
        <f>IFERROR(__xludf.DUMMYFUNCTION("""COMPUTED_VALUE"""),"GLUMO JELAKCATUR RT 001 RW 005 KALITENGAH LAMONGAN")</f>
        <v>GLUMO JELAKCATUR RT 001 RW 005 KALITENGAH LAMONGAN</v>
      </c>
      <c r="G280" s="39" t="str">
        <f>IFERROR(__xludf.DUMMYFUNCTION("""COMPUTED_VALUE"""),"MTS-8 F")</f>
        <v>MTS-8 F</v>
      </c>
      <c r="H280" s="36" t="str">
        <f>IFERROR(__xludf.DUMMYFUNCTION("""COMPUTED_VALUE"""),"D")</f>
        <v>D</v>
      </c>
      <c r="I280" s="40" t="str">
        <f>IFERROR(__xludf.DUMMYFUNCTION("""COMPUTED_VALUE"""),"D-2")</f>
        <v>D-2</v>
      </c>
      <c r="J280" s="40">
        <f>IFERROR(__xludf.DUMMYFUNCTION("""COMPUTED_VALUE"""),2.0)</f>
        <v>2</v>
      </c>
      <c r="K280" s="40" t="str">
        <f>IFERROR(__xludf.DUMMYFUNCTION("""COMPUTED_VALUE"""),"2 ULA C PUTRI")</f>
        <v>2 ULA C PUTRI</v>
      </c>
      <c r="L280" s="41" t="str">
        <f>IFERROR(__xludf.DUMMYFUNCTION("""COMPUTED_VALUE"""),"6285794636195")</f>
        <v>6285794636195</v>
      </c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>
        <f>IFERROR(__xludf.DUMMYFUNCTION("""COMPUTED_VALUE"""),500000.0)</f>
        <v>500000</v>
      </c>
      <c r="AC280" s="42"/>
      <c r="AD280" s="42"/>
      <c r="AE280" s="43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3">
        <f>IFERROR(__xludf.DUMMYFUNCTION("""COMPUTED_VALUE"""),500000.0)</f>
        <v>500000</v>
      </c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IFERROR(__xludf.DUMMYFUNCTION("""COMPUTED_VALUE"""),1000000.0)</f>
        <v>1000000</v>
      </c>
      <c r="BE280" s="43">
        <f>IFERROR(__xludf.DUMMYFUNCTION("""COMPUTED_VALUE"""),0.0)</f>
        <v>0</v>
      </c>
      <c r="BF280" s="44">
        <f>IFERROR(__xludf.DUMMYFUNCTION("""COMPUTED_VALUE"""),1000000.0)</f>
        <v>1000000</v>
      </c>
      <c r="BG280" s="42"/>
      <c r="BH280" s="42"/>
      <c r="BI280" s="42"/>
      <c r="BJ280" s="45"/>
      <c r="BK280" s="45"/>
      <c r="BL280" s="45"/>
      <c r="BM280" s="45"/>
      <c r="BN280" s="45"/>
      <c r="BO280" s="46"/>
    </row>
    <row r="281">
      <c r="A281" s="47">
        <f>IFERROR(__xludf.DUMMYFUNCTION("""COMPUTED_VALUE"""),280.0)</f>
        <v>280</v>
      </c>
      <c r="B281" s="48" t="str">
        <f>IFERROR(__xludf.DUMMYFUNCTION("""COMPUTED_VALUE"""),"RANA FALIHATUL FARHAH")</f>
        <v>RANA FALIHATUL FARHAH</v>
      </c>
      <c r="C281" s="49">
        <f>IFERROR(__xludf.DUMMYFUNCTION("""COMPUTED_VALUE"""),2.025070479E9)</f>
        <v>2025070479</v>
      </c>
      <c r="D281" s="48" t="str">
        <f>IFERROR(__xludf.DUMMYFUNCTION("""COMPUTED_VALUE"""),"NUR HASAN")</f>
        <v>NUR HASAN</v>
      </c>
      <c r="E281" s="48" t="str">
        <f>IFERROR(__xludf.DUMMYFUNCTION("""COMPUTED_VALUE"""),"ROHATIN")</f>
        <v>ROHATIN</v>
      </c>
      <c r="F281" s="48" t="str">
        <f>IFERROR(__xludf.DUMMYFUNCTION("""COMPUTED_VALUE"""),"BANYUBANG RT 002 RW 001 SOLOKURO LAMONGAN")</f>
        <v>BANYUBANG RT 002 RW 001 SOLOKURO LAMONGAN</v>
      </c>
      <c r="G281" s="50" t="str">
        <f>IFERROR(__xludf.DUMMYFUNCTION("""COMPUTED_VALUE"""),"SMP-VIII C")</f>
        <v>SMP-VIII C</v>
      </c>
      <c r="H281" s="47" t="str">
        <f>IFERROR(__xludf.DUMMYFUNCTION("""COMPUTED_VALUE"""),"D")</f>
        <v>D</v>
      </c>
      <c r="I281" s="53" t="str">
        <f>IFERROR(__xludf.DUMMYFUNCTION("""COMPUTED_VALUE"""),"D-2")</f>
        <v>D-2</v>
      </c>
      <c r="J281" s="51">
        <f>IFERROR(__xludf.DUMMYFUNCTION("""COMPUTED_VALUE"""),2.0)</f>
        <v>2</v>
      </c>
      <c r="K281" s="51" t="str">
        <f>IFERROR(__xludf.DUMMYFUNCTION("""COMPUTED_VALUE"""),"2 ULA C PUTRI")</f>
        <v>2 ULA C PUTRI</v>
      </c>
      <c r="L281" s="52" t="str">
        <f>IFERROR(__xludf.DUMMYFUNCTION("""COMPUTED_VALUE"""),"6285646637564")</f>
        <v>6285646637564</v>
      </c>
      <c r="M281" s="53"/>
      <c r="N281" s="53"/>
      <c r="O281" s="53"/>
      <c r="P281" s="53"/>
      <c r="Q281" s="53" t="str">
        <f>IFERROR(__xludf.DUMMYFUNCTION("""COMPUTED_VALUE"""),"           ")</f>
        <v>           </v>
      </c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4">
        <f>IFERROR(__xludf.DUMMYFUNCTION("""COMPUTED_VALUE"""),500000.0)</f>
        <v>500000</v>
      </c>
      <c r="AC281" s="53"/>
      <c r="AD281" s="53"/>
      <c r="AE281" s="54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4">
        <f>IFERROR(__xludf.DUMMYFUNCTION("""COMPUTED_VALUE"""),500000.0)</f>
        <v>500000</v>
      </c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IFERROR(__xludf.DUMMYFUNCTION("""COMPUTED_VALUE"""),0.0)</f>
        <v>0</v>
      </c>
      <c r="BD281" s="54">
        <f>IFERROR(__xludf.DUMMYFUNCTION("""COMPUTED_VALUE"""),1000000.0)</f>
        <v>1000000</v>
      </c>
      <c r="BE281" s="54">
        <f>IFERROR(__xludf.DUMMYFUNCTION("""COMPUTED_VALUE"""),0.0)</f>
        <v>0</v>
      </c>
      <c r="BF281" s="55">
        <f>IFERROR(__xludf.DUMMYFUNCTION("""COMPUTED_VALUE"""),1000000.0)</f>
        <v>1000000</v>
      </c>
      <c r="BG281" s="53"/>
      <c r="BH281" s="53"/>
      <c r="BI281" s="53"/>
      <c r="BJ281" s="45"/>
      <c r="BK281" s="45"/>
      <c r="BL281" s="45"/>
      <c r="BM281" s="45"/>
      <c r="BN281" s="45"/>
      <c r="BO281" s="46"/>
    </row>
    <row r="282">
      <c r="A282" s="36">
        <f>IFERROR(__xludf.DUMMYFUNCTION("""COMPUTED_VALUE"""),281.0)</f>
        <v>281</v>
      </c>
      <c r="B282" s="37" t="str">
        <f>IFERROR(__xludf.DUMMYFUNCTION("""COMPUTED_VALUE"""),"REZA FARAH DILLA")</f>
        <v>REZA FARAH DILLA</v>
      </c>
      <c r="C282" s="38">
        <f>IFERROR(__xludf.DUMMYFUNCTION("""COMPUTED_VALUE"""),2.025070439E9)</f>
        <v>2025070439</v>
      </c>
      <c r="D282" s="37" t="str">
        <f>IFERROR(__xludf.DUMMYFUNCTION("""COMPUTED_VALUE"""),"MUHAMMAD SU'UDI")</f>
        <v>MUHAMMAD SU'UDI</v>
      </c>
      <c r="E282" s="37" t="str">
        <f>IFERROR(__xludf.DUMMYFUNCTION("""COMPUTED_VALUE"""),"MUYASAROH")</f>
        <v>MUYASAROH</v>
      </c>
      <c r="F282" s="37" t="str">
        <f>IFERROR(__xludf.DUMMYFUNCTION("""COMPUTED_VALUE"""),"PINGGIRAN SUMBERAGUNG RT 001 RW 003 SUKODADI KALITENGAH")</f>
        <v>PINGGIRAN SUMBERAGUNG RT 001 RW 003 SUKODADI KALITENGAH</v>
      </c>
      <c r="G282" s="39" t="str">
        <f>IFERROR(__xludf.DUMMYFUNCTION("""COMPUTED_VALUE"""),"SMK-XI LPb")</f>
        <v>SMK-XI LPb</v>
      </c>
      <c r="H282" s="36" t="str">
        <f>IFERROR(__xludf.DUMMYFUNCTION("""COMPUTED_VALUE"""),"D")</f>
        <v>D</v>
      </c>
      <c r="I282" s="42" t="str">
        <f>IFERROR(__xludf.DUMMYFUNCTION("""COMPUTED_VALUE"""),"D-7")</f>
        <v>D-7</v>
      </c>
      <c r="J282" s="40">
        <f>IFERROR(__xludf.DUMMYFUNCTION("""COMPUTED_VALUE"""),2.0)</f>
        <v>2</v>
      </c>
      <c r="K282" s="40" t="str">
        <f>IFERROR(__xludf.DUMMYFUNCTION("""COMPUTED_VALUE"""),"2 WUSTHO A PUTRI")</f>
        <v>2 WUSTHO A PUTRI</v>
      </c>
      <c r="L282" s="41" t="str">
        <f>IFERROR(__xludf.DUMMYFUNCTION("""COMPUTED_VALUE"""),"6285856200276")</f>
        <v>6285856200276</v>
      </c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3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IFERROR(__xludf.DUMMYFUNCTION("""COMPUTED_VALUE"""),0.0)</f>
        <v>0</v>
      </c>
      <c r="BE282" s="43">
        <f>IFERROR(__xludf.DUMMYFUNCTION("""COMPUTED_VALUE"""),0.0)</f>
        <v>0</v>
      </c>
      <c r="BF282" s="44">
        <f>IFERROR(__xludf.DUMMYFUNCTION("""COMPUTED_VALUE"""),0.0)</f>
        <v>0</v>
      </c>
      <c r="BG282" s="42"/>
      <c r="BH282" s="42"/>
      <c r="BI282" s="42"/>
      <c r="BJ282" s="45"/>
      <c r="BK282" s="45"/>
      <c r="BL282" s="45"/>
      <c r="BM282" s="45"/>
      <c r="BN282" s="45"/>
      <c r="BO282" s="46"/>
    </row>
    <row r="283">
      <c r="A283" s="47">
        <f>IFERROR(__xludf.DUMMYFUNCTION("""COMPUTED_VALUE"""),282.0)</f>
        <v>282</v>
      </c>
      <c r="B283" s="48" t="str">
        <f>IFERROR(__xludf.DUMMYFUNCTION("""COMPUTED_VALUE"""),"RICHANAH NADWA")</f>
        <v>RICHANAH NADWA</v>
      </c>
      <c r="C283" s="49">
        <f>IFERROR(__xludf.DUMMYFUNCTION("""COMPUTED_VALUE"""),2.025070325E9)</f>
        <v>2025070325</v>
      </c>
      <c r="D283" s="48" t="str">
        <f>IFERROR(__xludf.DUMMYFUNCTION("""COMPUTED_VALUE"""),"MOHAMMAD HASAN")</f>
        <v>MOHAMMAD HASAN</v>
      </c>
      <c r="E283" s="48" t="str">
        <f>IFERROR(__xludf.DUMMYFUNCTION("""COMPUTED_VALUE"""),"MUKARROMAH")</f>
        <v>MUKARROMAH</v>
      </c>
      <c r="F283" s="48" t="str">
        <f>IFERROR(__xludf.DUMMYFUNCTION("""COMPUTED_VALUE"""),"KARANGANOM KULON KARANGANOM RT 002 RW 001 KARANGBINANGUN LAMONGAN")</f>
        <v>KARANGANOM KULON KARANGANOM RT 002 RW 001 KARANGBINANGUN LAMONGAN</v>
      </c>
      <c r="G283" s="50" t="str">
        <f>IFERROR(__xludf.DUMMYFUNCTION("""COMPUTED_VALUE"""),"MA-XI.10")</f>
        <v>MA-XI.10</v>
      </c>
      <c r="H283" s="47" t="str">
        <f>IFERROR(__xludf.DUMMYFUNCTION("""COMPUTED_VALUE"""),"D")</f>
        <v>D</v>
      </c>
      <c r="I283" s="51" t="str">
        <f>IFERROR(__xludf.DUMMYFUNCTION("""COMPUTED_VALUE"""),"D-8")</f>
        <v>D-8</v>
      </c>
      <c r="J283" s="51">
        <f>IFERROR(__xludf.DUMMYFUNCTION("""COMPUTED_VALUE"""),2.0)</f>
        <v>2</v>
      </c>
      <c r="K283" s="51" t="str">
        <f>IFERROR(__xludf.DUMMYFUNCTION("""COMPUTED_VALUE"""),"2 WUSTHO D PUTRI")</f>
        <v>2 WUSTHO D PUTRI</v>
      </c>
      <c r="L283" s="52" t="str">
        <f>IFERROR(__xludf.DUMMYFUNCTION("""COMPUTED_VALUE"""),"6281246891846")</f>
        <v>6281246891846</v>
      </c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>
        <f>IFERROR(__xludf.DUMMYFUNCTION("""COMPUTED_VALUE"""),500000.0)</f>
        <v>500000</v>
      </c>
      <c r="AC283" s="53"/>
      <c r="AD283" s="53"/>
      <c r="AE283" s="54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>
        <f>IFERROR(__xludf.DUMMYFUNCTION("""COMPUTED_VALUE"""),500000.0)</f>
        <v>500000</v>
      </c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IFERROR(__xludf.DUMMYFUNCTION("""COMPUTED_VALUE"""),1000000.0)</f>
        <v>1000000</v>
      </c>
      <c r="BE283" s="54">
        <f>IFERROR(__xludf.DUMMYFUNCTION("""COMPUTED_VALUE"""),0.0)</f>
        <v>0</v>
      </c>
      <c r="BF283" s="55">
        <f>IFERROR(__xludf.DUMMYFUNCTION("""COMPUTED_VALUE"""),1000000.0)</f>
        <v>1000000</v>
      </c>
      <c r="BG283" s="53"/>
      <c r="BH283" s="53"/>
      <c r="BI283" s="53"/>
      <c r="BJ283" s="45"/>
      <c r="BK283" s="45"/>
      <c r="BL283" s="45"/>
      <c r="BM283" s="45"/>
      <c r="BN283" s="45"/>
      <c r="BO283" s="46"/>
    </row>
    <row r="284">
      <c r="A284" s="36">
        <f>IFERROR(__xludf.DUMMYFUNCTION("""COMPUTED_VALUE"""),283.0)</f>
        <v>283</v>
      </c>
      <c r="B284" s="37" t="str">
        <f>IFERROR(__xludf.DUMMYFUNCTION("""COMPUTED_VALUE"""),"SALWA WAFIIA ANNISA`")</f>
        <v>SALWA WAFIIA ANNISA`</v>
      </c>
      <c r="C284" s="38">
        <f>IFERROR(__xludf.DUMMYFUNCTION("""COMPUTED_VALUE"""),2.025070591E9)</f>
        <v>2025070591</v>
      </c>
      <c r="D284" s="37" t="str">
        <f>IFERROR(__xludf.DUMMYFUNCTION("""COMPUTED_VALUE"""),"HARTONO")</f>
        <v>HARTONO</v>
      </c>
      <c r="E284" s="37" t="str">
        <f>IFERROR(__xludf.DUMMYFUNCTION("""COMPUTED_VALUE"""),"MAZIDATUL FAIZAH")</f>
        <v>MAZIDATUL FAIZAH</v>
      </c>
      <c r="F284" s="37" t="str">
        <f>IFERROR(__xludf.DUMMYFUNCTION("""COMPUTED_VALUE"""),"GEGER RT 001 RW 003 TURI LAMONGAN")</f>
        <v>GEGER RT 001 RW 003 TURI LAMONGAN</v>
      </c>
      <c r="G284" s="38" t="str">
        <f>IFERROR(__xludf.DUMMYFUNCTION("""COMPUTED_VALUE"""),"MTS-8 B")</f>
        <v>MTS-8 B</v>
      </c>
      <c r="H284" s="36" t="str">
        <f>IFERROR(__xludf.DUMMYFUNCTION("""COMPUTED_VALUE"""),"D")</f>
        <v>D</v>
      </c>
      <c r="I284" s="42" t="str">
        <f>IFERROR(__xludf.DUMMYFUNCTION("""COMPUTED_VALUE"""),"D-2")</f>
        <v>D-2</v>
      </c>
      <c r="J284" s="40">
        <f>IFERROR(__xludf.DUMMYFUNCTION("""COMPUTED_VALUE"""),2.0)</f>
        <v>2</v>
      </c>
      <c r="K284" s="40" t="str">
        <f>IFERROR(__xludf.DUMMYFUNCTION("""COMPUTED_VALUE"""),"2 ULA C PUTRI")</f>
        <v>2 ULA C PUTRI</v>
      </c>
      <c r="L284" s="41" t="str">
        <f>IFERROR(__xludf.DUMMYFUNCTION("""COMPUTED_VALUE"""),"6285731619846")</f>
        <v>6285731619846</v>
      </c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3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IFERROR(__xludf.DUMMYFUNCTION("""COMPUTED_VALUE"""),0.0)</f>
        <v>0</v>
      </c>
      <c r="BD284" s="43">
        <f>IFERROR(__xludf.DUMMYFUNCTION("""COMPUTED_VALUE"""),0.0)</f>
        <v>0</v>
      </c>
      <c r="BE284" s="43">
        <f>IFERROR(__xludf.DUMMYFUNCTION("""COMPUTED_VALUE"""),0.0)</f>
        <v>0</v>
      </c>
      <c r="BF284" s="44">
        <f>IFERROR(__xludf.DUMMYFUNCTION("""COMPUTED_VALUE"""),0.0)</f>
        <v>0</v>
      </c>
      <c r="BG284" s="42"/>
      <c r="BH284" s="42"/>
      <c r="BI284" s="42"/>
      <c r="BJ284" s="45"/>
      <c r="BK284" s="45"/>
      <c r="BL284" s="45"/>
      <c r="BM284" s="45"/>
      <c r="BN284" s="45"/>
      <c r="BO284" s="46"/>
    </row>
    <row r="285">
      <c r="A285" s="47">
        <f>IFERROR(__xludf.DUMMYFUNCTION("""COMPUTED_VALUE"""),284.0)</f>
        <v>284</v>
      </c>
      <c r="B285" s="48" t="str">
        <f>IFERROR(__xludf.DUMMYFUNCTION("""COMPUTED_VALUE"""),"SARIFATUL HIDAYAH")</f>
        <v>SARIFATUL HIDAYAH</v>
      </c>
      <c r="C285" s="49">
        <f>IFERROR(__xludf.DUMMYFUNCTION("""COMPUTED_VALUE"""),2.025070433E9)</f>
        <v>2025070433</v>
      </c>
      <c r="D285" s="48" t="str">
        <f>IFERROR(__xludf.DUMMYFUNCTION("""COMPUTED_VALUE"""),"SUPRIYADI")</f>
        <v>SUPRIYADI</v>
      </c>
      <c r="E285" s="48" t="str">
        <f>IFERROR(__xludf.DUMMYFUNCTION("""COMPUTED_VALUE"""),"MAZRO`ATUL HASANAH")</f>
        <v>MAZRO`ATUL HASANAH</v>
      </c>
      <c r="F285" s="48" t="str">
        <f>IFERROR(__xludf.DUMMYFUNCTION("""COMPUTED_VALUE"""),"LUMBANGAN PENDOWOLIMO RT 003 RW 001 KARANGBINANGUN LAMONGAN")</f>
        <v>LUMBANGAN PENDOWOLIMO RT 003 RW 001 KARANGBINANGUN LAMONGAN</v>
      </c>
      <c r="G285" s="49" t="str">
        <f>IFERROR(__xludf.DUMMYFUNCTION("""COMPUTED_VALUE"""),"SMK-XI BD")</f>
        <v>SMK-XI BD</v>
      </c>
      <c r="H285" s="47" t="str">
        <f>IFERROR(__xludf.DUMMYFUNCTION("""COMPUTED_VALUE"""),"D")</f>
        <v>D</v>
      </c>
      <c r="I285" s="51" t="str">
        <f>IFERROR(__xludf.DUMMYFUNCTION("""COMPUTED_VALUE"""),"D-8")</f>
        <v>D-8</v>
      </c>
      <c r="J285" s="51">
        <f>IFERROR(__xludf.DUMMYFUNCTION("""COMPUTED_VALUE"""),2.0)</f>
        <v>2</v>
      </c>
      <c r="K285" s="51" t="str">
        <f>IFERROR(__xludf.DUMMYFUNCTION("""COMPUTED_VALUE"""),"2 WUSTHO A PUTRI")</f>
        <v>2 WUSTHO A PUTRI</v>
      </c>
      <c r="L285" s="52" t="str">
        <f>IFERROR(__xludf.DUMMYFUNCTION("""COMPUTED_VALUE"""),"6285791612961")</f>
        <v>6285791612961</v>
      </c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>
        <f>IFERROR(__xludf.DUMMYFUNCTION("""COMPUTED_VALUE"""),450000.0)</f>
        <v>450000</v>
      </c>
      <c r="AA285" s="53"/>
      <c r="AB285" s="53"/>
      <c r="AC285" s="53"/>
      <c r="AD285" s="53"/>
      <c r="AE285" s="54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IFERROR(__xludf.DUMMYFUNCTION("""COMPUTED_VALUE"""),450000.0)</f>
        <v>450000</v>
      </c>
      <c r="BD285" s="54">
        <f>IFERROR(__xludf.DUMMYFUNCTION("""COMPUTED_VALUE"""),0.0)</f>
        <v>0</v>
      </c>
      <c r="BE285" s="54">
        <f>IFERROR(__xludf.DUMMYFUNCTION("""COMPUTED_VALUE"""),0.0)</f>
        <v>0</v>
      </c>
      <c r="BF285" s="55">
        <f>IFERROR(__xludf.DUMMYFUNCTION("""COMPUTED_VALUE"""),450000.0)</f>
        <v>450000</v>
      </c>
      <c r="BG285" s="53"/>
      <c r="BH285" s="53"/>
      <c r="BI285" s="53"/>
      <c r="BJ285" s="45"/>
      <c r="BK285" s="45"/>
      <c r="BL285" s="45"/>
      <c r="BM285" s="45"/>
      <c r="BN285" s="45"/>
      <c r="BO285" s="46"/>
    </row>
    <row r="286">
      <c r="A286" s="36">
        <f>IFERROR(__xludf.DUMMYFUNCTION("""COMPUTED_VALUE"""),285.0)</f>
        <v>285</v>
      </c>
      <c r="B286" s="37" t="str">
        <f>IFERROR(__xludf.DUMMYFUNCTION("""COMPUTED_VALUE"""),"SELENA SHERIN MARGARET")</f>
        <v>SELENA SHERIN MARGARET</v>
      </c>
      <c r="C286" s="38">
        <f>IFERROR(__xludf.DUMMYFUNCTION("""COMPUTED_VALUE"""),2.025070589E9)</f>
        <v>2025070589</v>
      </c>
      <c r="D286" s="37" t="str">
        <f>IFERROR(__xludf.DUMMYFUNCTION("""COMPUTED_VALUE"""),"BAMBANG HERMANTO")</f>
        <v>BAMBANG HERMANTO</v>
      </c>
      <c r="E286" s="37" t="str">
        <f>IFERROR(__xludf.DUMMYFUNCTION("""COMPUTED_VALUE"""),"IMAYATUS SA`ADAH")</f>
        <v>IMAYATUS SA`ADAH</v>
      </c>
      <c r="F286" s="37" t="str">
        <f>IFERROR(__xludf.DUMMYFUNCTION("""COMPUTED_VALUE"""),"GEGER RT 003 RW 002 TURI LAMONGAN")</f>
        <v>GEGER RT 003 RW 002 TURI LAMONGAN</v>
      </c>
      <c r="G286" s="39" t="str">
        <f>IFERROR(__xludf.DUMMYFUNCTION("""COMPUTED_VALUE"""),"MTS-8 C")</f>
        <v>MTS-8 C</v>
      </c>
      <c r="H286" s="36" t="str">
        <f>IFERROR(__xludf.DUMMYFUNCTION("""COMPUTED_VALUE"""),"D")</f>
        <v>D</v>
      </c>
      <c r="I286" s="40" t="str">
        <f>IFERROR(__xludf.DUMMYFUNCTION("""COMPUTED_VALUE"""),"D-2")</f>
        <v>D-2</v>
      </c>
      <c r="J286" s="40">
        <f>IFERROR(__xludf.DUMMYFUNCTION("""COMPUTED_VALUE"""),2.0)</f>
        <v>2</v>
      </c>
      <c r="K286" s="40" t="str">
        <f>IFERROR(__xludf.DUMMYFUNCTION("""COMPUTED_VALUE"""),"2 ULA C PUTRI")</f>
        <v>2 ULA C PUTRI</v>
      </c>
      <c r="L286" s="41" t="str">
        <f>IFERROR(__xludf.DUMMYFUNCTION("""COMPUTED_VALUE"""),"6285732432857")</f>
        <v>6285732432857</v>
      </c>
      <c r="M286" s="42">
        <f>IFERROR(__xludf.DUMMYFUNCTION("""COMPUTED_VALUE"""),600000.0)</f>
        <v>600000</v>
      </c>
      <c r="N286" s="42"/>
      <c r="O286" s="42"/>
      <c r="P286" s="42"/>
      <c r="Q286" s="42"/>
      <c r="R286" s="42"/>
      <c r="S286" s="42"/>
      <c r="T286" s="42">
        <f>IFERROR(__xludf.DUMMYFUNCTION("""COMPUTED_VALUE"""),450000.0)</f>
        <v>450000</v>
      </c>
      <c r="U286" s="42">
        <f>IFERROR(__xludf.DUMMYFUNCTION("""COMPUTED_VALUE"""),450000.0)</f>
        <v>450000</v>
      </c>
      <c r="V286" s="42">
        <f>IFERROR(__xludf.DUMMYFUNCTION("""COMPUTED_VALUE"""),450000.0)</f>
        <v>450000</v>
      </c>
      <c r="W286" s="42">
        <f>IFERROR(__xludf.DUMMYFUNCTION("""COMPUTED_VALUE"""),450000.0)</f>
        <v>450000</v>
      </c>
      <c r="X286" s="42">
        <f>IFERROR(__xludf.DUMMYFUNCTION("""COMPUTED_VALUE"""),450000.0)</f>
        <v>450000</v>
      </c>
      <c r="Y286" s="42">
        <f>IFERROR(__xludf.DUMMYFUNCTION("""COMPUTED_VALUE"""),450000.0)</f>
        <v>450000</v>
      </c>
      <c r="Z286" s="42">
        <f>IFERROR(__xludf.DUMMYFUNCTION("""COMPUTED_VALUE"""),450000.0)</f>
        <v>450000</v>
      </c>
      <c r="AA286" s="42"/>
      <c r="AB286" s="42">
        <f>IFERROR(__xludf.DUMMYFUNCTION("""COMPUTED_VALUE"""),500000.0)</f>
        <v>500000</v>
      </c>
      <c r="AC286" s="42"/>
      <c r="AD286" s="42"/>
      <c r="AE286" s="43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3">
        <f>IFERROR(__xludf.DUMMYFUNCTION("""COMPUTED_VALUE"""),500000.0)</f>
        <v>500000</v>
      </c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IFERROR(__xludf.DUMMYFUNCTION("""COMPUTED_VALUE"""),3150000.0)</f>
        <v>3150000</v>
      </c>
      <c r="BD286" s="43">
        <f>IFERROR(__xludf.DUMMYFUNCTION("""COMPUTED_VALUE"""),1600000.0)</f>
        <v>1600000</v>
      </c>
      <c r="BE286" s="43">
        <f>IFERROR(__xludf.DUMMYFUNCTION("""COMPUTED_VALUE"""),0.0)</f>
        <v>0</v>
      </c>
      <c r="BF286" s="44">
        <f>IFERROR(__xludf.DUMMYFUNCTION("""COMPUTED_VALUE"""),4750000.0)</f>
        <v>4750000</v>
      </c>
      <c r="BG286" s="42"/>
      <c r="BH286" s="42"/>
      <c r="BI286" s="42"/>
      <c r="BJ286" s="45"/>
      <c r="BK286" s="45"/>
      <c r="BL286" s="45"/>
      <c r="BM286" s="45"/>
      <c r="BN286" s="45"/>
      <c r="BO286" s="46"/>
    </row>
    <row r="287">
      <c r="A287" s="47">
        <f>IFERROR(__xludf.DUMMYFUNCTION("""COMPUTED_VALUE"""),286.0)</f>
        <v>286</v>
      </c>
      <c r="B287" s="48" t="str">
        <f>IFERROR(__xludf.DUMMYFUNCTION("""COMPUTED_VALUE"""),"SYAFA`ATUL INAYAH")</f>
        <v>SYAFA`ATUL INAYAH</v>
      </c>
      <c r="C287" s="49">
        <f>IFERROR(__xludf.DUMMYFUNCTION("""COMPUTED_VALUE"""),2.025070405E9)</f>
        <v>2025070405</v>
      </c>
      <c r="D287" s="57" t="str">
        <f>IFERROR(__xludf.DUMMYFUNCTION("""COMPUTED_VALUE"""),"SHODIQIN")</f>
        <v>SHODIQIN</v>
      </c>
      <c r="E287" s="48" t="str">
        <f>IFERROR(__xludf.DUMMYFUNCTION("""COMPUTED_VALUE"""),"AFIFAH")</f>
        <v>AFIFAH</v>
      </c>
      <c r="F287" s="48" t="str">
        <f>IFERROR(__xludf.DUMMYFUNCTION("""COMPUTED_VALUE"""),"GOWAH POMAHANJANGGAN RT 001 RW 001 TURI LAMONGAN")</f>
        <v>GOWAH POMAHANJANGGAN RT 001 RW 001 TURI LAMONGAN</v>
      </c>
      <c r="G287" s="49" t="str">
        <f>IFERROR(__xludf.DUMMYFUNCTION("""COMPUTED_VALUE"""),"MA-XI.1")</f>
        <v>MA-XI.1</v>
      </c>
      <c r="H287" s="47" t="str">
        <f>IFERROR(__xludf.DUMMYFUNCTION("""COMPUTED_VALUE"""),"D")</f>
        <v>D</v>
      </c>
      <c r="I287" s="51" t="str">
        <f>IFERROR(__xludf.DUMMYFUNCTION("""COMPUTED_VALUE"""),"D-7")</f>
        <v>D-7</v>
      </c>
      <c r="J287" s="51">
        <f>IFERROR(__xludf.DUMMYFUNCTION("""COMPUTED_VALUE"""),2.0)</f>
        <v>2</v>
      </c>
      <c r="K287" s="51" t="str">
        <f>IFERROR(__xludf.DUMMYFUNCTION("""COMPUTED_VALUE"""),"TAHFIDZ")</f>
        <v>TAHFIDZ</v>
      </c>
      <c r="L287" s="52" t="str">
        <f>IFERROR(__xludf.DUMMYFUNCTION("""COMPUTED_VALUE"""),"6285759178949")</f>
        <v>6285759178949</v>
      </c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4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4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IFERROR(__xludf.DUMMYFUNCTION("""COMPUTED_VALUE"""),0.0)</f>
        <v>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IFERROR(__xludf.DUMMYFUNCTION("""COMPUTED_VALUE"""),0.0)</f>
        <v>0</v>
      </c>
      <c r="BG287" s="53"/>
      <c r="BH287" s="53"/>
      <c r="BI287" s="53"/>
      <c r="BJ287" s="45"/>
      <c r="BK287" s="45"/>
      <c r="BL287" s="45"/>
      <c r="BM287" s="45"/>
      <c r="BN287" s="45"/>
      <c r="BO287" s="46"/>
    </row>
    <row r="288">
      <c r="A288" s="36">
        <f>IFERROR(__xludf.DUMMYFUNCTION("""COMPUTED_VALUE"""),287.0)</f>
        <v>287</v>
      </c>
      <c r="B288" s="37" t="str">
        <f>IFERROR(__xludf.DUMMYFUNCTION("""COMPUTED_VALUE"""),"SYARIFATUL ULEM AZ ZUMY")</f>
        <v>SYARIFATUL ULEM AZ ZUMY</v>
      </c>
      <c r="C288" s="38">
        <f>IFERROR(__xludf.DUMMYFUNCTION("""COMPUTED_VALUE"""),2.025070361E9)</f>
        <v>2025070361</v>
      </c>
      <c r="D288" s="37" t="str">
        <f>IFERROR(__xludf.DUMMYFUNCTION("""COMPUTED_VALUE"""),"MATUHUM")</f>
        <v>MATUHUM</v>
      </c>
      <c r="E288" s="37" t="str">
        <f>IFERROR(__xludf.DUMMYFUNCTION("""COMPUTED_VALUE"""),"SITI HABIBAH")</f>
        <v>SITI HABIBAH</v>
      </c>
      <c r="F288" s="37" t="str">
        <f>IFERROR(__xludf.DUMMYFUNCTION("""COMPUTED_VALUE"""),"KEPUDIWETAN KEPUDIBENER RT 001 RW 002 TURI LAMONGAN")</f>
        <v>KEPUDIWETAN KEPUDIBENER RT 001 RW 002 TURI LAMONGAN</v>
      </c>
      <c r="G288" s="39" t="str">
        <f>IFERROR(__xludf.DUMMYFUNCTION("""COMPUTED_VALUE"""),"MA-XI.2")</f>
        <v>MA-XI.2</v>
      </c>
      <c r="H288" s="36" t="str">
        <f>IFERROR(__xludf.DUMMYFUNCTION("""COMPUTED_VALUE"""),"D")</f>
        <v>D</v>
      </c>
      <c r="I288" s="42" t="str">
        <f>IFERROR(__xludf.DUMMYFUNCTION("""COMPUTED_VALUE"""),"D-8")</f>
        <v>D-8</v>
      </c>
      <c r="J288" s="40">
        <f>IFERROR(__xludf.DUMMYFUNCTION("""COMPUTED_VALUE"""),2.0)</f>
        <v>2</v>
      </c>
      <c r="K288" s="40" t="str">
        <f>IFERROR(__xludf.DUMMYFUNCTION("""COMPUTED_VALUE"""),"2 WUSTHO A PUTRI")</f>
        <v>2 WUSTHO A PUTRI</v>
      </c>
      <c r="L288" s="41" t="str">
        <f>IFERROR(__xludf.DUMMYFUNCTION("""COMPUTED_VALUE"""),"6281515883545")</f>
        <v>6281515883545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>
        <f>IFERROR(__xludf.DUMMYFUNCTION("""COMPUTED_VALUE"""),450000.0)</f>
        <v>450000</v>
      </c>
      <c r="Z288" s="42">
        <f>IFERROR(__xludf.DUMMYFUNCTION("""COMPUTED_VALUE"""),450000.0)</f>
        <v>450000</v>
      </c>
      <c r="AA288" s="42"/>
      <c r="AB288" s="42">
        <f>IFERROR(__xludf.DUMMYFUNCTION("""COMPUTED_VALUE"""),500000.0)</f>
        <v>500000</v>
      </c>
      <c r="AC288" s="42"/>
      <c r="AD288" s="42"/>
      <c r="AE288" s="43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>
        <f>IFERROR(__xludf.DUMMYFUNCTION("""COMPUTED_VALUE"""),500000.0)</f>
        <v>500000</v>
      </c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IFERROR(__xludf.DUMMYFUNCTION("""COMPUTED_VALUE"""),900000.0)</f>
        <v>900000</v>
      </c>
      <c r="BD288" s="43">
        <f>IFERROR(__xludf.DUMMYFUNCTION("""COMPUTED_VALUE"""),1000000.0)</f>
        <v>1000000</v>
      </c>
      <c r="BE288" s="43">
        <f>IFERROR(__xludf.DUMMYFUNCTION("""COMPUTED_VALUE"""),0.0)</f>
        <v>0</v>
      </c>
      <c r="BF288" s="44">
        <f>IFERROR(__xludf.DUMMYFUNCTION("""COMPUTED_VALUE"""),1900000.0)</f>
        <v>1900000</v>
      </c>
      <c r="BG288" s="42"/>
      <c r="BH288" s="42"/>
      <c r="BI288" s="42"/>
      <c r="BJ288" s="45"/>
      <c r="BK288" s="45"/>
      <c r="BL288" s="45"/>
      <c r="BM288" s="45"/>
      <c r="BN288" s="45"/>
      <c r="BO288" s="46"/>
    </row>
    <row r="289">
      <c r="A289" s="47">
        <f>IFERROR(__xludf.DUMMYFUNCTION("""COMPUTED_VALUE"""),288.0)</f>
        <v>288</v>
      </c>
      <c r="B289" s="48" t="str">
        <f>IFERROR(__xludf.DUMMYFUNCTION("""COMPUTED_VALUE"""),"VANESA MAURA AS SHAFANIA")</f>
        <v>VANESA MAURA AS SHAFANIA</v>
      </c>
      <c r="C289" s="49">
        <f>IFERROR(__xludf.DUMMYFUNCTION("""COMPUTED_VALUE"""),2.02507025E9)</f>
        <v>2025070250</v>
      </c>
      <c r="D289" s="48" t="str">
        <f>IFERROR(__xludf.DUMMYFUNCTION("""COMPUTED_VALUE"""),"SUMARTONO")</f>
        <v>SUMARTONO</v>
      </c>
      <c r="E289" s="48" t="str">
        <f>IFERROR(__xludf.DUMMYFUNCTION("""COMPUTED_VALUE"""),"NI'AM AL ULYA")</f>
        <v>NI'AM AL ULYA</v>
      </c>
      <c r="F289" s="48" t="str">
        <f>IFERROR(__xludf.DUMMYFUNCTION("""COMPUTED_VALUE"""),"KARANGTAWAR RT 003 RW 001 LAREN LAMONGAN")</f>
        <v>KARANGTAWAR RT 003 RW 001 LAREN LAMONGAN</v>
      </c>
      <c r="G289" s="50" t="str">
        <f>IFERROR(__xludf.DUMMYFUNCTION("""COMPUTED_VALUE"""),"MA-XI.3")</f>
        <v>MA-XI.3</v>
      </c>
      <c r="H289" s="47" t="str">
        <f>IFERROR(__xludf.DUMMYFUNCTION("""COMPUTED_VALUE"""),"D")</f>
        <v>D</v>
      </c>
      <c r="I289" s="51" t="str">
        <f>IFERROR(__xludf.DUMMYFUNCTION("""COMPUTED_VALUE"""),"D-8")</f>
        <v>D-8</v>
      </c>
      <c r="J289" s="51">
        <f>IFERROR(__xludf.DUMMYFUNCTION("""COMPUTED_VALUE"""),2.0)</f>
        <v>2</v>
      </c>
      <c r="K289" s="51" t="str">
        <f>IFERROR(__xludf.DUMMYFUNCTION("""COMPUTED_VALUE"""),"2 WUSTHO A PUTRI")</f>
        <v>2 WUSTHO A PUTRI</v>
      </c>
      <c r="L289" s="52" t="str">
        <f>IFERROR(__xludf.DUMMYFUNCTION("""COMPUTED_VALUE"""),"6285648260302")</f>
        <v>6285648260302</v>
      </c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4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IFERROR(__xludf.DUMMYFUNCTION("""COMPUTED_VALUE"""),0.0)</f>
        <v>0</v>
      </c>
      <c r="BD289" s="54">
        <f>IFERROR(__xludf.DUMMYFUNCTION("""COMPUTED_VALUE"""),0.0)</f>
        <v>0</v>
      </c>
      <c r="BE289" s="54">
        <f>IFERROR(__xludf.DUMMYFUNCTION("""COMPUTED_VALUE"""),0.0)</f>
        <v>0</v>
      </c>
      <c r="BF289" s="55">
        <f>IFERROR(__xludf.DUMMYFUNCTION("""COMPUTED_VALUE"""),0.0)</f>
        <v>0</v>
      </c>
      <c r="BG289" s="53"/>
      <c r="BH289" s="53"/>
      <c r="BI289" s="53"/>
      <c r="BJ289" s="45"/>
      <c r="BK289" s="45"/>
      <c r="BL289" s="45"/>
      <c r="BM289" s="45"/>
      <c r="BN289" s="45"/>
      <c r="BO289" s="46"/>
    </row>
    <row r="290">
      <c r="A290" s="36">
        <f>IFERROR(__xludf.DUMMYFUNCTION("""COMPUTED_VALUE"""),289.0)</f>
        <v>289</v>
      </c>
      <c r="B290" s="37" t="str">
        <f>IFERROR(__xludf.DUMMYFUNCTION("""COMPUTED_VALUE"""),"VELANI MAKHSUFI AZZARETHA")</f>
        <v>VELANI MAKHSUFI AZZARETHA</v>
      </c>
      <c r="C290" s="38">
        <f>IFERROR(__xludf.DUMMYFUNCTION("""COMPUTED_VALUE"""),2.025070171E9)</f>
        <v>2025070171</v>
      </c>
      <c r="D290" s="56" t="str">
        <f>IFERROR(__xludf.DUMMYFUNCTION("""COMPUTED_VALUE"""),"SHODIKIN")</f>
        <v>SHODIKIN</v>
      </c>
      <c r="E290" s="56" t="str">
        <f>IFERROR(__xludf.DUMMYFUNCTION("""COMPUTED_VALUE"""),"YENI WIDIAWATI")</f>
        <v>YENI WIDIAWATI</v>
      </c>
      <c r="F290" s="37" t="str">
        <f>IFERROR(__xludf.DUMMYFUNCTION("""COMPUTED_VALUE"""),"BANJARMADU RT 002 RW 002 KARANGGENENG LAMONGAN")</f>
        <v>BANJARMADU RT 002 RW 002 KARANGGENENG LAMONGAN</v>
      </c>
      <c r="G290" s="56" t="str">
        <f>IFERROR(__xludf.DUMMYFUNCTION("""COMPUTED_VALUE"""),"MA-XI.13")</f>
        <v>MA-XI.13</v>
      </c>
      <c r="H290" s="36" t="str">
        <f>IFERROR(__xludf.DUMMYFUNCTION("""COMPUTED_VALUE"""),"D")</f>
        <v>D</v>
      </c>
      <c r="I290" s="42" t="str">
        <f>IFERROR(__xludf.DUMMYFUNCTION("""COMPUTED_VALUE"""),"D-7")</f>
        <v>D-7</v>
      </c>
      <c r="J290" s="40">
        <f>IFERROR(__xludf.DUMMYFUNCTION("""COMPUTED_VALUE"""),2.0)</f>
        <v>2</v>
      </c>
      <c r="K290" s="40" t="str">
        <f>IFERROR(__xludf.DUMMYFUNCTION("""COMPUTED_VALUE"""),"2 MAK PUTRI")</f>
        <v>2 MAK PUTRI</v>
      </c>
      <c r="L290" s="41" t="str">
        <f>IFERROR(__xludf.DUMMYFUNCTION("""COMPUTED_VALUE"""),"6285748191884")</f>
        <v>6285748191884</v>
      </c>
      <c r="M290" s="42"/>
      <c r="N290" s="42"/>
      <c r="O290" s="42"/>
      <c r="P290" s="42"/>
      <c r="Q290" s="42"/>
      <c r="R290" s="42"/>
      <c r="S290" s="42"/>
      <c r="T290" s="42">
        <f>IFERROR(__xludf.DUMMYFUNCTION("""COMPUTED_VALUE"""),450000.0)</f>
        <v>450000</v>
      </c>
      <c r="U290" s="42">
        <f>IFERROR(__xludf.DUMMYFUNCTION("""COMPUTED_VALUE"""),450000.0)</f>
        <v>450000</v>
      </c>
      <c r="V290" s="42">
        <f>IFERROR(__xludf.DUMMYFUNCTION("""COMPUTED_VALUE"""),450000.0)</f>
        <v>450000</v>
      </c>
      <c r="W290" s="43">
        <f>IFERROR(__xludf.DUMMYFUNCTION("""COMPUTED_VALUE"""),450000.0)</f>
        <v>450000</v>
      </c>
      <c r="X290" s="43">
        <f>IFERROR(__xludf.DUMMYFUNCTION("""COMPUTED_VALUE"""),450000.0)</f>
        <v>450000</v>
      </c>
      <c r="Y290" s="43">
        <f>IFERROR(__xludf.DUMMYFUNCTION("""COMPUTED_VALUE"""),450000.0)</f>
        <v>450000</v>
      </c>
      <c r="Z290" s="43">
        <f>IFERROR(__xludf.DUMMYFUNCTION("""COMPUTED_VALUE"""),450000.0)</f>
        <v>450000</v>
      </c>
      <c r="AA290" s="43"/>
      <c r="AB290" s="43"/>
      <c r="AC290" s="43"/>
      <c r="AD290" s="43"/>
      <c r="AE290" s="43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3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IFERROR(__xludf.DUMMYFUNCTION("""COMPUTED_VALUE"""),3150000.0)</f>
        <v>3150000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IFERROR(__xludf.DUMMYFUNCTION("""COMPUTED_VALUE"""),3150000.0)</f>
        <v>3150000</v>
      </c>
      <c r="BG290" s="42"/>
      <c r="BH290" s="42"/>
      <c r="BI290" s="42"/>
      <c r="BJ290" s="45"/>
      <c r="BK290" s="45"/>
      <c r="BL290" s="45"/>
      <c r="BM290" s="45"/>
      <c r="BN290" s="45"/>
      <c r="BO290" s="46"/>
    </row>
    <row r="291">
      <c r="A291" s="47">
        <f>IFERROR(__xludf.DUMMYFUNCTION("""COMPUTED_VALUE"""),290.0)</f>
        <v>290</v>
      </c>
      <c r="B291" s="48" t="str">
        <f>IFERROR(__xludf.DUMMYFUNCTION("""COMPUTED_VALUE"""),"ZUMLATIN AZFIRUH RIZFAH")</f>
        <v>ZUMLATIN AZFIRUH RIZFAH</v>
      </c>
      <c r="C291" s="49">
        <f>IFERROR(__xludf.DUMMYFUNCTION("""COMPUTED_VALUE"""),2.025070383E9)</f>
        <v>2025070383</v>
      </c>
      <c r="D291" s="48" t="str">
        <f>IFERROR(__xludf.DUMMYFUNCTION("""COMPUTED_VALUE"""),"AKHMAD JAIS")</f>
        <v>AKHMAD JAIS</v>
      </c>
      <c r="E291" s="48" t="str">
        <f>IFERROR(__xludf.DUMMYFUNCTION("""COMPUTED_VALUE"""),"SURI`AH")</f>
        <v>SURI`AH</v>
      </c>
      <c r="F291" s="48" t="str">
        <f>IFERROR(__xludf.DUMMYFUNCTION("""COMPUTED_VALUE"""),"NGUJUNG NGUJUNGREJO RT 005 RW 002 TURI LAMONGAN")</f>
        <v>NGUJUNG NGUJUNGREJO RT 005 RW 002 TURI LAMONGAN</v>
      </c>
      <c r="G291" s="50" t="str">
        <f>IFERROR(__xludf.DUMMYFUNCTION("""COMPUTED_VALUE"""),"MA-XI.11")</f>
        <v>MA-XI.11</v>
      </c>
      <c r="H291" s="47" t="str">
        <f>IFERROR(__xludf.DUMMYFUNCTION("""COMPUTED_VALUE"""),"D")</f>
        <v>D</v>
      </c>
      <c r="I291" s="53" t="str">
        <f>IFERROR(__xludf.DUMMYFUNCTION("""COMPUTED_VALUE"""),"D-8")</f>
        <v>D-8</v>
      </c>
      <c r="J291" s="51">
        <f>IFERROR(__xludf.DUMMYFUNCTION("""COMPUTED_VALUE"""),2.0)</f>
        <v>2</v>
      </c>
      <c r="K291" s="51" t="str">
        <f>IFERROR(__xludf.DUMMYFUNCTION("""COMPUTED_VALUE"""),"2 WUSTHO A PUTRI")</f>
        <v>2 WUSTHO A PUTRI</v>
      </c>
      <c r="L291" s="52" t="str">
        <f>IFERROR(__xludf.DUMMYFUNCTION("""COMPUTED_VALUE"""),"6282331336664")</f>
        <v>6282331336664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4">
        <f>IFERROR(__xludf.DUMMYFUNCTION("""COMPUTED_VALUE"""),500000.0)</f>
        <v>500000</v>
      </c>
      <c r="AC291" s="53"/>
      <c r="AD291" s="53"/>
      <c r="AE291" s="54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4">
        <f>IFERROR(__xludf.DUMMYFUNCTION("""COMPUTED_VALUE"""),500000.0)</f>
        <v>500000</v>
      </c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3"/>
      <c r="BH291" s="53"/>
      <c r="BI291" s="53"/>
      <c r="BJ291" s="45"/>
      <c r="BK291" s="45"/>
      <c r="BL291" s="45"/>
      <c r="BM291" s="45"/>
      <c r="BN291" s="45"/>
      <c r="BO291" s="46"/>
    </row>
    <row r="292">
      <c r="A292" s="36">
        <f>IFERROR(__xludf.DUMMYFUNCTION("""COMPUTED_VALUE"""),291.0)</f>
        <v>291</v>
      </c>
      <c r="B292" s="37" t="str">
        <f>IFERROR(__xludf.DUMMYFUNCTION("""COMPUTED_VALUE"""),"AFRA NAILA ARKARNA")</f>
        <v>AFRA NAILA ARKARNA</v>
      </c>
      <c r="C292" s="38">
        <f>IFERROR(__xludf.DUMMYFUNCTION("""COMPUTED_VALUE"""),2.025070164E9)</f>
        <v>2025070164</v>
      </c>
      <c r="D292" s="37" t="str">
        <f>IFERROR(__xludf.DUMMYFUNCTION("""COMPUTED_VALUE"""),"SUMANTRI")</f>
        <v>SUMANTRI</v>
      </c>
      <c r="E292" s="37" t="str">
        <f>IFERROR(__xludf.DUMMYFUNCTION("""COMPUTED_VALUE"""),"ENDANG ASTUTIK")</f>
        <v>ENDANG ASTUTIK</v>
      </c>
      <c r="F292" s="37" t="str">
        <f>IFERROR(__xludf.DUMMYFUNCTION("""COMPUTED_VALUE"""),"RANDUBENER RT 007 RW 002 KEMBANGBAHU LAMONGAN")</f>
        <v>RANDUBENER RT 007 RW 002 KEMBANGBAHU LAMONGAN</v>
      </c>
      <c r="G292" s="39" t="str">
        <f>IFERROR(__xludf.DUMMYFUNCTION("""COMPUTED_VALUE"""),"MA-XI.12")</f>
        <v>MA-XI.12</v>
      </c>
      <c r="H292" s="36" t="str">
        <f>IFERROR(__xludf.DUMMYFUNCTION("""COMPUTED_VALUE"""),"E")</f>
        <v>E</v>
      </c>
      <c r="I292" s="42" t="str">
        <f>IFERROR(__xludf.DUMMYFUNCTION("""COMPUTED_VALUE"""),"E-5")</f>
        <v>E-5</v>
      </c>
      <c r="J292" s="40">
        <f>IFERROR(__xludf.DUMMYFUNCTION("""COMPUTED_VALUE"""),2.0)</f>
        <v>2</v>
      </c>
      <c r="K292" s="40" t="str">
        <f>IFERROR(__xludf.DUMMYFUNCTION("""COMPUTED_VALUE"""),"2 WUSTHO B PUTRI")</f>
        <v>2 WUSTHO B PUTRI</v>
      </c>
      <c r="L292" s="41" t="str">
        <f>IFERROR(__xludf.DUMMYFUNCTION("""COMPUTED_VALUE"""),"62881026635988")</f>
        <v>62881026635988</v>
      </c>
      <c r="M292" s="42"/>
      <c r="N292" s="42">
        <f>IFERROR(__xludf.DUMMYFUNCTION("""COMPUTED_VALUE"""),200000.0)</f>
        <v>200000</v>
      </c>
      <c r="O292" s="42">
        <f>IFERROR(__xludf.DUMMYFUNCTION("""COMPUTED_VALUE"""),450000.0)</f>
        <v>450000</v>
      </c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>
        <f>IFERROR(__xludf.DUMMYFUNCTION("""COMPUTED_VALUE"""),500000.0)</f>
        <v>500000</v>
      </c>
      <c r="AA292" s="42"/>
      <c r="AB292" s="43">
        <f>IFERROR(__xludf.DUMMYFUNCTION("""COMPUTED_VALUE"""),300000.0)</f>
        <v>300000</v>
      </c>
      <c r="AC292" s="42"/>
      <c r="AD292" s="42"/>
      <c r="AE292" s="43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3">
        <f>IFERROR(__xludf.DUMMYFUNCTION("""COMPUTED_VALUE"""),500000.0)</f>
        <v>500000</v>
      </c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IFERROR(__xludf.DUMMYFUNCTION("""COMPUTED_VALUE"""),950000.0)</f>
        <v>950000</v>
      </c>
      <c r="BD292" s="43">
        <f>IFERROR(__xludf.DUMMYFUNCTION("""COMPUTED_VALUE"""),800000.0)</f>
        <v>800000</v>
      </c>
      <c r="BE292" s="43">
        <f>IFERROR(__xludf.DUMMYFUNCTION("""COMPUTED_VALUE"""),0.0)</f>
        <v>0</v>
      </c>
      <c r="BF292" s="44">
        <f>IFERROR(__xludf.DUMMYFUNCTION("""COMPUTED_VALUE"""),1750000.0)</f>
        <v>1750000</v>
      </c>
      <c r="BG292" s="42"/>
      <c r="BH292" s="42"/>
      <c r="BI292" s="42"/>
      <c r="BJ292" s="45"/>
      <c r="BK292" s="45"/>
      <c r="BL292" s="45"/>
      <c r="BM292" s="45"/>
      <c r="BN292" s="45"/>
      <c r="BO292" s="46"/>
    </row>
    <row r="293">
      <c r="A293" s="47">
        <f>IFERROR(__xludf.DUMMYFUNCTION("""COMPUTED_VALUE"""),292.0)</f>
        <v>292</v>
      </c>
      <c r="B293" s="48" t="str">
        <f>IFERROR(__xludf.DUMMYFUNCTION("""COMPUTED_VALUE"""),"ALMIRA GHANIYAH AZ-ZAHRAH")</f>
        <v>ALMIRA GHANIYAH AZ-ZAHRAH</v>
      </c>
      <c r="C293" s="49">
        <f>IFERROR(__xludf.DUMMYFUNCTION("""COMPUTED_VALUE"""),2.025070071E9)</f>
        <v>2025070071</v>
      </c>
      <c r="D293" s="48" t="str">
        <f>IFERROR(__xludf.DUMMYFUNCTION("""COMPUTED_VALUE"""),"HADI SUPRAYITNO")</f>
        <v>HADI SUPRAYITNO</v>
      </c>
      <c r="E293" s="48" t="str">
        <f>IFERROR(__xludf.DUMMYFUNCTION("""COMPUTED_VALUE"""),"NUR LAILI")</f>
        <v>NUR LAILI</v>
      </c>
      <c r="F293" s="48" t="str">
        <f>IFERROR(__xludf.DUMMYFUNCTION("""COMPUTED_VALUE"""),"TUMENGGUNGAN RT 003 RW 006 LAMONGAN LAMONGAN")</f>
        <v>TUMENGGUNGAN RT 003 RW 006 LAMONGAN LAMONGAN</v>
      </c>
      <c r="G293" s="50" t="str">
        <f>IFERROR(__xludf.DUMMYFUNCTION("""COMPUTED_VALUE"""),"MA-XI.5")</f>
        <v>MA-XI.5</v>
      </c>
      <c r="H293" s="47" t="str">
        <f>IFERROR(__xludf.DUMMYFUNCTION("""COMPUTED_VALUE"""),"E")</f>
        <v>E</v>
      </c>
      <c r="I293" s="53" t="str">
        <f>IFERROR(__xludf.DUMMYFUNCTION("""COMPUTED_VALUE"""),"E-5")</f>
        <v>E-5</v>
      </c>
      <c r="J293" s="51">
        <f>IFERROR(__xludf.DUMMYFUNCTION("""COMPUTED_VALUE"""),2.0)</f>
        <v>2</v>
      </c>
      <c r="K293" s="51" t="str">
        <f>IFERROR(__xludf.DUMMYFUNCTION("""COMPUTED_VALUE"""),"2 WUSTHO B PUTRI")</f>
        <v>2 WUSTHO B PUTRI</v>
      </c>
      <c r="L293" s="52" t="str">
        <f>IFERROR(__xludf.DUMMYFUNCTION("""COMPUTED_VALUE"""),"62895410761833")</f>
        <v>62895410761833</v>
      </c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4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3"/>
      <c r="BH293" s="53"/>
      <c r="BI293" s="53"/>
      <c r="BJ293" s="45"/>
      <c r="BK293" s="45"/>
      <c r="BL293" s="45"/>
      <c r="BM293" s="45"/>
      <c r="BN293" s="45"/>
      <c r="BO293" s="46"/>
    </row>
    <row r="294">
      <c r="A294" s="36">
        <f>IFERROR(__xludf.DUMMYFUNCTION("""COMPUTED_VALUE"""),293.0)</f>
        <v>293</v>
      </c>
      <c r="B294" s="37" t="str">
        <f>IFERROR(__xludf.DUMMYFUNCTION("""COMPUTED_VALUE"""),"ALVINA AGHNIYA FATMAH")</f>
        <v>ALVINA AGHNIYA FATMAH</v>
      </c>
      <c r="C294" s="38">
        <f>IFERROR(__xludf.DUMMYFUNCTION("""COMPUTED_VALUE"""),2.025070316E9)</f>
        <v>2025070316</v>
      </c>
      <c r="D294" s="37" t="str">
        <f>IFERROR(__xludf.DUMMYFUNCTION("""COMPUTED_VALUE"""),"EFENDI")</f>
        <v>EFENDI</v>
      </c>
      <c r="E294" s="37" t="str">
        <f>IFERROR(__xludf.DUMMYFUNCTION("""COMPUTED_VALUE"""),"NUR ELIS MUNASHOFA")</f>
        <v>NUR ELIS MUNASHOFA</v>
      </c>
      <c r="F294" s="37" t="str">
        <f>IFERROR(__xludf.DUMMYFUNCTION("""COMPUTED_VALUE"""),"SUNAN MURIA LATUKAN RT 002 RW 001 KARANGGENENG LAMONGAN")</f>
        <v>SUNAN MURIA LATUKAN RT 002 RW 001 KARANGGENENG LAMONGAN</v>
      </c>
      <c r="G294" s="39" t="str">
        <f>IFERROR(__xludf.DUMMYFUNCTION("""COMPUTED_VALUE"""),"MA-XI.1")</f>
        <v>MA-XI.1</v>
      </c>
      <c r="H294" s="36" t="str">
        <f>IFERROR(__xludf.DUMMYFUNCTION("""COMPUTED_VALUE"""),"E")</f>
        <v>E</v>
      </c>
      <c r="I294" s="40" t="str">
        <f>IFERROR(__xludf.DUMMYFUNCTION("""COMPUTED_VALUE"""),"E-5")</f>
        <v>E-5</v>
      </c>
      <c r="J294" s="40">
        <f>IFERROR(__xludf.DUMMYFUNCTION("""COMPUTED_VALUE"""),2.0)</f>
        <v>2</v>
      </c>
      <c r="K294" s="40" t="str">
        <f>IFERROR(__xludf.DUMMYFUNCTION("""COMPUTED_VALUE"""),"TAHFIDZ")</f>
        <v>TAHFIDZ</v>
      </c>
      <c r="L294" s="41" t="str">
        <f>IFERROR(__xludf.DUMMYFUNCTION("""COMPUTED_VALUE"""),"6285802923208")</f>
        <v>6285802923208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>
        <f>IFERROR(__xludf.DUMMYFUNCTION("""COMPUTED_VALUE"""),500000.0)</f>
        <v>500000</v>
      </c>
      <c r="AC294" s="42"/>
      <c r="AD294" s="42"/>
      <c r="AE294" s="43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>
        <f>IFERROR(__xludf.DUMMYFUNCTION("""COMPUTED_VALUE"""),500000.0)</f>
        <v>500000</v>
      </c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IFERROR(__xludf.DUMMYFUNCTION("""COMPUTED_VALUE"""),1000000.0)</f>
        <v>1000000</v>
      </c>
      <c r="BE294" s="43">
        <f>IFERROR(__xludf.DUMMYFUNCTION("""COMPUTED_VALUE"""),0.0)</f>
        <v>0</v>
      </c>
      <c r="BF294" s="44">
        <f>IFERROR(__xludf.DUMMYFUNCTION("""COMPUTED_VALUE"""),1000000.0)</f>
        <v>1000000</v>
      </c>
      <c r="BG294" s="42"/>
      <c r="BH294" s="42"/>
      <c r="BI294" s="42"/>
      <c r="BJ294" s="45"/>
      <c r="BK294" s="45"/>
      <c r="BL294" s="45"/>
      <c r="BM294" s="45"/>
      <c r="BN294" s="45"/>
      <c r="BO294" s="46"/>
    </row>
    <row r="295">
      <c r="A295" s="47">
        <f>IFERROR(__xludf.DUMMYFUNCTION("""COMPUTED_VALUE"""),294.0)</f>
        <v>294</v>
      </c>
      <c r="B295" s="48" t="str">
        <f>IFERROR(__xludf.DUMMYFUNCTION("""COMPUTED_VALUE"""),"ANISA RETNO LULUK NUR MANGGALI")</f>
        <v>ANISA RETNO LULUK NUR MANGGALI</v>
      </c>
      <c r="C295" s="49">
        <f>IFERROR(__xludf.DUMMYFUNCTION("""COMPUTED_VALUE"""),2.025070598E9)</f>
        <v>2025070598</v>
      </c>
      <c r="D295" s="48" t="str">
        <f>IFERROR(__xludf.DUMMYFUNCTION("""COMPUTED_VALUE"""),"ARIPIN")</f>
        <v>ARIPIN</v>
      </c>
      <c r="E295" s="48" t="str">
        <f>IFERROR(__xludf.DUMMYFUNCTION("""COMPUTED_VALUE"""),"LULUK MAHFUDHOTIN")</f>
        <v>LULUK MAHFUDHOTIN</v>
      </c>
      <c r="F295" s="48" t="str">
        <f>IFERROR(__xludf.DUMMYFUNCTION("""COMPUTED_VALUE"""),"KLITIK RT 019 RW 005 SUGIHWARAS BOJONEGORO")</f>
        <v>KLITIK RT 019 RW 005 SUGIHWARAS BOJONEGORO</v>
      </c>
      <c r="G295" s="49" t="str">
        <f>IFERROR(__xludf.DUMMYFUNCTION("""COMPUTED_VALUE"""),"MTS-8 A")</f>
        <v>MTS-8 A</v>
      </c>
      <c r="H295" s="47" t="str">
        <f>IFERROR(__xludf.DUMMYFUNCTION("""COMPUTED_VALUE"""),"E")</f>
        <v>E</v>
      </c>
      <c r="I295" s="51" t="str">
        <f>IFERROR(__xludf.DUMMYFUNCTION("""COMPUTED_VALUE"""),"E-6")</f>
        <v>E-6</v>
      </c>
      <c r="J295" s="51">
        <f>IFERROR(__xludf.DUMMYFUNCTION("""COMPUTED_VALUE"""),2.0)</f>
        <v>2</v>
      </c>
      <c r="K295" s="51" t="str">
        <f>IFERROR(__xludf.DUMMYFUNCTION("""COMPUTED_VALUE"""),"2 ULA C PUTRI")</f>
        <v>2 ULA C PUTRI</v>
      </c>
      <c r="L295" s="52" t="str">
        <f>IFERROR(__xludf.DUMMYFUNCTION("""COMPUTED_VALUE"""),"6285749892788")</f>
        <v>6285749892788</v>
      </c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IFERROR(__xludf.DUMMYFUNCTION("""COMPUTED_VALUE"""),100000.0)</f>
        <v>100000</v>
      </c>
      <c r="AC295" s="53"/>
      <c r="AD295" s="53"/>
      <c r="AE295" s="54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4">
        <f>IFERROR(__xludf.DUMMYFUNCTION("""COMPUTED_VALUE"""),100000.0)</f>
        <v>100000</v>
      </c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IFERROR(__xludf.DUMMYFUNCTION("""COMPUTED_VALUE"""),0.0)</f>
        <v>0</v>
      </c>
      <c r="BD295" s="54">
        <f>IFERROR(__xludf.DUMMYFUNCTION("""COMPUTED_VALUE"""),200000.0)</f>
        <v>200000</v>
      </c>
      <c r="BE295" s="54">
        <f>IFERROR(__xludf.DUMMYFUNCTION("""COMPUTED_VALUE"""),0.0)</f>
        <v>0</v>
      </c>
      <c r="BF295" s="55">
        <f>IFERROR(__xludf.DUMMYFUNCTION("""COMPUTED_VALUE"""),200000.0)</f>
        <v>200000</v>
      </c>
      <c r="BG295" s="53"/>
      <c r="BH295" s="53"/>
      <c r="BI295" s="53"/>
      <c r="BJ295" s="45"/>
      <c r="BK295" s="45"/>
      <c r="BL295" s="45"/>
      <c r="BM295" s="45"/>
      <c r="BN295" s="45"/>
      <c r="BO295" s="46"/>
    </row>
    <row r="296">
      <c r="A296" s="36">
        <f>IFERROR(__xludf.DUMMYFUNCTION("""COMPUTED_VALUE"""),295.0)</f>
        <v>295</v>
      </c>
      <c r="B296" s="37" t="str">
        <f>IFERROR(__xludf.DUMMYFUNCTION("""COMPUTED_VALUE"""),"ANITA RETNO LULUK NUR WAKISTASARI")</f>
        <v>ANITA RETNO LULUK NUR WAKISTASARI</v>
      </c>
      <c r="C296" s="38">
        <f>IFERROR(__xludf.DUMMYFUNCTION("""COMPUTED_VALUE"""),2.025070599E9)</f>
        <v>2025070599</v>
      </c>
      <c r="D296" s="37" t="str">
        <f>IFERROR(__xludf.DUMMYFUNCTION("""COMPUTED_VALUE"""),"ARIPIN")</f>
        <v>ARIPIN</v>
      </c>
      <c r="E296" s="37" t="str">
        <f>IFERROR(__xludf.DUMMYFUNCTION("""COMPUTED_VALUE"""),"LULUK MAHFUDHOTIN")</f>
        <v>LULUK MAHFUDHOTIN</v>
      </c>
      <c r="F296" s="37" t="str">
        <f>IFERROR(__xludf.DUMMYFUNCTION("""COMPUTED_VALUE"""),"KLITIK RT 019 RW 005 SUGIHWARAS BOJONEGORO")</f>
        <v>KLITIK RT 019 RW 005 SUGIHWARAS BOJONEGORO</v>
      </c>
      <c r="G296" s="39" t="str">
        <f>IFERROR(__xludf.DUMMYFUNCTION("""COMPUTED_VALUE"""),"MTS-8 A")</f>
        <v>MTS-8 A</v>
      </c>
      <c r="H296" s="36" t="str">
        <f>IFERROR(__xludf.DUMMYFUNCTION("""COMPUTED_VALUE"""),"E")</f>
        <v>E</v>
      </c>
      <c r="I296" s="42" t="str">
        <f>IFERROR(__xludf.DUMMYFUNCTION("""COMPUTED_VALUE"""),"E-6")</f>
        <v>E-6</v>
      </c>
      <c r="J296" s="40">
        <f>IFERROR(__xludf.DUMMYFUNCTION("""COMPUTED_VALUE"""),2.0)</f>
        <v>2</v>
      </c>
      <c r="K296" s="40" t="str">
        <f>IFERROR(__xludf.DUMMYFUNCTION("""COMPUTED_VALUE"""),"2 ULA B PUTRI")</f>
        <v>2 ULA B PUTRI</v>
      </c>
      <c r="L296" s="41" t="str">
        <f>IFERROR(__xludf.DUMMYFUNCTION("""COMPUTED_VALUE"""),"6285749892788")</f>
        <v>6285749892788</v>
      </c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>
        <f>IFERROR(__xludf.DUMMYFUNCTION("""COMPUTED_VALUE"""),100000.0)</f>
        <v>100000</v>
      </c>
      <c r="AC296" s="42"/>
      <c r="AD296" s="43"/>
      <c r="AE296" s="43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3">
        <f>IFERROR(__xludf.DUMMYFUNCTION("""COMPUTED_VALUE"""),100000.0)</f>
        <v>100000</v>
      </c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IFERROR(__xludf.DUMMYFUNCTION("""COMPUTED_VALUE"""),200000.0)</f>
        <v>200000</v>
      </c>
      <c r="BE296" s="43">
        <f>IFERROR(__xludf.DUMMYFUNCTION("""COMPUTED_VALUE"""),0.0)</f>
        <v>0</v>
      </c>
      <c r="BF296" s="44">
        <f>IFERROR(__xludf.DUMMYFUNCTION("""COMPUTED_VALUE"""),200000.0)</f>
        <v>200000</v>
      </c>
      <c r="BG296" s="42"/>
      <c r="BH296" s="42"/>
      <c r="BI296" s="42"/>
      <c r="BJ296" s="45"/>
      <c r="BK296" s="45"/>
      <c r="BL296" s="45"/>
      <c r="BM296" s="45"/>
      <c r="BN296" s="45"/>
      <c r="BO296" s="46"/>
    </row>
    <row r="297">
      <c r="A297" s="47">
        <f>IFERROR(__xludf.DUMMYFUNCTION("""COMPUTED_VALUE"""),296.0)</f>
        <v>296</v>
      </c>
      <c r="B297" s="48" t="str">
        <f>IFERROR(__xludf.DUMMYFUNCTION("""COMPUTED_VALUE"""),"ASYIFATUR RAHMAH AL AZZA")</f>
        <v>ASYIFATUR RAHMAH AL AZZA</v>
      </c>
      <c r="C297" s="49">
        <f>IFERROR(__xludf.DUMMYFUNCTION("""COMPUTED_VALUE"""),2.025070664E9)</f>
        <v>2025070664</v>
      </c>
      <c r="D297" s="48" t="str">
        <f>IFERROR(__xludf.DUMMYFUNCTION("""COMPUTED_VALUE"""),"MARKUWAT")</f>
        <v>MARKUWAT</v>
      </c>
      <c r="E297" s="48" t="str">
        <f>IFERROR(__xludf.DUMMYFUNCTION("""COMPUTED_VALUE"""),"KHOLIFAH")</f>
        <v>KHOLIFAH</v>
      </c>
      <c r="F297" s="48" t="str">
        <f>IFERROR(__xludf.DUMMYFUNCTION("""COMPUTED_VALUE"""),"DIBEE RT 009 RW 003 KALITENGAH LAMONGAN")</f>
        <v>DIBEE RT 009 RW 003 KALITENGAH LAMONGAN</v>
      </c>
      <c r="G297" s="50" t="str">
        <f>IFERROR(__xludf.DUMMYFUNCTION("""COMPUTED_VALUE"""),"#N/A")</f>
        <v>#N/A</v>
      </c>
      <c r="H297" s="47" t="str">
        <f>IFERROR(__xludf.DUMMYFUNCTION("""COMPUTED_VALUE"""),"E")</f>
        <v>E</v>
      </c>
      <c r="I297" s="53" t="str">
        <f>IFERROR(__xludf.DUMMYFUNCTION("""COMPUTED_VALUE"""),"E-6")</f>
        <v>E-6</v>
      </c>
      <c r="J297" s="51">
        <f>IFERROR(__xludf.DUMMYFUNCTION("""COMPUTED_VALUE"""),2.0)</f>
        <v>2</v>
      </c>
      <c r="K297" s="51" t="str">
        <f>IFERROR(__xludf.DUMMYFUNCTION("""COMPUTED_VALUE"""),"2 ULA B PUTRI")</f>
        <v>2 ULA B PUTRI</v>
      </c>
      <c r="L297" s="52" t="str">
        <f>IFERROR(__xludf.DUMMYFUNCTION("""COMPUTED_VALUE"""),"6285859446395")</f>
        <v>6285859446395</v>
      </c>
      <c r="M297" s="53"/>
      <c r="N297" s="53"/>
      <c r="O297" s="53"/>
      <c r="P297" s="53"/>
      <c r="Q297" s="53"/>
      <c r="R297" s="53"/>
      <c r="S297" s="53"/>
      <c r="T297" s="53"/>
      <c r="U297" s="53">
        <f>IFERROR(__xludf.DUMMYFUNCTION("""COMPUTED_VALUE"""),500000.0)</f>
        <v>500000</v>
      </c>
      <c r="V297" s="53">
        <f>IFERROR(__xludf.DUMMYFUNCTION("""COMPUTED_VALUE"""),500000.0)</f>
        <v>500000</v>
      </c>
      <c r="W297" s="53">
        <f>IFERROR(__xludf.DUMMYFUNCTION("""COMPUTED_VALUE"""),500000.0)</f>
        <v>500000</v>
      </c>
      <c r="X297" s="53">
        <f>IFERROR(__xludf.DUMMYFUNCTION("""COMPUTED_VALUE"""),500000.0)</f>
        <v>500000</v>
      </c>
      <c r="Y297" s="53">
        <f>IFERROR(__xludf.DUMMYFUNCTION("""COMPUTED_VALUE"""),500000.0)</f>
        <v>500000</v>
      </c>
      <c r="Z297" s="53">
        <f>IFERROR(__xludf.DUMMYFUNCTION("""COMPUTED_VALUE"""),500000.0)</f>
        <v>500000</v>
      </c>
      <c r="AA297" s="53"/>
      <c r="AB297" s="53"/>
      <c r="AC297" s="53"/>
      <c r="AD297" s="53"/>
      <c r="AE297" s="54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IFERROR(__xludf.DUMMYFUNCTION("""COMPUTED_VALUE"""),3000000.0)</f>
        <v>3000000</v>
      </c>
      <c r="BD297" s="54">
        <f>IFERROR(__xludf.DUMMYFUNCTION("""COMPUTED_VALUE"""),0.0)</f>
        <v>0</v>
      </c>
      <c r="BE297" s="54">
        <f>IFERROR(__xludf.DUMMYFUNCTION("""COMPUTED_VALUE"""),0.0)</f>
        <v>0</v>
      </c>
      <c r="BF297" s="55">
        <f>IFERROR(__xludf.DUMMYFUNCTION("""COMPUTED_VALUE"""),3000000.0)</f>
        <v>3000000</v>
      </c>
      <c r="BG297" s="53"/>
      <c r="BH297" s="53"/>
      <c r="BI297" s="53"/>
      <c r="BJ297" s="45"/>
      <c r="BK297" s="45"/>
      <c r="BL297" s="45"/>
      <c r="BM297" s="45"/>
      <c r="BN297" s="45"/>
      <c r="BO297" s="46"/>
    </row>
    <row r="298">
      <c r="A298" s="36">
        <f>IFERROR(__xludf.DUMMYFUNCTION("""COMPUTED_VALUE"""),297.0)</f>
        <v>297</v>
      </c>
      <c r="B298" s="37" t="str">
        <f>IFERROR(__xludf.DUMMYFUNCTION("""COMPUTED_VALUE"""),"AZZAHRA SAYLA RAHMAH")</f>
        <v>AZZAHRA SAYLA RAHMAH</v>
      </c>
      <c r="C298" s="38">
        <f>IFERROR(__xludf.DUMMYFUNCTION("""COMPUTED_VALUE"""),2.025070536E9)</f>
        <v>2025070536</v>
      </c>
      <c r="D298" s="37" t="str">
        <f>IFERROR(__xludf.DUMMYFUNCTION("""COMPUTED_VALUE"""),"MISBAKHUL KHOIR")</f>
        <v>MISBAKHUL KHOIR</v>
      </c>
      <c r="E298" s="37" t="str">
        <f>IFERROR(__xludf.DUMMYFUNCTION("""COMPUTED_VALUE"""),"ZAHROTUL HASANAH")</f>
        <v>ZAHROTUL HASANAH</v>
      </c>
      <c r="F298" s="37" t="str">
        <f>IFERROR(__xludf.DUMMYFUNCTION("""COMPUTED_VALUE"""),"DAGAN RT 003 RW 004 SOLOKURO LAMONGAN")</f>
        <v>DAGAN RT 003 RW 004 SOLOKURO LAMONGAN</v>
      </c>
      <c r="G298" s="39" t="str">
        <f>IFERROR(__xludf.DUMMYFUNCTION("""COMPUTED_VALUE"""),"MTS-8 E")</f>
        <v>MTS-8 E</v>
      </c>
      <c r="H298" s="36" t="str">
        <f>IFERROR(__xludf.DUMMYFUNCTION("""COMPUTED_VALUE"""),"E")</f>
        <v>E</v>
      </c>
      <c r="I298" s="42" t="str">
        <f>IFERROR(__xludf.DUMMYFUNCTION("""COMPUTED_VALUE"""),"E-4")</f>
        <v>E-4</v>
      </c>
      <c r="J298" s="40">
        <f>IFERROR(__xludf.DUMMYFUNCTION("""COMPUTED_VALUE"""),2.0)</f>
        <v>2</v>
      </c>
      <c r="K298" s="40" t="str">
        <f>IFERROR(__xludf.DUMMYFUNCTION("""COMPUTED_VALUE"""),"2 ULA A PUTRI")</f>
        <v>2 ULA A PUTRI</v>
      </c>
      <c r="L298" s="41" t="str">
        <f>IFERROR(__xludf.DUMMYFUNCTION("""COMPUTED_VALUE"""),"6285706388647")</f>
        <v>6285706388647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>
        <f>IFERROR(__xludf.DUMMYFUNCTION("""COMPUTED_VALUE"""),500000.0)</f>
        <v>500000</v>
      </c>
      <c r="AC298" s="42"/>
      <c r="AD298" s="42"/>
      <c r="AE298" s="43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3">
        <f>IFERROR(__xludf.DUMMYFUNCTION("""COMPUTED_VALUE"""),500000.0)</f>
        <v>500000</v>
      </c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IFERROR(__xludf.DUMMYFUNCTION("""COMPUTED_VALUE"""),1000000.0)</f>
        <v>1000000</v>
      </c>
      <c r="BE298" s="43">
        <f>IFERROR(__xludf.DUMMYFUNCTION("""COMPUTED_VALUE"""),0.0)</f>
        <v>0</v>
      </c>
      <c r="BF298" s="44">
        <f>IFERROR(__xludf.DUMMYFUNCTION("""COMPUTED_VALUE"""),1000000.0)</f>
        <v>1000000</v>
      </c>
      <c r="BG298" s="42"/>
      <c r="BH298" s="42"/>
      <c r="BI298" s="42"/>
      <c r="BJ298" s="45"/>
      <c r="BK298" s="45"/>
      <c r="BL298" s="45"/>
      <c r="BM298" s="45"/>
      <c r="BN298" s="45"/>
      <c r="BO298" s="46"/>
    </row>
    <row r="299">
      <c r="A299" s="47">
        <f>IFERROR(__xludf.DUMMYFUNCTION("""COMPUTED_VALUE"""),298.0)</f>
        <v>298</v>
      </c>
      <c r="B299" s="48" t="str">
        <f>IFERROR(__xludf.DUMMYFUNCTION("""COMPUTED_VALUE"""),"CITRA RAMADHANIA ABDILLAH")</f>
        <v>CITRA RAMADHANIA ABDILLAH</v>
      </c>
      <c r="C299" s="49">
        <f>IFERROR(__xludf.DUMMYFUNCTION("""COMPUTED_VALUE"""),2.025070549E9)</f>
        <v>2025070549</v>
      </c>
      <c r="D299" s="48" t="str">
        <f>IFERROR(__xludf.DUMMYFUNCTION("""COMPUTED_VALUE"""),"ABDULLAH")</f>
        <v>ABDULLAH</v>
      </c>
      <c r="E299" s="48" t="str">
        <f>IFERROR(__xludf.DUMMYFUNCTION("""COMPUTED_VALUE"""),"WIJIANTI")</f>
        <v>WIJIANTI</v>
      </c>
      <c r="F299" s="48" t="str">
        <f>IFERROR(__xludf.DUMMYFUNCTION("""COMPUTED_VALUE"""),"BETOYOGUCI RT 014 RW 005 MANYAR GRESIK")</f>
        <v>BETOYOGUCI RT 014 RW 005 MANYAR GRESIK</v>
      </c>
      <c r="G299" s="50" t="str">
        <f>IFERROR(__xludf.DUMMYFUNCTION("""COMPUTED_VALUE"""),"MTS-8 A")</f>
        <v>MTS-8 A</v>
      </c>
      <c r="H299" s="47" t="str">
        <f>IFERROR(__xludf.DUMMYFUNCTION("""COMPUTED_VALUE"""),"E")</f>
        <v>E</v>
      </c>
      <c r="I299" s="51" t="str">
        <f>IFERROR(__xludf.DUMMYFUNCTION("""COMPUTED_VALUE"""),"E-6")</f>
        <v>E-6</v>
      </c>
      <c r="J299" s="51">
        <f>IFERROR(__xludf.DUMMYFUNCTION("""COMPUTED_VALUE"""),2.0)</f>
        <v>2</v>
      </c>
      <c r="K299" s="51" t="str">
        <f>IFERROR(__xludf.DUMMYFUNCTION("""COMPUTED_VALUE"""),"2 ULA B PUTRI")</f>
        <v>2 ULA B PUTRI</v>
      </c>
      <c r="L299" s="52" t="str">
        <f>IFERROR(__xludf.DUMMYFUNCTION("""COMPUTED_VALUE"""),"6281293344944")</f>
        <v>6281293344944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4"/>
      <c r="AC299" s="54"/>
      <c r="AD299" s="54"/>
      <c r="AE299" s="54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4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3"/>
      <c r="BH299" s="53"/>
      <c r="BI299" s="53"/>
      <c r="BJ299" s="45"/>
      <c r="BK299" s="45"/>
      <c r="BL299" s="45"/>
      <c r="BM299" s="45"/>
      <c r="BN299" s="45"/>
      <c r="BO299" s="46"/>
    </row>
    <row r="300">
      <c r="A300" s="36">
        <f>IFERROR(__xludf.DUMMYFUNCTION("""COMPUTED_VALUE"""),299.0)</f>
        <v>299</v>
      </c>
      <c r="B300" s="37" t="str">
        <f>IFERROR(__xludf.DUMMYFUNCTION("""COMPUTED_VALUE"""),"DEEPIKA ATHALIA PRASANTI")</f>
        <v>DEEPIKA ATHALIA PRASANTI</v>
      </c>
      <c r="C300" s="38">
        <f>IFERROR(__xludf.DUMMYFUNCTION("""COMPUTED_VALUE"""),2.025070496E9)</f>
        <v>2025070496</v>
      </c>
      <c r="D300" s="37" t="str">
        <f>IFERROR(__xludf.DUMMYFUNCTION("""COMPUTED_VALUE"""),"SUMBER AGUNG")</f>
        <v>SUMBER AGUNG</v>
      </c>
      <c r="E300" s="37" t="str">
        <f>IFERROR(__xludf.DUMMYFUNCTION("""COMPUTED_VALUE"""),"KUSNATUL MARYAM")</f>
        <v>KUSNATUL MARYAM</v>
      </c>
      <c r="F300" s="37" t="str">
        <f>IFERROR(__xludf.DUMMYFUNCTION("""COMPUTED_VALUE"""),"KEDUNGMEGARIH RT 007 RW 002 KEMBANGBAHU LAMONGAN")</f>
        <v>KEDUNGMEGARIH RT 007 RW 002 KEMBANGBAHU LAMONGAN</v>
      </c>
      <c r="G300" s="39" t="str">
        <f>IFERROR(__xludf.DUMMYFUNCTION("""COMPUTED_VALUE"""),"MTS-8 B")</f>
        <v>MTS-8 B</v>
      </c>
      <c r="H300" s="36" t="str">
        <f>IFERROR(__xludf.DUMMYFUNCTION("""COMPUTED_VALUE"""),"E")</f>
        <v>E</v>
      </c>
      <c r="I300" s="42" t="str">
        <f>IFERROR(__xludf.DUMMYFUNCTION("""COMPUTED_VALUE"""),"E-4")</f>
        <v>E-4</v>
      </c>
      <c r="J300" s="40">
        <f>IFERROR(__xludf.DUMMYFUNCTION("""COMPUTED_VALUE"""),2.0)</f>
        <v>2</v>
      </c>
      <c r="K300" s="40" t="str">
        <f>IFERROR(__xludf.DUMMYFUNCTION("""COMPUTED_VALUE"""),"2 ULA A PUTRI")</f>
        <v>2 ULA A PUTRI</v>
      </c>
      <c r="L300" s="41" t="str">
        <f>IFERROR(__xludf.DUMMYFUNCTION("""COMPUTED_VALUE"""),"6281235016503")</f>
        <v>6281235016503</v>
      </c>
      <c r="M300" s="43"/>
      <c r="N300" s="42"/>
      <c r="O300" s="42"/>
      <c r="P300" s="42"/>
      <c r="Q300" s="42"/>
      <c r="R300" s="42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3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42"/>
      <c r="BH300" s="42"/>
      <c r="BI300" s="42"/>
      <c r="BJ300" s="45"/>
      <c r="BK300" s="45"/>
      <c r="BL300" s="45"/>
      <c r="BM300" s="45"/>
      <c r="BN300" s="45"/>
      <c r="BO300" s="46"/>
    </row>
    <row r="301">
      <c r="A301" s="47">
        <f>IFERROR(__xludf.DUMMYFUNCTION("""COMPUTED_VALUE"""),300.0)</f>
        <v>300</v>
      </c>
      <c r="B301" s="48" t="str">
        <f>IFERROR(__xludf.DUMMYFUNCTION("""COMPUTED_VALUE"""),"ELVA FITRIANI FATIKHAH")</f>
        <v>ELVA FITRIANI FATIKHAH</v>
      </c>
      <c r="C301" s="49">
        <f>IFERROR(__xludf.DUMMYFUNCTION("""COMPUTED_VALUE"""),2.025070597E9)</f>
        <v>2025070597</v>
      </c>
      <c r="D301" s="48" t="str">
        <f>IFERROR(__xludf.DUMMYFUNCTION("""COMPUTED_VALUE"""),"MA`RUF")</f>
        <v>MA`RUF</v>
      </c>
      <c r="E301" s="48" t="str">
        <f>IFERROR(__xludf.DUMMYFUNCTION("""COMPUTED_VALUE"""),"MAFTUKAH")</f>
        <v>MAFTUKAH</v>
      </c>
      <c r="F301" s="48" t="str">
        <f>IFERROR(__xludf.DUMMYFUNCTION("""COMPUTED_VALUE"""),"NGAMBEG RT 008 RW 002 PUCUK LAMONGAN")</f>
        <v>NGAMBEG RT 008 RW 002 PUCUK LAMONGAN</v>
      </c>
      <c r="G301" s="50" t="str">
        <f>IFERROR(__xludf.DUMMYFUNCTION("""COMPUTED_VALUE"""),"MTS-8 D")</f>
        <v>MTS-8 D</v>
      </c>
      <c r="H301" s="47" t="str">
        <f>IFERROR(__xludf.DUMMYFUNCTION("""COMPUTED_VALUE"""),"E")</f>
        <v>E</v>
      </c>
      <c r="I301" s="53" t="str">
        <f>IFERROR(__xludf.DUMMYFUNCTION("""COMPUTED_VALUE"""),"E-4")</f>
        <v>E-4</v>
      </c>
      <c r="J301" s="51">
        <f>IFERROR(__xludf.DUMMYFUNCTION("""COMPUTED_VALUE"""),2.0)</f>
        <v>2</v>
      </c>
      <c r="K301" s="51" t="str">
        <f>IFERROR(__xludf.DUMMYFUNCTION("""COMPUTED_VALUE"""),"2 ULA B PUTRI")</f>
        <v>2 ULA B PUTRI</v>
      </c>
      <c r="L301" s="52" t="str">
        <f>IFERROR(__xludf.DUMMYFUNCTION("""COMPUTED_VALUE"""),"6285755196151")</f>
        <v>6285755196151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>
        <f>IFERROR(__xludf.DUMMYFUNCTION("""COMPUTED_VALUE"""),500000.0)</f>
        <v>500000</v>
      </c>
      <c r="AC301" s="53"/>
      <c r="AD301" s="53"/>
      <c r="AE301" s="54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>
        <f>IFERROR(__xludf.DUMMYFUNCTION("""COMPUTED_VALUE"""),500000.0)</f>
        <v>500000</v>
      </c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IFERROR(__xludf.DUMMYFUNCTION("""COMPUTED_VALUE"""),0.0)</f>
        <v>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IFERROR(__xludf.DUMMYFUNCTION("""COMPUTED_VALUE"""),1000000.0)</f>
        <v>1000000</v>
      </c>
      <c r="BG301" s="53"/>
      <c r="BH301" s="53"/>
      <c r="BI301" s="53"/>
      <c r="BJ301" s="45"/>
      <c r="BK301" s="45"/>
      <c r="BL301" s="45"/>
      <c r="BM301" s="45"/>
      <c r="BN301" s="45"/>
      <c r="BO301" s="46"/>
    </row>
    <row r="302">
      <c r="A302" s="36">
        <f>IFERROR(__xludf.DUMMYFUNCTION("""COMPUTED_VALUE"""),301.0)</f>
        <v>301</v>
      </c>
      <c r="B302" s="37" t="str">
        <f>IFERROR(__xludf.DUMMYFUNCTION("""COMPUTED_VALUE"""),"FAIZAH WAHIDATUR RAHMAH")</f>
        <v>FAIZAH WAHIDATUR RAHMAH</v>
      </c>
      <c r="C302" s="38">
        <f>IFERROR(__xludf.DUMMYFUNCTION("""COMPUTED_VALUE"""),2.02507057E9)</f>
        <v>2025070570</v>
      </c>
      <c r="D302" s="37" t="str">
        <f>IFERROR(__xludf.DUMMYFUNCTION("""COMPUTED_VALUE"""),"ARIF RAHMAN")</f>
        <v>ARIF RAHMAN</v>
      </c>
      <c r="E302" s="37" t="str">
        <f>IFERROR(__xludf.DUMMYFUNCTION("""COMPUTED_VALUE"""),"MAISYATUL FARIDAH")</f>
        <v>MAISYATUL FARIDAH</v>
      </c>
      <c r="F302" s="37" t="str">
        <f>IFERROR(__xludf.DUMMYFUNCTION("""COMPUTED_VALUE"""),"JL. SUNAN DRAJAT NO. 87 SIDOHARJO RT 002 RW 002 LAMONGAN LAMONGAN")</f>
        <v>JL. SUNAN DRAJAT NO. 87 SIDOHARJO RT 002 RW 002 LAMONGAN LAMONGAN</v>
      </c>
      <c r="G302" s="39" t="str">
        <f>IFERROR(__xludf.DUMMYFUNCTION("""COMPUTED_VALUE"""),"MTS-8 A")</f>
        <v>MTS-8 A</v>
      </c>
      <c r="H302" s="36" t="str">
        <f>IFERROR(__xludf.DUMMYFUNCTION("""COMPUTED_VALUE"""),"E")</f>
        <v>E</v>
      </c>
      <c r="I302" s="42" t="str">
        <f>IFERROR(__xludf.DUMMYFUNCTION("""COMPUTED_VALUE"""),"E-6")</f>
        <v>E-6</v>
      </c>
      <c r="J302" s="40">
        <f>IFERROR(__xludf.DUMMYFUNCTION("""COMPUTED_VALUE"""),2.0)</f>
        <v>2</v>
      </c>
      <c r="K302" s="40" t="str">
        <f>IFERROR(__xludf.DUMMYFUNCTION("""COMPUTED_VALUE"""),"2 ULA B PUTRI")</f>
        <v>2 ULA B PUTRI</v>
      </c>
      <c r="L302" s="41" t="str">
        <f>IFERROR(__xludf.DUMMYFUNCTION("""COMPUTED_VALUE"""),"6287701956767")</f>
        <v>6287701956767</v>
      </c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3">
        <f>IFERROR(__xludf.DUMMYFUNCTION("""COMPUTED_VALUE"""),500000.0)</f>
        <v>500000</v>
      </c>
      <c r="AC302" s="42"/>
      <c r="AD302" s="43"/>
      <c r="AE302" s="43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3">
        <f>IFERROR(__xludf.DUMMYFUNCTION("""COMPUTED_VALUE"""),500000.0)</f>
        <v>500000</v>
      </c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IFERROR(__xludf.DUMMYFUNCTION("""COMPUTED_VALUE"""),1000000.0)</f>
        <v>1000000</v>
      </c>
      <c r="BE302" s="43">
        <f>IFERROR(__xludf.DUMMYFUNCTION("""COMPUTED_VALUE"""),0.0)</f>
        <v>0</v>
      </c>
      <c r="BF302" s="44">
        <f>IFERROR(__xludf.DUMMYFUNCTION("""COMPUTED_VALUE"""),1000000.0)</f>
        <v>1000000</v>
      </c>
      <c r="BG302" s="42"/>
      <c r="BH302" s="42"/>
      <c r="BI302" s="42"/>
      <c r="BJ302" s="45"/>
      <c r="BK302" s="45"/>
      <c r="BL302" s="45"/>
      <c r="BM302" s="45"/>
      <c r="BN302" s="45"/>
      <c r="BO302" s="46"/>
    </row>
    <row r="303">
      <c r="A303" s="47">
        <f>IFERROR(__xludf.DUMMYFUNCTION("""COMPUTED_VALUE"""),302.0)</f>
        <v>302</v>
      </c>
      <c r="B303" s="48" t="str">
        <f>IFERROR(__xludf.DUMMYFUNCTION("""COMPUTED_VALUE"""),"FAJRIYAH NIKMATUS SU`AMAN")</f>
        <v>FAJRIYAH NIKMATUS SU`AMAN</v>
      </c>
      <c r="C303" s="49">
        <f>IFERROR(__xludf.DUMMYFUNCTION("""COMPUTED_VALUE"""),2.025070498E9)</f>
        <v>2025070498</v>
      </c>
      <c r="D303" s="48" t="str">
        <f>IFERROR(__xludf.DUMMYFUNCTION("""COMPUTED_VALUE"""),"SUPENO")</f>
        <v>SUPENO</v>
      </c>
      <c r="E303" s="48" t="str">
        <f>IFERROR(__xludf.DUMMYFUNCTION("""COMPUTED_VALUE"""),"AMANAH")</f>
        <v>AMANAH</v>
      </c>
      <c r="F303" s="48" t="str">
        <f>IFERROR(__xludf.DUMMYFUNCTION("""COMPUTED_VALUE"""),"JL. SIDOREJO KEBALANDONO RT 002 RW 003 BABAT LAMONGAN")</f>
        <v>JL. SIDOREJO KEBALANDONO RT 002 RW 003 BABAT LAMONGAN</v>
      </c>
      <c r="G303" s="50" t="str">
        <f>IFERROR(__xludf.DUMMYFUNCTION("""COMPUTED_VALUE"""),"MTS-8 E")</f>
        <v>MTS-8 E</v>
      </c>
      <c r="H303" s="47" t="str">
        <f>IFERROR(__xludf.DUMMYFUNCTION("""COMPUTED_VALUE"""),"E")</f>
        <v>E</v>
      </c>
      <c r="I303" s="53" t="str">
        <f>IFERROR(__xludf.DUMMYFUNCTION("""COMPUTED_VALUE"""),"E-4")</f>
        <v>E-4</v>
      </c>
      <c r="J303" s="51">
        <f>IFERROR(__xludf.DUMMYFUNCTION("""COMPUTED_VALUE"""),2.0)</f>
        <v>2</v>
      </c>
      <c r="K303" s="51" t="str">
        <f>IFERROR(__xludf.DUMMYFUNCTION("""COMPUTED_VALUE"""),"2 ULA B PUTRI")</f>
        <v>2 ULA B PUTRI</v>
      </c>
      <c r="L303" s="52" t="str">
        <f>IFERROR(__xludf.DUMMYFUNCTION("""COMPUTED_VALUE"""),"6285792072867")</f>
        <v>6285792072867</v>
      </c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/>
      <c r="AC303" s="53"/>
      <c r="AD303" s="54"/>
      <c r="AE303" s="54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IFERROR(__xludf.DUMMYFUNCTION("""COMPUTED_VALUE"""),0.0)</f>
        <v>0</v>
      </c>
      <c r="BE303" s="54">
        <f>IFERROR(__xludf.DUMMYFUNCTION("""COMPUTED_VALUE"""),0.0)</f>
        <v>0</v>
      </c>
      <c r="BF303" s="55">
        <f>IFERROR(__xludf.DUMMYFUNCTION("""COMPUTED_VALUE"""),0.0)</f>
        <v>0</v>
      </c>
      <c r="BG303" s="53"/>
      <c r="BH303" s="53"/>
      <c r="BI303" s="53"/>
      <c r="BJ303" s="45"/>
      <c r="BK303" s="45"/>
      <c r="BL303" s="45"/>
      <c r="BM303" s="45"/>
      <c r="BN303" s="45"/>
      <c r="BO303" s="46"/>
    </row>
    <row r="304">
      <c r="A304" s="36">
        <f>IFERROR(__xludf.DUMMYFUNCTION("""COMPUTED_VALUE"""),303.0)</f>
        <v>303</v>
      </c>
      <c r="B304" s="37" t="str">
        <f>IFERROR(__xludf.DUMMYFUNCTION("""COMPUTED_VALUE"""),"FARIZA KAHLA` NAJWA")</f>
        <v>FARIZA KAHLA` NAJWA</v>
      </c>
      <c r="C304" s="38">
        <f>IFERROR(__xludf.DUMMYFUNCTION("""COMPUTED_VALUE"""),2.025070149E9)</f>
        <v>2025070149</v>
      </c>
      <c r="D304" s="37" t="str">
        <f>IFERROR(__xludf.DUMMYFUNCTION("""COMPUTED_VALUE"""),"ACHMAD NURU DHUHA")</f>
        <v>ACHMAD NURU DHUHA</v>
      </c>
      <c r="E304" s="37" t="str">
        <f>IFERROR(__xludf.DUMMYFUNCTION("""COMPUTED_VALUE"""),"HERLIN FARDA HABIBA")</f>
        <v>HERLIN FARDA HABIBA</v>
      </c>
      <c r="F304" s="37" t="str">
        <f>IFERROR(__xludf.DUMMYFUNCTION("""COMPUTED_VALUE"""),"KALIREJO RT 003 RW 002 DUKUN GRESIK")</f>
        <v>KALIREJO RT 003 RW 002 DUKUN GRESIK</v>
      </c>
      <c r="G304" s="38" t="str">
        <f>IFERROR(__xludf.DUMMYFUNCTION("""COMPUTED_VALUE"""),"MA-XI.11")</f>
        <v>MA-XI.11</v>
      </c>
      <c r="H304" s="36" t="str">
        <f>IFERROR(__xludf.DUMMYFUNCTION("""COMPUTED_VALUE"""),"E")</f>
        <v>E</v>
      </c>
      <c r="I304" s="40" t="str">
        <f>IFERROR(__xludf.DUMMYFUNCTION("""COMPUTED_VALUE"""),"E-5")</f>
        <v>E-5</v>
      </c>
      <c r="J304" s="40">
        <f>IFERROR(__xludf.DUMMYFUNCTION("""COMPUTED_VALUE"""),2.0)</f>
        <v>2</v>
      </c>
      <c r="K304" s="40" t="str">
        <f>IFERROR(__xludf.DUMMYFUNCTION("""COMPUTED_VALUE"""),"2 WUSTHO B PUTRI")</f>
        <v>2 WUSTHO B PUTRI</v>
      </c>
      <c r="L304" s="41" t="str">
        <f>IFERROR(__xludf.DUMMYFUNCTION("""COMPUTED_VALUE"""),"6281216494000")</f>
        <v>6281216494000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3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42"/>
      <c r="BH304" s="42"/>
      <c r="BI304" s="42"/>
      <c r="BJ304" s="45"/>
      <c r="BK304" s="45"/>
      <c r="BL304" s="45"/>
      <c r="BM304" s="45"/>
      <c r="BN304" s="45"/>
      <c r="BO304" s="46"/>
    </row>
    <row r="305">
      <c r="A305" s="47">
        <f>IFERROR(__xludf.DUMMYFUNCTION("""COMPUTED_VALUE"""),304.0)</f>
        <v>304</v>
      </c>
      <c r="B305" s="48" t="str">
        <f>IFERROR(__xludf.DUMMYFUNCTION("""COMPUTED_VALUE"""),"HALWA MALEEHATUL FITRIYAH")</f>
        <v>HALWA MALEEHATUL FITRIYAH</v>
      </c>
      <c r="C305" s="49">
        <f>IFERROR(__xludf.DUMMYFUNCTION("""COMPUTED_VALUE"""),2.025070655E9)</f>
        <v>2025070655</v>
      </c>
      <c r="D305" s="48" t="str">
        <f>IFERROR(__xludf.DUMMYFUNCTION("""COMPUTED_VALUE"""),"SUKARTO")</f>
        <v>SUKARTO</v>
      </c>
      <c r="E305" s="48" t="str">
        <f>IFERROR(__xludf.DUMMYFUNCTION("""COMPUTED_VALUE"""),"LAILATUL MAYA")</f>
        <v>LAILATUL MAYA</v>
      </c>
      <c r="F305" s="48" t="str">
        <f>IFERROR(__xludf.DUMMYFUNCTION("""COMPUTED_VALUE"""),"PETIYIN TAKERHARJO RT 001 RW 005 SOLOKURO LAMONGAN")</f>
        <v>PETIYIN TAKERHARJO RT 001 RW 005 SOLOKURO LAMONGAN</v>
      </c>
      <c r="G305" s="49" t="str">
        <f>IFERROR(__xludf.DUMMYFUNCTION("""COMPUTED_VALUE"""),"MTS-8 B")</f>
        <v>MTS-8 B</v>
      </c>
      <c r="H305" s="47" t="str">
        <f>IFERROR(__xludf.DUMMYFUNCTION("""COMPUTED_VALUE"""),"E")</f>
        <v>E</v>
      </c>
      <c r="I305" s="51" t="str">
        <f>IFERROR(__xludf.DUMMYFUNCTION("""COMPUTED_VALUE"""),"E-5")</f>
        <v>E-5</v>
      </c>
      <c r="J305" s="51">
        <f>IFERROR(__xludf.DUMMYFUNCTION("""COMPUTED_VALUE"""),2.0)</f>
        <v>2</v>
      </c>
      <c r="K305" s="51" t="str">
        <f>IFERROR(__xludf.DUMMYFUNCTION("""COMPUTED_VALUE"""),"2 ULA A PUTRI")</f>
        <v>2 ULA A PUTRI</v>
      </c>
      <c r="L305" s="52" t="str">
        <f>IFERROR(__xludf.DUMMYFUNCTION("""COMPUTED_VALUE"""),"6281515526152")</f>
        <v>6281515526152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>
        <f>IFERROR(__xludf.DUMMYFUNCTION("""COMPUTED_VALUE"""),500000.0)</f>
        <v>500000</v>
      </c>
      <c r="AC305" s="53"/>
      <c r="AD305" s="53"/>
      <c r="AE305" s="54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>
        <f>IFERROR(__xludf.DUMMYFUNCTION("""COMPUTED_VALUE"""),500000.0)</f>
        <v>500000</v>
      </c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IFERROR(__xludf.DUMMYFUNCTION("""COMPUTED_VALUE"""),0.0)</f>
        <v>0</v>
      </c>
      <c r="BD305" s="54">
        <f>IFERROR(__xludf.DUMMYFUNCTION("""COMPUTED_VALUE"""),1000000.0)</f>
        <v>1000000</v>
      </c>
      <c r="BE305" s="54">
        <f>IFERROR(__xludf.DUMMYFUNCTION("""COMPUTED_VALUE"""),0.0)</f>
        <v>0</v>
      </c>
      <c r="BF305" s="55">
        <f>IFERROR(__xludf.DUMMYFUNCTION("""COMPUTED_VALUE"""),1000000.0)</f>
        <v>1000000</v>
      </c>
      <c r="BG305" s="53"/>
      <c r="BH305" s="53"/>
      <c r="BI305" s="53"/>
      <c r="BJ305" s="45"/>
      <c r="BK305" s="45"/>
      <c r="BL305" s="45"/>
      <c r="BM305" s="45"/>
      <c r="BN305" s="45"/>
      <c r="BO305" s="46"/>
    </row>
    <row r="306">
      <c r="A306" s="36">
        <f>IFERROR(__xludf.DUMMYFUNCTION("""COMPUTED_VALUE"""),305.0)</f>
        <v>305</v>
      </c>
      <c r="B306" s="37" t="str">
        <f>IFERROR(__xludf.DUMMYFUNCTION("""COMPUTED_VALUE"""),"HILWAA FARIDATUL AZIZAH")</f>
        <v>HILWAA FARIDATUL AZIZAH</v>
      </c>
      <c r="C306" s="38">
        <f>IFERROR(__xludf.DUMMYFUNCTION("""COMPUTED_VALUE"""),2.025070355E9)</f>
        <v>2025070355</v>
      </c>
      <c r="D306" s="37" t="str">
        <f>IFERROR(__xludf.DUMMYFUNCTION("""COMPUTED_VALUE"""),"ZAINUL FATAH")</f>
        <v>ZAINUL FATAH</v>
      </c>
      <c r="E306" s="37" t="str">
        <f>IFERROR(__xludf.DUMMYFUNCTION("""COMPUTED_VALUE"""),"SITI UMI MAFTUKAH")</f>
        <v>SITI UMI MAFTUKAH</v>
      </c>
      <c r="F306" s="37" t="str">
        <f>IFERROR(__xludf.DUMMYFUNCTION("""COMPUTED_VALUE"""),"TINARO DUKUHAGUNG RT 004 RW 004 TIKUNG LAMONGAN")</f>
        <v>TINARO DUKUHAGUNG RT 004 RW 004 TIKUNG LAMONGAN</v>
      </c>
      <c r="G306" s="38" t="str">
        <f>IFERROR(__xludf.DUMMYFUNCTION("""COMPUTED_VALUE"""),"MA-XI.3")</f>
        <v>MA-XI.3</v>
      </c>
      <c r="H306" s="36" t="str">
        <f>IFERROR(__xludf.DUMMYFUNCTION("""COMPUTED_VALUE"""),"E")</f>
        <v>E</v>
      </c>
      <c r="I306" s="42" t="str">
        <f>IFERROR(__xludf.DUMMYFUNCTION("""COMPUTED_VALUE"""),"E-5")</f>
        <v>E-5</v>
      </c>
      <c r="J306" s="40">
        <f>IFERROR(__xludf.DUMMYFUNCTION("""COMPUTED_VALUE"""),2.0)</f>
        <v>2</v>
      </c>
      <c r="K306" s="40" t="str">
        <f>IFERROR(__xludf.DUMMYFUNCTION("""COMPUTED_VALUE"""),"2 WUSTHO B PUTRI")</f>
        <v>2 WUSTHO B PUTRI</v>
      </c>
      <c r="L306" s="41" t="str">
        <f>IFERROR(__xludf.DUMMYFUNCTION("""COMPUTED_VALUE"""),"6288989765237")</f>
        <v>6288989765237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3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IFERROR(__xludf.DUMMYFUNCTION("""COMPUTED_VALUE"""),0.0)</f>
        <v>0</v>
      </c>
      <c r="BD306" s="43">
        <f>IFERROR(__xludf.DUMMYFUNCTION("""COMPUTED_VALUE"""),0.0)</f>
        <v>0</v>
      </c>
      <c r="BE306" s="43">
        <f>IFERROR(__xludf.DUMMYFUNCTION("""COMPUTED_VALUE"""),0.0)</f>
        <v>0</v>
      </c>
      <c r="BF306" s="44">
        <f>IFERROR(__xludf.DUMMYFUNCTION("""COMPUTED_VALUE"""),0.0)</f>
        <v>0</v>
      </c>
      <c r="BG306" s="42"/>
      <c r="BH306" s="42"/>
      <c r="BI306" s="42"/>
      <c r="BJ306" s="45"/>
      <c r="BK306" s="45"/>
      <c r="BL306" s="45"/>
      <c r="BM306" s="45"/>
      <c r="BN306" s="45"/>
      <c r="BO306" s="46"/>
    </row>
    <row r="307">
      <c r="A307" s="47">
        <f>IFERROR(__xludf.DUMMYFUNCTION("""COMPUTED_VALUE"""),306.0)</f>
        <v>306</v>
      </c>
      <c r="B307" s="48" t="str">
        <f>IFERROR(__xludf.DUMMYFUNCTION("""COMPUTED_VALUE"""),"INDAH AYU FERA")</f>
        <v>INDAH AYU FERA</v>
      </c>
      <c r="C307" s="49">
        <f>IFERROR(__xludf.DUMMYFUNCTION("""COMPUTED_VALUE"""),2.025070167E9)</f>
        <v>2025070167</v>
      </c>
      <c r="D307" s="48" t="str">
        <f>IFERROR(__xludf.DUMMYFUNCTION("""COMPUTED_VALUE"""),"MUDHOFIR")</f>
        <v>MUDHOFIR</v>
      </c>
      <c r="E307" s="48" t="str">
        <f>IFERROR(__xludf.DUMMYFUNCTION("""COMPUTED_VALUE"""),"KHOYUM MAHTUM")</f>
        <v>KHOYUM MAHTUM</v>
      </c>
      <c r="F307" s="48" t="str">
        <f>IFERROR(__xludf.DUMMYFUNCTION("""COMPUTED_VALUE"""),"KUCUR SIDOMUKTI RT 001 RW 001 LAMONGAN LAMONGAN")</f>
        <v>KUCUR SIDOMUKTI RT 001 RW 001 LAMONGAN LAMONGAN</v>
      </c>
      <c r="G307" s="50" t="str">
        <f>IFERROR(__xludf.DUMMYFUNCTION("""COMPUTED_VALUE"""),"MA-XI.6")</f>
        <v>MA-XI.6</v>
      </c>
      <c r="H307" s="47" t="str">
        <f>IFERROR(__xludf.DUMMYFUNCTION("""COMPUTED_VALUE"""),"E")</f>
        <v>E</v>
      </c>
      <c r="I307" s="51" t="str">
        <f>IFERROR(__xludf.DUMMYFUNCTION("""COMPUTED_VALUE"""),"E-5")</f>
        <v>E-5</v>
      </c>
      <c r="J307" s="51">
        <f>IFERROR(__xludf.DUMMYFUNCTION("""COMPUTED_VALUE"""),2.0)</f>
        <v>2</v>
      </c>
      <c r="K307" s="51" t="str">
        <f>IFERROR(__xludf.DUMMYFUNCTION("""COMPUTED_VALUE"""),"2 WUSTHO B PUTRI")</f>
        <v>2 WUSTHO B PUTRI</v>
      </c>
      <c r="L307" s="52" t="str">
        <f>IFERROR(__xludf.DUMMYFUNCTION("""COMPUTED_VALUE"""),"6281331557560")</f>
        <v>6281331557560</v>
      </c>
      <c r="M307" s="53"/>
      <c r="N307" s="53">
        <f>IFERROR(__xludf.DUMMYFUNCTION("""COMPUTED_VALUE"""),200000.0)</f>
        <v>200000</v>
      </c>
      <c r="O307" s="53"/>
      <c r="P307" s="53"/>
      <c r="Q307" s="53"/>
      <c r="R307" s="53"/>
      <c r="S307" s="53"/>
      <c r="T307" s="53"/>
      <c r="U307" s="53"/>
      <c r="V307" s="53"/>
      <c r="W307" s="53">
        <f>IFERROR(__xludf.DUMMYFUNCTION("""COMPUTED_VALUE"""),500000.0)</f>
        <v>500000</v>
      </c>
      <c r="X307" s="53">
        <f>IFERROR(__xludf.DUMMYFUNCTION("""COMPUTED_VALUE"""),500000.0)</f>
        <v>500000</v>
      </c>
      <c r="Y307" s="53">
        <f>IFERROR(__xludf.DUMMYFUNCTION("""COMPUTED_VALUE"""),500000.0)</f>
        <v>500000</v>
      </c>
      <c r="Z307" s="53">
        <f>IFERROR(__xludf.DUMMYFUNCTION("""COMPUTED_VALUE"""),500000.0)</f>
        <v>500000</v>
      </c>
      <c r="AA307" s="53"/>
      <c r="AB307" s="54"/>
      <c r="AC307" s="53"/>
      <c r="AD307" s="53"/>
      <c r="AE307" s="54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4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IFERROR(__xludf.DUMMYFUNCTION("""COMPUTED_VALUE"""),2000000.0)</f>
        <v>2000000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IFERROR(__xludf.DUMMYFUNCTION("""COMPUTED_VALUE"""),2000000.0)</f>
        <v>2000000</v>
      </c>
      <c r="BG307" s="53"/>
      <c r="BH307" s="53"/>
      <c r="BI307" s="53"/>
      <c r="BJ307" s="45"/>
      <c r="BK307" s="45"/>
      <c r="BL307" s="45"/>
      <c r="BM307" s="45"/>
      <c r="BN307" s="45"/>
      <c r="BO307" s="46"/>
    </row>
    <row r="308">
      <c r="A308" s="36">
        <f>IFERROR(__xludf.DUMMYFUNCTION("""COMPUTED_VALUE"""),307.0)</f>
        <v>307</v>
      </c>
      <c r="B308" s="37" t="str">
        <f>IFERROR(__xludf.DUMMYFUNCTION("""COMPUTED_VALUE"""),"KAYSYAH AZIZATUS SAADA")</f>
        <v>KAYSYAH AZIZATUS SAADA</v>
      </c>
      <c r="C308" s="38">
        <f>IFERROR(__xludf.DUMMYFUNCTION("""COMPUTED_VALUE"""),2.025070643E9)</f>
        <v>2025070643</v>
      </c>
      <c r="D308" s="37" t="str">
        <f>IFERROR(__xludf.DUMMYFUNCTION("""COMPUTED_VALUE"""),"MOHAMAD ZAINUL ARIFIN")</f>
        <v>MOHAMAD ZAINUL ARIFIN</v>
      </c>
      <c r="E308" s="37" t="str">
        <f>IFERROR(__xludf.DUMMYFUNCTION("""COMPUTED_VALUE"""),"SITI ZULAIKAH")</f>
        <v>SITI ZULAIKAH</v>
      </c>
      <c r="F308" s="37" t="str">
        <f>IFERROR(__xludf.DUMMYFUNCTION("""COMPUTED_VALUE"""),"BANGKAL RT 001 RW 003 LAMONGAN LAMONGAN")</f>
        <v>BANGKAL RT 001 RW 003 LAMONGAN LAMONGAN</v>
      </c>
      <c r="G308" s="39" t="str">
        <f>IFERROR(__xludf.DUMMYFUNCTION("""COMPUTED_VALUE"""),"MTS-8 C")</f>
        <v>MTS-8 C</v>
      </c>
      <c r="H308" s="36" t="str">
        <f>IFERROR(__xludf.DUMMYFUNCTION("""COMPUTED_VALUE"""),"E")</f>
        <v>E</v>
      </c>
      <c r="I308" s="40" t="str">
        <f>IFERROR(__xludf.DUMMYFUNCTION("""COMPUTED_VALUE"""),"E-4")</f>
        <v>E-4</v>
      </c>
      <c r="J308" s="40">
        <f>IFERROR(__xludf.DUMMYFUNCTION("""COMPUTED_VALUE"""),2.0)</f>
        <v>2</v>
      </c>
      <c r="K308" s="40" t="str">
        <f>IFERROR(__xludf.DUMMYFUNCTION("""COMPUTED_VALUE"""),"2 ULA B PUTRI")</f>
        <v>2 ULA B PUTRI</v>
      </c>
      <c r="L308" s="41" t="str">
        <f>IFERROR(__xludf.DUMMYFUNCTION("""COMPUTED_VALUE"""),"6285784282773")</f>
        <v>6285784282773</v>
      </c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>
        <f>IFERROR(__xludf.DUMMYFUNCTION("""COMPUTED_VALUE"""),500000.0)</f>
        <v>500000</v>
      </c>
      <c r="AC308" s="42"/>
      <c r="AD308" s="42"/>
      <c r="AE308" s="43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3">
        <f>IFERROR(__xludf.DUMMYFUNCTION("""COMPUTED_VALUE"""),500000.0)</f>
        <v>500000</v>
      </c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IFERROR(__xludf.DUMMYFUNCTION("""COMPUTED_VALUE"""),0.0)</f>
        <v>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IFERROR(__xludf.DUMMYFUNCTION("""COMPUTED_VALUE"""),1000000.0)</f>
        <v>1000000</v>
      </c>
      <c r="BG308" s="42"/>
      <c r="BH308" s="42"/>
      <c r="BI308" s="42"/>
      <c r="BJ308" s="45"/>
      <c r="BK308" s="45"/>
      <c r="BL308" s="45"/>
      <c r="BM308" s="45"/>
      <c r="BN308" s="45"/>
      <c r="BO308" s="46"/>
    </row>
    <row r="309">
      <c r="A309" s="47">
        <f>IFERROR(__xludf.DUMMYFUNCTION("""COMPUTED_VALUE"""),308.0)</f>
        <v>308</v>
      </c>
      <c r="B309" s="48" t="str">
        <f>IFERROR(__xludf.DUMMYFUNCTION("""COMPUTED_VALUE"""),"KHANSA ASADEL AL KHAIBAH")</f>
        <v>KHANSA ASADEL AL KHAIBAH</v>
      </c>
      <c r="C309" s="49">
        <f>IFERROR(__xludf.DUMMYFUNCTION("""COMPUTED_VALUE"""),2.025070478E9)</f>
        <v>2025070478</v>
      </c>
      <c r="D309" s="48" t="str">
        <f>IFERROR(__xludf.DUMMYFUNCTION("""COMPUTED_VALUE"""),"MUHAMMAD FAJRUDDIN")</f>
        <v>MUHAMMAD FAJRUDDIN</v>
      </c>
      <c r="E309" s="48" t="str">
        <f>IFERROR(__xludf.DUMMYFUNCTION("""COMPUTED_VALUE"""),"FAMILA KARTIKA FITRI ANGGARANI")</f>
        <v>FAMILA KARTIKA FITRI ANGGARANI</v>
      </c>
      <c r="F309" s="48" t="str">
        <f>IFERROR(__xludf.DUMMYFUNCTION("""COMPUTED_VALUE"""),"KALIREJO RT 003 RW 002 DUKUN GRESIK")</f>
        <v>KALIREJO RT 003 RW 002 DUKUN GRESIK</v>
      </c>
      <c r="G309" s="50" t="str">
        <f>IFERROR(__xludf.DUMMYFUNCTION("""COMPUTED_VALUE"""),"SMP-VIII A")</f>
        <v>SMP-VIII A</v>
      </c>
      <c r="H309" s="47" t="str">
        <f>IFERROR(__xludf.DUMMYFUNCTION("""COMPUTED_VALUE"""),"E")</f>
        <v>E</v>
      </c>
      <c r="I309" s="51" t="str">
        <f>IFERROR(__xludf.DUMMYFUNCTION("""COMPUTED_VALUE"""),"E-4")</f>
        <v>E-4</v>
      </c>
      <c r="J309" s="51">
        <f>IFERROR(__xludf.DUMMYFUNCTION("""COMPUTED_VALUE"""),2.0)</f>
        <v>2</v>
      </c>
      <c r="K309" s="51" t="str">
        <f>IFERROR(__xludf.DUMMYFUNCTION("""COMPUTED_VALUE"""),"2 ULA A PUTRI")</f>
        <v>2 ULA A PUTRI</v>
      </c>
      <c r="L309" s="52" t="str">
        <f>IFERROR(__xludf.DUMMYFUNCTION("""COMPUTED_VALUE"""),"6285755176962")</f>
        <v>6285755176962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4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IFERROR(__xludf.DUMMYFUNCTION("""COMPUTED_VALUE"""),0.0)</f>
        <v>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IFERROR(__xludf.DUMMYFUNCTION("""COMPUTED_VALUE"""),0.0)</f>
        <v>0</v>
      </c>
      <c r="BG309" s="53"/>
      <c r="BH309" s="53"/>
      <c r="BI309" s="53"/>
      <c r="BJ309" s="45"/>
      <c r="BK309" s="45"/>
      <c r="BL309" s="45"/>
      <c r="BM309" s="45"/>
      <c r="BN309" s="45"/>
      <c r="BO309" s="46"/>
    </row>
    <row r="310">
      <c r="A310" s="36">
        <f>IFERROR(__xludf.DUMMYFUNCTION("""COMPUTED_VALUE"""),309.0)</f>
        <v>309</v>
      </c>
      <c r="B310" s="37" t="str">
        <f>IFERROR(__xludf.DUMMYFUNCTION("""COMPUTED_VALUE"""),"KHANSA ZHAFIRAH AFRAH")</f>
        <v>KHANSA ZHAFIRAH AFRAH</v>
      </c>
      <c r="C310" s="38">
        <f>IFERROR(__xludf.DUMMYFUNCTION("""COMPUTED_VALUE"""),2.025070141E9)</f>
        <v>2025070141</v>
      </c>
      <c r="D310" s="37" t="str">
        <f>IFERROR(__xludf.DUMMYFUNCTION("""COMPUTED_VALUE"""),"ABD. MANAN")</f>
        <v>ABD. MANAN</v>
      </c>
      <c r="E310" s="37" t="str">
        <f>IFERROR(__xludf.DUMMYFUNCTION("""COMPUTED_VALUE"""),"SUMAINAH")</f>
        <v>SUMAINAH</v>
      </c>
      <c r="F310" s="37" t="str">
        <f>IFERROR(__xludf.DUMMYFUNCTION("""COMPUTED_VALUE"""),"BANGERAN GENENG RT 001 RW 001 DUKUN GRESIK")</f>
        <v>BANGERAN GENENG RT 001 RW 001 DUKUN GRESIK</v>
      </c>
      <c r="G310" s="39" t="str">
        <f>IFERROR(__xludf.DUMMYFUNCTION("""COMPUTED_VALUE"""),"MA-XI.13")</f>
        <v>MA-XI.13</v>
      </c>
      <c r="H310" s="36" t="str">
        <f>IFERROR(__xludf.DUMMYFUNCTION("""COMPUTED_VALUE"""),"E")</f>
        <v>E</v>
      </c>
      <c r="I310" s="42" t="str">
        <f>IFERROR(__xludf.DUMMYFUNCTION("""COMPUTED_VALUE"""),"E-5")</f>
        <v>E-5</v>
      </c>
      <c r="J310" s="40">
        <f>IFERROR(__xludf.DUMMYFUNCTION("""COMPUTED_VALUE"""),2.0)</f>
        <v>2</v>
      </c>
      <c r="K310" s="40" t="str">
        <f>IFERROR(__xludf.DUMMYFUNCTION("""COMPUTED_VALUE"""),"2 MAK PUTRI")</f>
        <v>2 MAK PUTRI</v>
      </c>
      <c r="L310" s="41" t="str">
        <f>IFERROR(__xludf.DUMMYFUNCTION("""COMPUTED_VALUE"""),"6281216956050")</f>
        <v>6281216956050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>
        <f>IFERROR(__xludf.DUMMYFUNCTION("""COMPUTED_VALUE"""),500000.0)</f>
        <v>500000</v>
      </c>
      <c r="Z310" s="42">
        <f>IFERROR(__xludf.DUMMYFUNCTION("""COMPUTED_VALUE"""),500000.0)</f>
        <v>500000</v>
      </c>
      <c r="AA310" s="43"/>
      <c r="AB310" s="43"/>
      <c r="AC310" s="43"/>
      <c r="AD310" s="43"/>
      <c r="AE310" s="43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3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IFERROR(__xludf.DUMMYFUNCTION("""COMPUTED_VALUE"""),1000000.0)</f>
        <v>1000000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IFERROR(__xludf.DUMMYFUNCTION("""COMPUTED_VALUE"""),1000000.0)</f>
        <v>1000000</v>
      </c>
      <c r="BG310" s="42"/>
      <c r="BH310" s="42"/>
      <c r="BI310" s="42"/>
      <c r="BJ310" s="45"/>
      <c r="BK310" s="45"/>
      <c r="BL310" s="45"/>
      <c r="BM310" s="45"/>
      <c r="BN310" s="45"/>
      <c r="BO310" s="46"/>
    </row>
    <row r="311">
      <c r="A311" s="47">
        <f>IFERROR(__xludf.DUMMYFUNCTION("""COMPUTED_VALUE"""),310.0)</f>
        <v>310</v>
      </c>
      <c r="B311" s="48" t="str">
        <f>IFERROR(__xludf.DUMMYFUNCTION("""COMPUTED_VALUE"""),"MAULIDA ARIFAH")</f>
        <v>MAULIDA ARIFAH</v>
      </c>
      <c r="C311" s="49">
        <f>IFERROR(__xludf.DUMMYFUNCTION("""COMPUTED_VALUE"""),2.02507051E9)</f>
        <v>2025070510</v>
      </c>
      <c r="D311" s="48" t="str">
        <f>IFERROR(__xludf.DUMMYFUNCTION("""COMPUTED_VALUE"""),"ALI ARIFIN")</f>
        <v>ALI ARIFIN</v>
      </c>
      <c r="E311" s="48" t="str">
        <f>IFERROR(__xludf.DUMMYFUNCTION("""COMPUTED_VALUE"""),"RIRIN ISMIATI")</f>
        <v>RIRIN ISMIATI</v>
      </c>
      <c r="F311" s="48" t="str">
        <f>IFERROR(__xludf.DUMMYFUNCTION("""COMPUTED_VALUE"""),"BLANGIT KARANGLANGIT RT 003 RW 001 LAMONGAN LAMONGAN")</f>
        <v>BLANGIT KARANGLANGIT RT 003 RW 001 LAMONGAN LAMONGAN</v>
      </c>
      <c r="G311" s="50" t="str">
        <f>IFERROR(__xludf.DUMMYFUNCTION("""COMPUTED_VALUE"""),"MTS-8 B")</f>
        <v>MTS-8 B</v>
      </c>
      <c r="H311" s="47" t="str">
        <f>IFERROR(__xludf.DUMMYFUNCTION("""COMPUTED_VALUE"""),"E")</f>
        <v>E</v>
      </c>
      <c r="I311" s="51" t="str">
        <f>IFERROR(__xludf.DUMMYFUNCTION("""COMPUTED_VALUE"""),"E-5")</f>
        <v>E-5</v>
      </c>
      <c r="J311" s="51">
        <f>IFERROR(__xludf.DUMMYFUNCTION("""COMPUTED_VALUE"""),2.0)</f>
        <v>2</v>
      </c>
      <c r="K311" s="51" t="str">
        <f>IFERROR(__xludf.DUMMYFUNCTION("""COMPUTED_VALUE"""),"2 ULA A PUTRI")</f>
        <v>2 ULA A PUTRI</v>
      </c>
      <c r="L311" s="52" t="str">
        <f>IFERROR(__xludf.DUMMYFUNCTION("""COMPUTED_VALUE"""),"6281230750632")</f>
        <v>6281230750632</v>
      </c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>
        <f>IFERROR(__xludf.DUMMYFUNCTION("""COMPUTED_VALUE"""),500000.0)</f>
        <v>500000</v>
      </c>
      <c r="AA311" s="53"/>
      <c r="AB311" s="54">
        <f>IFERROR(__xludf.DUMMYFUNCTION("""COMPUTED_VALUE"""),500000.0)</f>
        <v>500000</v>
      </c>
      <c r="AC311" s="53"/>
      <c r="AD311" s="53"/>
      <c r="AE311" s="54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4">
        <f>IFERROR(__xludf.DUMMYFUNCTION("""COMPUTED_VALUE"""),500000.0)</f>
        <v>500000</v>
      </c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IFERROR(__xludf.DUMMYFUNCTION("""COMPUTED_VALUE"""),500000.0)</f>
        <v>500000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IFERROR(__xludf.DUMMYFUNCTION("""COMPUTED_VALUE"""),1500000.0)</f>
        <v>1500000</v>
      </c>
      <c r="BG311" s="53"/>
      <c r="BH311" s="53"/>
      <c r="BI311" s="53"/>
      <c r="BJ311" s="45"/>
      <c r="BK311" s="45"/>
      <c r="BL311" s="45"/>
      <c r="BM311" s="45"/>
      <c r="BN311" s="45"/>
      <c r="BO311" s="46"/>
    </row>
    <row r="312">
      <c r="A312" s="36">
        <f>IFERROR(__xludf.DUMMYFUNCTION("""COMPUTED_VALUE"""),311.0)</f>
        <v>311</v>
      </c>
      <c r="B312" s="37" t="str">
        <f>IFERROR(__xludf.DUMMYFUNCTION("""COMPUTED_VALUE"""),"NAILATUS SYIFA`UL HUSNA")</f>
        <v>NAILATUS SYIFA`UL HUSNA</v>
      </c>
      <c r="C312" s="38">
        <f>IFERROR(__xludf.DUMMYFUNCTION("""COMPUTED_VALUE"""),2.025070511E9)</f>
        <v>2025070511</v>
      </c>
      <c r="D312" s="37" t="str">
        <f>IFERROR(__xludf.DUMMYFUNCTION("""COMPUTED_VALUE"""),"SUWARNO")</f>
        <v>SUWARNO</v>
      </c>
      <c r="E312" s="37" t="str">
        <f>IFERROR(__xludf.DUMMYFUNCTION("""COMPUTED_VALUE"""),"SRIATUN")</f>
        <v>SRIATUN</v>
      </c>
      <c r="F312" s="37" t="str">
        <f>IFERROR(__xludf.DUMMYFUNCTION("""COMPUTED_VALUE"""),"SIDOREJO PLAOSAN RT 004 RW 003 BABAT LAMONGAN")</f>
        <v>SIDOREJO PLAOSAN RT 004 RW 003 BABAT LAMONGAN</v>
      </c>
      <c r="G312" s="39" t="str">
        <f>IFERROR(__xludf.DUMMYFUNCTION("""COMPUTED_VALUE"""),"MTS-8 C")</f>
        <v>MTS-8 C</v>
      </c>
      <c r="H312" s="36" t="str">
        <f>IFERROR(__xludf.DUMMYFUNCTION("""COMPUTED_VALUE"""),"E")</f>
        <v>E</v>
      </c>
      <c r="I312" s="42" t="str">
        <f>IFERROR(__xludf.DUMMYFUNCTION("""COMPUTED_VALUE"""),"E-4")</f>
        <v>E-4</v>
      </c>
      <c r="J312" s="40">
        <f>IFERROR(__xludf.DUMMYFUNCTION("""COMPUTED_VALUE"""),2.0)</f>
        <v>2</v>
      </c>
      <c r="K312" s="40" t="str">
        <f>IFERROR(__xludf.DUMMYFUNCTION("""COMPUTED_VALUE"""),"2 ULA A PUTRI")</f>
        <v>2 ULA A PUTRI</v>
      </c>
      <c r="L312" s="41" t="str">
        <f>IFERROR(__xludf.DUMMYFUNCTION("""COMPUTED_VALUE"""),"6285257244488")</f>
        <v>6285257244488</v>
      </c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>
        <f>IFERROR(__xludf.DUMMYFUNCTION("""COMPUTED_VALUE"""),500000.0)</f>
        <v>500000</v>
      </c>
      <c r="AC312" s="42"/>
      <c r="AD312" s="42"/>
      <c r="AE312" s="43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3">
        <f>IFERROR(__xludf.DUMMYFUNCTION("""COMPUTED_VALUE"""),500000.0)</f>
        <v>500000</v>
      </c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IFERROR(__xludf.DUMMYFUNCTION("""COMPUTED_VALUE"""),0.0)</f>
        <v>0</v>
      </c>
      <c r="BD312" s="43">
        <f>IFERROR(__xludf.DUMMYFUNCTION("""COMPUTED_VALUE"""),1000000.0)</f>
        <v>1000000</v>
      </c>
      <c r="BE312" s="43">
        <f>IFERROR(__xludf.DUMMYFUNCTION("""COMPUTED_VALUE"""),0.0)</f>
        <v>0</v>
      </c>
      <c r="BF312" s="44">
        <f>IFERROR(__xludf.DUMMYFUNCTION("""COMPUTED_VALUE"""),1000000.0)</f>
        <v>1000000</v>
      </c>
      <c r="BG312" s="42"/>
      <c r="BH312" s="42"/>
      <c r="BI312" s="42"/>
      <c r="BJ312" s="45"/>
      <c r="BK312" s="45"/>
      <c r="BL312" s="45"/>
      <c r="BM312" s="45"/>
      <c r="BN312" s="45"/>
      <c r="BO312" s="46"/>
    </row>
    <row r="313">
      <c r="A313" s="47">
        <f>IFERROR(__xludf.DUMMYFUNCTION("""COMPUTED_VALUE"""),312.0)</f>
        <v>312</v>
      </c>
      <c r="B313" s="48" t="str">
        <f>IFERROR(__xludf.DUMMYFUNCTION("""COMPUTED_VALUE"""),"NAJWA BILQIS NAFISAH")</f>
        <v>NAJWA BILQIS NAFISAH</v>
      </c>
      <c r="C313" s="49">
        <f>IFERROR(__xludf.DUMMYFUNCTION("""COMPUTED_VALUE"""),2.025070552E9)</f>
        <v>2025070552</v>
      </c>
      <c r="D313" s="48" t="str">
        <f>IFERROR(__xludf.DUMMYFUNCTION("""COMPUTED_VALUE"""),"KURNIAWAN DWI SETYONO")</f>
        <v>KURNIAWAN DWI SETYONO</v>
      </c>
      <c r="E313" s="48" t="str">
        <f>IFERROR(__xludf.DUMMYFUNCTION("""COMPUTED_VALUE"""),"ISTICHFARIN CHASANAH")</f>
        <v>ISTICHFARIN CHASANAH</v>
      </c>
      <c r="F313" s="48" t="str">
        <f>IFERROR(__xludf.DUMMYFUNCTION("""COMPUTED_VALUE"""),"JL. SUNAN KALIJOGO GG JAMBU MENTE SUKOREJO RT 001 RW 004 LAMONGAN LAMONGAN")</f>
        <v>JL. SUNAN KALIJOGO GG JAMBU MENTE SUKOREJO RT 001 RW 004 LAMONGAN LAMONGAN</v>
      </c>
      <c r="G313" s="50" t="str">
        <f>IFERROR(__xludf.DUMMYFUNCTION("""COMPUTED_VALUE"""),"MTS-8 D")</f>
        <v>MTS-8 D</v>
      </c>
      <c r="H313" s="47" t="str">
        <f>IFERROR(__xludf.DUMMYFUNCTION("""COMPUTED_VALUE"""),"E")</f>
        <v>E</v>
      </c>
      <c r="I313" s="51" t="str">
        <f>IFERROR(__xludf.DUMMYFUNCTION("""COMPUTED_VALUE"""),"E-4")</f>
        <v>E-4</v>
      </c>
      <c r="J313" s="51">
        <f>IFERROR(__xludf.DUMMYFUNCTION("""COMPUTED_VALUE"""),2.0)</f>
        <v>2</v>
      </c>
      <c r="K313" s="51" t="str">
        <f>IFERROR(__xludf.DUMMYFUNCTION("""COMPUTED_VALUE"""),"2 ULA B PUTRI")</f>
        <v>2 ULA B PUTRI</v>
      </c>
      <c r="L313" s="52" t="str">
        <f>IFERROR(__xludf.DUMMYFUNCTION("""COMPUTED_VALUE"""),"6285606769994")</f>
        <v>6285606769994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4">
        <f>IFERROR(__xludf.DUMMYFUNCTION("""COMPUTED_VALUE"""),500000.0)</f>
        <v>500000</v>
      </c>
      <c r="AC313" s="53"/>
      <c r="AD313" s="53"/>
      <c r="AE313" s="54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4">
        <f>IFERROR(__xludf.DUMMYFUNCTION("""COMPUTED_VALUE"""),500000.0)</f>
        <v>500000</v>
      </c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IFERROR(__xludf.DUMMYFUNCTION("""COMPUTED_VALUE"""),1000000.0)</f>
        <v>1000000</v>
      </c>
      <c r="BE313" s="54">
        <f>IFERROR(__xludf.DUMMYFUNCTION("""COMPUTED_VALUE"""),0.0)</f>
        <v>0</v>
      </c>
      <c r="BF313" s="55">
        <f>IFERROR(__xludf.DUMMYFUNCTION("""COMPUTED_VALUE"""),1000000.0)</f>
        <v>1000000</v>
      </c>
      <c r="BG313" s="53"/>
      <c r="BH313" s="53"/>
      <c r="BI313" s="53"/>
      <c r="BJ313" s="45"/>
      <c r="BK313" s="45"/>
      <c r="BL313" s="45"/>
      <c r="BM313" s="45"/>
      <c r="BN313" s="45"/>
      <c r="BO313" s="46"/>
    </row>
    <row r="314">
      <c r="A314" s="36">
        <f>IFERROR(__xludf.DUMMYFUNCTION("""COMPUTED_VALUE"""),313.0)</f>
        <v>313</v>
      </c>
      <c r="B314" s="37" t="str">
        <f>IFERROR(__xludf.DUMMYFUNCTION("""COMPUTED_VALUE"""),"NOVITA PUTRI SALSABILA")</f>
        <v>NOVITA PUTRI SALSABILA</v>
      </c>
      <c r="C314" s="38">
        <f>IFERROR(__xludf.DUMMYFUNCTION("""COMPUTED_VALUE"""),2.025070506E9)</f>
        <v>2025070506</v>
      </c>
      <c r="D314" s="37" t="str">
        <f>IFERROR(__xludf.DUMMYFUNCTION("""COMPUTED_VALUE"""),"ILHAM ZAWAWI")</f>
        <v>ILHAM ZAWAWI</v>
      </c>
      <c r="E314" s="37" t="str">
        <f>IFERROR(__xludf.DUMMYFUNCTION("""COMPUTED_VALUE"""),"NURHAYANA")</f>
        <v>NURHAYANA</v>
      </c>
      <c r="F314" s="37" t="str">
        <f>IFERROR(__xludf.DUMMYFUNCTION("""COMPUTED_VALUE"""),"JL. CILANGKAP BARU CILANGKAP RT 004 RW 001 CIPAYUNG JAKARTA TIMUR")</f>
        <v>JL. CILANGKAP BARU CILANGKAP RT 004 RW 001 CIPAYUNG JAKARTA TIMUR</v>
      </c>
      <c r="G314" s="38" t="str">
        <f>IFERROR(__xludf.DUMMYFUNCTION("""COMPUTED_VALUE"""),"MTS-8 C")</f>
        <v>MTS-8 C</v>
      </c>
      <c r="H314" s="36" t="str">
        <f>IFERROR(__xludf.DUMMYFUNCTION("""COMPUTED_VALUE"""),"E")</f>
        <v>E</v>
      </c>
      <c r="I314" s="42" t="str">
        <f>IFERROR(__xludf.DUMMYFUNCTION("""COMPUTED_VALUE"""),"E-4")</f>
        <v>E-4</v>
      </c>
      <c r="J314" s="40">
        <f>IFERROR(__xludf.DUMMYFUNCTION("""COMPUTED_VALUE"""),2.0)</f>
        <v>2</v>
      </c>
      <c r="K314" s="40" t="str">
        <f>IFERROR(__xludf.DUMMYFUNCTION("""COMPUTED_VALUE"""),"2 ULA A PUTRI")</f>
        <v>2 ULA A PUTRI</v>
      </c>
      <c r="L314" s="41" t="str">
        <f>IFERROR(__xludf.DUMMYFUNCTION("""COMPUTED_VALUE"""),"6287783842404")</f>
        <v>6287783842404</v>
      </c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3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IFERROR(__xludf.DUMMYFUNCTION("""COMPUTED_VALUE"""),0.0)</f>
        <v>0</v>
      </c>
      <c r="BE314" s="43">
        <f>IFERROR(__xludf.DUMMYFUNCTION("""COMPUTED_VALUE"""),0.0)</f>
        <v>0</v>
      </c>
      <c r="BF314" s="44">
        <f>IFERROR(__xludf.DUMMYFUNCTION("""COMPUTED_VALUE"""),0.0)</f>
        <v>0</v>
      </c>
      <c r="BG314" s="42"/>
      <c r="BH314" s="42"/>
      <c r="BI314" s="42"/>
      <c r="BJ314" s="45"/>
      <c r="BK314" s="45"/>
      <c r="BL314" s="45"/>
      <c r="BM314" s="45"/>
      <c r="BN314" s="45"/>
      <c r="BO314" s="46"/>
    </row>
    <row r="315">
      <c r="A315" s="47">
        <f>IFERROR(__xludf.DUMMYFUNCTION("""COMPUTED_VALUE"""),314.0)</f>
        <v>314</v>
      </c>
      <c r="B315" s="48" t="str">
        <f>IFERROR(__xludf.DUMMYFUNCTION("""COMPUTED_VALUE"""),"NURISMA ZIANA")</f>
        <v>NURISMA ZIANA</v>
      </c>
      <c r="C315" s="49">
        <f>IFERROR(__xludf.DUMMYFUNCTION("""COMPUTED_VALUE"""),2.025070443E9)</f>
        <v>2025070443</v>
      </c>
      <c r="D315" s="48" t="str">
        <f>IFERROR(__xludf.DUMMYFUNCTION("""COMPUTED_VALUE"""),"SUGIANTO")</f>
        <v>SUGIANTO</v>
      </c>
      <c r="E315" s="48" t="str">
        <f>IFERROR(__xludf.DUMMYFUNCTION("""COMPUTED_VALUE"""),"MURIYATUN")</f>
        <v>MURIYATUN</v>
      </c>
      <c r="F315" s="48" t="str">
        <f>IFERROR(__xludf.DUMMYFUNCTION("""COMPUTED_VALUE"""),"SIWALAN RT 013 RW 005 PANCENG GRESIK")</f>
        <v>SIWALAN RT 013 RW 005 PANCENG GRESIK</v>
      </c>
      <c r="G315" s="50" t="str">
        <f>IFERROR(__xludf.DUMMYFUNCTION("""COMPUTED_VALUE"""),"SMK-XI TKJ 1")</f>
        <v>SMK-XI TKJ 1</v>
      </c>
      <c r="H315" s="47" t="str">
        <f>IFERROR(__xludf.DUMMYFUNCTION("""COMPUTED_VALUE"""),"E")</f>
        <v>E</v>
      </c>
      <c r="I315" s="51" t="str">
        <f>IFERROR(__xludf.DUMMYFUNCTION("""COMPUTED_VALUE"""),"E-5")</f>
        <v>E-5</v>
      </c>
      <c r="J315" s="51">
        <f>IFERROR(__xludf.DUMMYFUNCTION("""COMPUTED_VALUE"""),2.0)</f>
        <v>2</v>
      </c>
      <c r="K315" s="51" t="str">
        <f>IFERROR(__xludf.DUMMYFUNCTION("""COMPUTED_VALUE"""),"2 WUSTHO D PUTRI")</f>
        <v>2 WUSTHO D PUTRI</v>
      </c>
      <c r="L315" s="52" t="str">
        <f>IFERROR(__xludf.DUMMYFUNCTION("""COMPUTED_VALUE"""),"6285815643321")</f>
        <v>6285815643321</v>
      </c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>
        <f>IFERROR(__xludf.DUMMYFUNCTION("""COMPUTED_VALUE"""),500000.0)</f>
        <v>500000</v>
      </c>
      <c r="AA315" s="53"/>
      <c r="AB315" s="53"/>
      <c r="AC315" s="53"/>
      <c r="AD315" s="53"/>
      <c r="AE315" s="54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IFERROR(__xludf.DUMMYFUNCTION("""COMPUTED_VALUE"""),500000.0)</f>
        <v>500000</v>
      </c>
      <c r="BD315" s="54">
        <f>IFERROR(__xludf.DUMMYFUNCTION("""COMPUTED_VALUE"""),0.0)</f>
        <v>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3"/>
      <c r="BH315" s="53"/>
      <c r="BI315" s="53"/>
      <c r="BJ315" s="45"/>
      <c r="BK315" s="45"/>
      <c r="BL315" s="45"/>
      <c r="BM315" s="45"/>
      <c r="BN315" s="45"/>
      <c r="BO315" s="46"/>
    </row>
    <row r="316">
      <c r="A316" s="36">
        <f>IFERROR(__xludf.DUMMYFUNCTION("""COMPUTED_VALUE"""),315.0)</f>
        <v>315</v>
      </c>
      <c r="B316" s="37" t="str">
        <f>IFERROR(__xludf.DUMMYFUNCTION("""COMPUTED_VALUE"""),"RIZKA ILMA HAQQIYA")</f>
        <v>RIZKA ILMA HAQQIYA</v>
      </c>
      <c r="C316" s="38">
        <f>IFERROR(__xludf.DUMMYFUNCTION("""COMPUTED_VALUE"""),2.025070629E9)</f>
        <v>2025070629</v>
      </c>
      <c r="D316" s="37" t="str">
        <f>IFERROR(__xludf.DUMMYFUNCTION("""COMPUTED_VALUE"""),"KHOIRUL ANWAR")</f>
        <v>KHOIRUL ANWAR</v>
      </c>
      <c r="E316" s="37" t="str">
        <f>IFERROR(__xludf.DUMMYFUNCTION("""COMPUTED_VALUE"""),"LAILATUL MUKARROMAH")</f>
        <v>LAILATUL MUKARROMAH</v>
      </c>
      <c r="F316" s="37" t="str">
        <f>IFERROR(__xludf.DUMMYFUNCTION("""COMPUTED_VALUE"""),"NGAMBEG RT 004 RW 002 PUCUK LAMONGAN")</f>
        <v>NGAMBEG RT 004 RW 002 PUCUK LAMONGAN</v>
      </c>
      <c r="G316" s="39" t="str">
        <f>IFERROR(__xludf.DUMMYFUNCTION("""COMPUTED_VALUE"""),"MTS-8 D")</f>
        <v>MTS-8 D</v>
      </c>
      <c r="H316" s="36" t="str">
        <f>IFERROR(__xludf.DUMMYFUNCTION("""COMPUTED_VALUE"""),"E")</f>
        <v>E</v>
      </c>
      <c r="I316" s="42" t="str">
        <f>IFERROR(__xludf.DUMMYFUNCTION("""COMPUTED_VALUE"""),"E-4")</f>
        <v>E-4</v>
      </c>
      <c r="J316" s="40">
        <f>IFERROR(__xludf.DUMMYFUNCTION("""COMPUTED_VALUE"""),2.0)</f>
        <v>2</v>
      </c>
      <c r="K316" s="40" t="str">
        <f>IFERROR(__xludf.DUMMYFUNCTION("""COMPUTED_VALUE"""),"2 ULA A PUTRI")</f>
        <v>2 ULA A PUTRI</v>
      </c>
      <c r="L316" s="41" t="str">
        <f>IFERROR(__xludf.DUMMYFUNCTION("""COMPUTED_VALUE"""),"6285815230735")</f>
        <v>6285815230735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3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42"/>
      <c r="BH316" s="42"/>
      <c r="BI316" s="42"/>
      <c r="BJ316" s="45"/>
      <c r="BK316" s="45"/>
      <c r="BL316" s="45"/>
      <c r="BM316" s="45"/>
      <c r="BN316" s="45"/>
      <c r="BO316" s="46"/>
    </row>
    <row r="317">
      <c r="A317" s="47">
        <f>IFERROR(__xludf.DUMMYFUNCTION("""COMPUTED_VALUE"""),316.0)</f>
        <v>316</v>
      </c>
      <c r="B317" s="48" t="str">
        <f>IFERROR(__xludf.DUMMYFUNCTION("""COMPUTED_VALUE"""),"SHOFFI NANDHA RISTASARI")</f>
        <v>SHOFFI NANDHA RISTASARI</v>
      </c>
      <c r="C317" s="49">
        <f>IFERROR(__xludf.DUMMYFUNCTION("""COMPUTED_VALUE"""),2.025070234E9)</f>
        <v>2025070234</v>
      </c>
      <c r="D317" s="48" t="str">
        <f>IFERROR(__xludf.DUMMYFUNCTION("""COMPUTED_VALUE"""),"SUPARJOH")</f>
        <v>SUPARJOH</v>
      </c>
      <c r="E317" s="48" t="str">
        <f>IFERROR(__xludf.DUMMYFUNCTION("""COMPUTED_VALUE"""),"MUSYAROH")</f>
        <v>MUSYAROH</v>
      </c>
      <c r="F317" s="48" t="str">
        <f>IFERROR(__xludf.DUMMYFUNCTION("""COMPUTED_VALUE"""),"PETIYIN TAKERHARJO RT 002 RW 006 SOLOKURO LAMONGAN")</f>
        <v>PETIYIN TAKERHARJO RT 002 RW 006 SOLOKURO LAMONGAN</v>
      </c>
      <c r="G317" s="50" t="str">
        <f>IFERROR(__xludf.DUMMYFUNCTION("""COMPUTED_VALUE"""),"MA-XI.13")</f>
        <v>MA-XI.13</v>
      </c>
      <c r="H317" s="47" t="str">
        <f>IFERROR(__xludf.DUMMYFUNCTION("""COMPUTED_VALUE"""),"E")</f>
        <v>E</v>
      </c>
      <c r="I317" s="51" t="str">
        <f>IFERROR(__xludf.DUMMYFUNCTION("""COMPUTED_VALUE"""),"E-5")</f>
        <v>E-5</v>
      </c>
      <c r="J317" s="51">
        <f>IFERROR(__xludf.DUMMYFUNCTION("""COMPUTED_VALUE"""),2.0)</f>
        <v>2</v>
      </c>
      <c r="K317" s="51" t="str">
        <f>IFERROR(__xludf.DUMMYFUNCTION("""COMPUTED_VALUE"""),"2 MAK PUTRI")</f>
        <v>2 MAK PUTRI</v>
      </c>
      <c r="L317" s="52" t="str">
        <f>IFERROR(__xludf.DUMMYFUNCTION("""COMPUTED_VALUE"""),"6285755749598")</f>
        <v>6285755749598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>
        <f>IFERROR(__xludf.DUMMYFUNCTION("""COMPUTED_VALUE"""),500000.0)</f>
        <v>500000</v>
      </c>
      <c r="AA317" s="53"/>
      <c r="AB317" s="54">
        <f>IFERROR(__xludf.DUMMYFUNCTION("""COMPUTED_VALUE"""),500000.0)</f>
        <v>500000</v>
      </c>
      <c r="AC317" s="53"/>
      <c r="AD317" s="54"/>
      <c r="AE317" s="54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4">
        <f>IFERROR(__xludf.DUMMYFUNCTION("""COMPUTED_VALUE"""),500000.0)</f>
        <v>500000</v>
      </c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IFERROR(__xludf.DUMMYFUNCTION("""COMPUTED_VALUE"""),500000.0)</f>
        <v>500000</v>
      </c>
      <c r="BD317" s="54">
        <f>IFERROR(__xludf.DUMMYFUNCTION("""COMPUTED_VALUE"""),1000000.0)</f>
        <v>1000000</v>
      </c>
      <c r="BE317" s="54">
        <f>IFERROR(__xludf.DUMMYFUNCTION("""COMPUTED_VALUE"""),0.0)</f>
        <v>0</v>
      </c>
      <c r="BF317" s="55">
        <f>IFERROR(__xludf.DUMMYFUNCTION("""COMPUTED_VALUE"""),1500000.0)</f>
        <v>1500000</v>
      </c>
      <c r="BG317" s="53"/>
      <c r="BH317" s="53"/>
      <c r="BI317" s="53"/>
      <c r="BJ317" s="45"/>
      <c r="BK317" s="45"/>
      <c r="BL317" s="45"/>
      <c r="BM317" s="45"/>
      <c r="BN317" s="45"/>
      <c r="BO317" s="46"/>
    </row>
    <row r="318">
      <c r="A318" s="36">
        <f>IFERROR(__xludf.DUMMYFUNCTION("""COMPUTED_VALUE"""),317.0)</f>
        <v>317</v>
      </c>
      <c r="B318" s="37" t="str">
        <f>IFERROR(__xludf.DUMMYFUNCTION("""COMPUTED_VALUE"""),"SHOFIE AULIA AFIQAH MARSAID")</f>
        <v>SHOFIE AULIA AFIQAH MARSAID</v>
      </c>
      <c r="C318" s="38">
        <f>IFERROR(__xludf.DUMMYFUNCTION("""COMPUTED_VALUE"""),2.025070593E9)</f>
        <v>2025070593</v>
      </c>
      <c r="D318" s="37" t="str">
        <f>IFERROR(__xludf.DUMMYFUNCTION("""COMPUTED_VALUE"""),"ACHMAD UMAR SAID")</f>
        <v>ACHMAD UMAR SAID</v>
      </c>
      <c r="E318" s="37" t="str">
        <f>IFERROR(__xludf.DUMMYFUNCTION("""COMPUTED_VALUE"""),"MARATUS SHOLIQAH")</f>
        <v>MARATUS SHOLIQAH</v>
      </c>
      <c r="F318" s="37" t="str">
        <f>IFERROR(__xludf.DUMMYFUNCTION("""COMPUTED_VALUE"""),"TENGGER TENGGEREJO RT 001 RW 002 KEDUNGPRING LAMONGAN")</f>
        <v>TENGGER TENGGEREJO RT 001 RW 002 KEDUNGPRING LAMONGAN</v>
      </c>
      <c r="G318" s="39" t="str">
        <f>IFERROR(__xludf.DUMMYFUNCTION("""COMPUTED_VALUE"""),"MTS-8 G")</f>
        <v>MTS-8 G</v>
      </c>
      <c r="H318" s="36" t="str">
        <f>IFERROR(__xludf.DUMMYFUNCTION("""COMPUTED_VALUE"""),"E")</f>
        <v>E</v>
      </c>
      <c r="I318" s="42" t="str">
        <f>IFERROR(__xludf.DUMMYFUNCTION("""COMPUTED_VALUE"""),"E-4")</f>
        <v>E-4</v>
      </c>
      <c r="J318" s="40">
        <f>IFERROR(__xludf.DUMMYFUNCTION("""COMPUTED_VALUE"""),2.0)</f>
        <v>2</v>
      </c>
      <c r="K318" s="40" t="str">
        <f>IFERROR(__xludf.DUMMYFUNCTION("""COMPUTED_VALUE"""),"ULA")</f>
        <v>ULA</v>
      </c>
      <c r="L318" s="41" t="str">
        <f>IFERROR(__xludf.DUMMYFUNCTION("""COMPUTED_VALUE"""),"6285706162506")</f>
        <v>6285706162506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>
        <f>IFERROR(__xludf.DUMMYFUNCTION("""COMPUTED_VALUE"""),500000.0)</f>
        <v>500000</v>
      </c>
      <c r="AA318" s="42"/>
      <c r="AB318" s="42">
        <f>IFERROR(__xludf.DUMMYFUNCTION("""COMPUTED_VALUE"""),500000.0)</f>
        <v>500000</v>
      </c>
      <c r="AC318" s="42"/>
      <c r="AD318" s="42"/>
      <c r="AE318" s="43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>
        <f>IFERROR(__xludf.DUMMYFUNCTION("""COMPUTED_VALUE"""),500000.0)</f>
        <v>500000</v>
      </c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IFERROR(__xludf.DUMMYFUNCTION("""COMPUTED_VALUE"""),500000.0)</f>
        <v>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IFERROR(__xludf.DUMMYFUNCTION("""COMPUTED_VALUE"""),1500000.0)</f>
        <v>1500000</v>
      </c>
      <c r="BG318" s="42"/>
      <c r="BH318" s="42"/>
      <c r="BI318" s="42"/>
      <c r="BJ318" s="45"/>
      <c r="BK318" s="45"/>
      <c r="BL318" s="45"/>
      <c r="BM318" s="45"/>
      <c r="BN318" s="45"/>
      <c r="BO318" s="46"/>
    </row>
    <row r="319">
      <c r="A319" s="47">
        <f>IFERROR(__xludf.DUMMYFUNCTION("""COMPUTED_VALUE"""),318.0)</f>
        <v>318</v>
      </c>
      <c r="B319" s="48" t="str">
        <f>IFERROR(__xludf.DUMMYFUNCTION("""COMPUTED_VALUE"""),"SINTIYA PUTRI HIDAYAH")</f>
        <v>SINTIYA PUTRI HIDAYAH</v>
      </c>
      <c r="C319" s="49">
        <f>IFERROR(__xludf.DUMMYFUNCTION("""COMPUTED_VALUE"""),2.025070614E9)</f>
        <v>2025070614</v>
      </c>
      <c r="D319" s="48" t="str">
        <f>IFERROR(__xludf.DUMMYFUNCTION("""COMPUTED_VALUE"""),"SUWARNO")</f>
        <v>SUWARNO</v>
      </c>
      <c r="E319" s="48" t="str">
        <f>IFERROR(__xludf.DUMMYFUNCTION("""COMPUTED_VALUE"""),"SITI KHALIMAH")</f>
        <v>SITI KHALIMAH</v>
      </c>
      <c r="F319" s="48" t="str">
        <f>IFERROR(__xludf.DUMMYFUNCTION("""COMPUTED_VALUE"""),"NGEMBET BANJARMADU RT 002 RW 007 KARANGGENENG LAMONGAN")</f>
        <v>NGEMBET BANJARMADU RT 002 RW 007 KARANGGENENG LAMONGAN</v>
      </c>
      <c r="G319" s="50" t="str">
        <f>IFERROR(__xludf.DUMMYFUNCTION("""COMPUTED_VALUE"""),"MTS-8 G")</f>
        <v>MTS-8 G</v>
      </c>
      <c r="H319" s="47" t="str">
        <f>IFERROR(__xludf.DUMMYFUNCTION("""COMPUTED_VALUE"""),"E")</f>
        <v>E</v>
      </c>
      <c r="I319" s="51" t="str">
        <f>IFERROR(__xludf.DUMMYFUNCTION("""COMPUTED_VALUE"""),"E-4")</f>
        <v>E-4</v>
      </c>
      <c r="J319" s="51">
        <f>IFERROR(__xludf.DUMMYFUNCTION("""COMPUTED_VALUE"""),2.0)</f>
        <v>2</v>
      </c>
      <c r="K319" s="51" t="str">
        <f>IFERROR(__xludf.DUMMYFUNCTION("""COMPUTED_VALUE"""),"2 ULA A PUTRI")</f>
        <v>2 ULA A PUTRI</v>
      </c>
      <c r="L319" s="52" t="str">
        <f>IFERROR(__xludf.DUMMYFUNCTION("""COMPUTED_VALUE"""),"6281335474858")</f>
        <v>6281335474858</v>
      </c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>
        <f>IFERROR(__xludf.DUMMYFUNCTION("""COMPUTED_VALUE"""),500000.0)</f>
        <v>500000</v>
      </c>
      <c r="AC319" s="53"/>
      <c r="AD319" s="54"/>
      <c r="AE319" s="54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4">
        <f>IFERROR(__xludf.DUMMYFUNCTION("""COMPUTED_VALUE"""),500000.0)</f>
        <v>500000</v>
      </c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IFERROR(__xludf.DUMMYFUNCTION("""COMPUTED_VALUE"""),1000000.0)</f>
        <v>1000000</v>
      </c>
      <c r="BE319" s="54">
        <f>IFERROR(__xludf.DUMMYFUNCTION("""COMPUTED_VALUE"""),0.0)</f>
        <v>0</v>
      </c>
      <c r="BF319" s="55">
        <f>IFERROR(__xludf.DUMMYFUNCTION("""COMPUTED_VALUE"""),1000000.0)</f>
        <v>1000000</v>
      </c>
      <c r="BG319" s="53"/>
      <c r="BH319" s="53"/>
      <c r="BI319" s="53"/>
      <c r="BJ319" s="45"/>
      <c r="BK319" s="45"/>
      <c r="BL319" s="45"/>
      <c r="BM319" s="45"/>
      <c r="BN319" s="45"/>
      <c r="BO319" s="46"/>
    </row>
    <row r="320">
      <c r="A320" s="36">
        <f>IFERROR(__xludf.DUMMYFUNCTION("""COMPUTED_VALUE"""),319.0)</f>
        <v>319</v>
      </c>
      <c r="B320" s="37" t="str">
        <f>IFERROR(__xludf.DUMMYFUNCTION("""COMPUTED_VALUE"""),"TITIN HAMIDAH ALIFIA")</f>
        <v>TITIN HAMIDAH ALIFIA</v>
      </c>
      <c r="C320" s="38">
        <f>IFERROR(__xludf.DUMMYFUNCTION("""COMPUTED_VALUE"""),2.025070581E9)</f>
        <v>2025070581</v>
      </c>
      <c r="D320" s="37" t="str">
        <f>IFERROR(__xludf.DUMMYFUNCTION("""COMPUTED_VALUE"""),"AHMAD")</f>
        <v>AHMAD</v>
      </c>
      <c r="E320" s="37" t="str">
        <f>IFERROR(__xludf.DUMMYFUNCTION("""COMPUTED_VALUE"""),"SITI MAGHFIROH")</f>
        <v>SITI MAGHFIROH</v>
      </c>
      <c r="F320" s="37" t="str">
        <f>IFERROR(__xludf.DUMMYFUNCTION("""COMPUTED_VALUE"""),"GUYANGAN KEMLAGIGEDE RT 013 RW 003 TURI LAMONGAN")</f>
        <v>GUYANGAN KEMLAGIGEDE RT 013 RW 003 TURI LAMONGAN</v>
      </c>
      <c r="G320" s="39" t="str">
        <f>IFERROR(__xludf.DUMMYFUNCTION("""COMPUTED_VALUE"""),"MTS-8 A")</f>
        <v>MTS-8 A</v>
      </c>
      <c r="H320" s="36" t="str">
        <f>IFERROR(__xludf.DUMMYFUNCTION("""COMPUTED_VALUE"""),"E")</f>
        <v>E</v>
      </c>
      <c r="I320" s="40" t="str">
        <f>IFERROR(__xludf.DUMMYFUNCTION("""COMPUTED_VALUE"""),"E-6")</f>
        <v>E-6</v>
      </c>
      <c r="J320" s="40">
        <f>IFERROR(__xludf.DUMMYFUNCTION("""COMPUTED_VALUE"""),2.0)</f>
        <v>2</v>
      </c>
      <c r="K320" s="40" t="str">
        <f>IFERROR(__xludf.DUMMYFUNCTION("""COMPUTED_VALUE"""),"2 ULA A PUTRI")</f>
        <v>2 ULA A PUTRI</v>
      </c>
      <c r="L320" s="41" t="str">
        <f>IFERROR(__xludf.DUMMYFUNCTION("""COMPUTED_VALUE"""),"6285755628243")</f>
        <v>6285755628243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3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>
        <f>IFERROR(__xludf.DUMMYFUNCTION("""COMPUTED_VALUE"""),500000.0)</f>
        <v>500000</v>
      </c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 t="str">
        <f>IFERROR(__xludf.DUMMYFUNCTION("""COMPUTED_VALUE"""),"  ")</f>
        <v>  </v>
      </c>
      <c r="BC320" s="43">
        <f>IFERROR(__xludf.DUMMYFUNCTION("""COMPUTED_VALUE"""),0.0)</f>
        <v>0</v>
      </c>
      <c r="BD320" s="43">
        <f>IFERROR(__xludf.DUMMYFUNCTION("""COMPUTED_VALUE"""),500000.0)</f>
        <v>500000</v>
      </c>
      <c r="BE320" s="43">
        <f>IFERROR(__xludf.DUMMYFUNCTION("""COMPUTED_VALUE"""),0.0)</f>
        <v>0</v>
      </c>
      <c r="BF320" s="44">
        <f>IFERROR(__xludf.DUMMYFUNCTION("""COMPUTED_VALUE"""),500000.0)</f>
        <v>500000</v>
      </c>
      <c r="BG320" s="42"/>
      <c r="BH320" s="42"/>
      <c r="BI320" s="42"/>
      <c r="BJ320" s="45"/>
      <c r="BK320" s="45"/>
      <c r="BL320" s="45"/>
      <c r="BM320" s="45"/>
      <c r="BN320" s="45"/>
      <c r="BO320" s="46"/>
    </row>
    <row r="321">
      <c r="A321" s="47">
        <f>IFERROR(__xludf.DUMMYFUNCTION("""COMPUTED_VALUE"""),320.0)</f>
        <v>320</v>
      </c>
      <c r="B321" s="48" t="str">
        <f>IFERROR(__xludf.DUMMYFUNCTION("""COMPUTED_VALUE"""),"YOGI ROFIATUS MAULA")</f>
        <v>YOGI ROFIATUS MAULA</v>
      </c>
      <c r="C321" s="49">
        <f>IFERROR(__xludf.DUMMYFUNCTION("""COMPUTED_VALUE"""),2.025070503E9)</f>
        <v>2025070503</v>
      </c>
      <c r="D321" s="48" t="str">
        <f>IFERROR(__xludf.DUMMYFUNCTION("""COMPUTED_VALUE"""),"MOHAMMAD MUSLIK")</f>
        <v>MOHAMMAD MUSLIK</v>
      </c>
      <c r="E321" s="48" t="str">
        <f>IFERROR(__xludf.DUMMYFUNCTION("""COMPUTED_VALUE"""),"SUDARWATI")</f>
        <v>SUDARWATI</v>
      </c>
      <c r="F321" s="48" t="str">
        <f>IFERROR(__xludf.DUMMYFUNCTION("""COMPUTED_VALUE"""),"PILANG GEDANGAN RT 002 RW 003 SUKODADI LAMONGAN")</f>
        <v>PILANG GEDANGAN RT 002 RW 003 SUKODADI LAMONGAN</v>
      </c>
      <c r="G321" s="50" t="str">
        <f>IFERROR(__xludf.DUMMYFUNCTION("""COMPUTED_VALUE"""),"MTS-8 B")</f>
        <v>MTS-8 B</v>
      </c>
      <c r="H321" s="47" t="str">
        <f>IFERROR(__xludf.DUMMYFUNCTION("""COMPUTED_VALUE"""),"E")</f>
        <v>E</v>
      </c>
      <c r="I321" s="51" t="str">
        <f>IFERROR(__xludf.DUMMYFUNCTION("""COMPUTED_VALUE"""),"E-5")</f>
        <v>E-5</v>
      </c>
      <c r="J321" s="51">
        <f>IFERROR(__xludf.DUMMYFUNCTION("""COMPUTED_VALUE"""),2.0)</f>
        <v>2</v>
      </c>
      <c r="K321" s="51" t="str">
        <f>IFERROR(__xludf.DUMMYFUNCTION("""COMPUTED_VALUE"""),"2 ULA C PUTRI")</f>
        <v>2 ULA C PUTRI</v>
      </c>
      <c r="L321" s="52" t="str">
        <f>IFERROR(__xludf.DUMMYFUNCTION("""COMPUTED_VALUE"""),"6285755100370")</f>
        <v>6285755100370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4">
        <f>IFERROR(__xludf.DUMMYFUNCTION("""COMPUTED_VALUE"""),500000.0)</f>
        <v>500000</v>
      </c>
      <c r="AC321" s="53"/>
      <c r="AD321" s="53"/>
      <c r="AE321" s="54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4">
        <f>IFERROR(__xludf.DUMMYFUNCTION("""COMPUTED_VALUE"""),500000.0)</f>
        <v>500000</v>
      </c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IFERROR(__xludf.DUMMYFUNCTION("""COMPUTED_VALUE"""),0.0)</f>
        <v>0</v>
      </c>
      <c r="BD321" s="54">
        <f>IFERROR(__xludf.DUMMYFUNCTION("""COMPUTED_VALUE"""),1000000.0)</f>
        <v>1000000</v>
      </c>
      <c r="BE321" s="54">
        <f>IFERROR(__xludf.DUMMYFUNCTION("""COMPUTED_VALUE"""),0.0)</f>
        <v>0</v>
      </c>
      <c r="BF321" s="55">
        <f>IFERROR(__xludf.DUMMYFUNCTION("""COMPUTED_VALUE"""),1000000.0)</f>
        <v>1000000</v>
      </c>
      <c r="BG321" s="53"/>
      <c r="BH321" s="53"/>
      <c r="BI321" s="53"/>
      <c r="BJ321" s="45"/>
      <c r="BK321" s="45"/>
      <c r="BL321" s="45"/>
      <c r="BM321" s="45"/>
      <c r="BN321" s="45"/>
      <c r="BO321" s="46"/>
    </row>
    <row r="322">
      <c r="A322" s="36">
        <f>IFERROR(__xludf.DUMMYFUNCTION("""COMPUTED_VALUE"""),321.0)</f>
        <v>321</v>
      </c>
      <c r="B322" s="37" t="str">
        <f>IFERROR(__xludf.DUMMYFUNCTION("""COMPUTED_VALUE"""),"ZAHIRA JULIA SAIDAH")</f>
        <v>ZAHIRA JULIA SAIDAH</v>
      </c>
      <c r="C322" s="38">
        <f>IFERROR(__xludf.DUMMYFUNCTION("""COMPUTED_VALUE"""),2.025070168E9)</f>
        <v>2025070168</v>
      </c>
      <c r="D322" s="37" t="str">
        <f>IFERROR(__xludf.DUMMYFUNCTION("""COMPUTED_VALUE"""),"SAKIM")</f>
        <v>SAKIM</v>
      </c>
      <c r="E322" s="37" t="str">
        <f>IFERROR(__xludf.DUMMYFUNCTION("""COMPUTED_VALUE"""),"SAUDAH")</f>
        <v>SAUDAH</v>
      </c>
      <c r="F322" s="37" t="str">
        <f>IFERROR(__xludf.DUMMYFUNCTION("""COMPUTED_VALUE"""),"KUCUR SIDOMUKTI RT 002 RW 001 LAMONGAN LAMONGAN")</f>
        <v>KUCUR SIDOMUKTI RT 002 RW 001 LAMONGAN LAMONGAN</v>
      </c>
      <c r="G322" s="39" t="str">
        <f>IFERROR(__xludf.DUMMYFUNCTION("""COMPUTED_VALUE"""),"MA-XI.12")</f>
        <v>MA-XI.12</v>
      </c>
      <c r="H322" s="36" t="str">
        <f>IFERROR(__xludf.DUMMYFUNCTION("""COMPUTED_VALUE"""),"E")</f>
        <v>E</v>
      </c>
      <c r="I322" s="42" t="str">
        <f>IFERROR(__xludf.DUMMYFUNCTION("""COMPUTED_VALUE"""),"E-5")</f>
        <v>E-5</v>
      </c>
      <c r="J322" s="40">
        <f>IFERROR(__xludf.DUMMYFUNCTION("""COMPUTED_VALUE"""),2.0)</f>
        <v>2</v>
      </c>
      <c r="K322" s="40" t="str">
        <f>IFERROR(__xludf.DUMMYFUNCTION("""COMPUTED_VALUE"""),"2 WUSTHO B PUTRI")</f>
        <v>2 WUSTHO B PUTRI</v>
      </c>
      <c r="L322" s="41" t="str">
        <f>IFERROR(__xludf.DUMMYFUNCTION("""COMPUTED_VALUE"""),"6285859402324")</f>
        <v>6285859402324</v>
      </c>
      <c r="M322" s="42"/>
      <c r="N322" s="42"/>
      <c r="O322" s="42"/>
      <c r="P322" s="42"/>
      <c r="Q322" s="42"/>
      <c r="R322" s="42"/>
      <c r="S322" s="42"/>
      <c r="T322" s="42">
        <f>IFERROR(__xludf.DUMMYFUNCTION("""COMPUTED_VALUE"""),500000.0)</f>
        <v>500000</v>
      </c>
      <c r="U322" s="42">
        <f>IFERROR(__xludf.DUMMYFUNCTION("""COMPUTED_VALUE"""),500000.0)</f>
        <v>500000</v>
      </c>
      <c r="V322" s="42">
        <f>IFERROR(__xludf.DUMMYFUNCTION("""COMPUTED_VALUE"""),500000.0)</f>
        <v>500000</v>
      </c>
      <c r="W322" s="42">
        <f>IFERROR(__xludf.DUMMYFUNCTION("""COMPUTED_VALUE"""),500000.0)</f>
        <v>500000</v>
      </c>
      <c r="X322" s="42">
        <f>IFERROR(__xludf.DUMMYFUNCTION("""COMPUTED_VALUE"""),500000.0)</f>
        <v>500000</v>
      </c>
      <c r="Y322" s="42">
        <f>IFERROR(__xludf.DUMMYFUNCTION("""COMPUTED_VALUE"""),500000.0)</f>
        <v>500000</v>
      </c>
      <c r="Z322" s="42">
        <f>IFERROR(__xludf.DUMMYFUNCTION("""COMPUTED_VALUE"""),500000.0)</f>
        <v>500000</v>
      </c>
      <c r="AA322" s="42"/>
      <c r="AB322" s="42"/>
      <c r="AC322" s="42"/>
      <c r="AD322" s="42"/>
      <c r="AE322" s="43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IFERROR(__xludf.DUMMYFUNCTION("""COMPUTED_VALUE"""),3500000.0)</f>
        <v>3500000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IFERROR(__xludf.DUMMYFUNCTION("""COMPUTED_VALUE"""),3500000.0)</f>
        <v>3500000</v>
      </c>
      <c r="BG322" s="42"/>
      <c r="BH322" s="42"/>
      <c r="BI322" s="42"/>
      <c r="BJ322" s="45"/>
      <c r="BK322" s="45"/>
      <c r="BL322" s="45"/>
      <c r="BM322" s="45"/>
      <c r="BN322" s="45"/>
      <c r="BO322" s="46"/>
    </row>
    <row r="323">
      <c r="A323" s="47">
        <f>IFERROR(__xludf.DUMMYFUNCTION("""COMPUTED_VALUE"""),322.0)</f>
        <v>322</v>
      </c>
      <c r="B323" s="48" t="str">
        <f>IFERROR(__xludf.DUMMYFUNCTION("""COMPUTED_VALUE"""),"AQILAH AULIYA` AL FATHONY")</f>
        <v>AQILAH AULIYA` AL FATHONY</v>
      </c>
      <c r="C323" s="49">
        <f>IFERROR(__xludf.DUMMYFUNCTION("""COMPUTED_VALUE"""),2.025070451E9)</f>
        <v>2025070451</v>
      </c>
      <c r="D323" s="48" t="str">
        <f>IFERROR(__xludf.DUMMYFUNCTION("""COMPUTED_VALUE"""),"WAHIB FATHONY")</f>
        <v>WAHIB FATHONY</v>
      </c>
      <c r="E323" s="48" t="str">
        <f>IFERROR(__xludf.DUMMYFUNCTION("""COMPUTED_VALUE"""),"MUDAWAMAH")</f>
        <v>MUDAWAMAH</v>
      </c>
      <c r="F323" s="48" t="str">
        <f>IFERROR(__xludf.DUMMYFUNCTION("""COMPUTED_VALUE"""),"PALOH RT 005 RW 003 PACIRAN LAMONGAN")</f>
        <v>PALOH RT 005 RW 003 PACIRAN LAMONGAN</v>
      </c>
      <c r="G323" s="49" t="str">
        <f>IFERROR(__xludf.DUMMYFUNCTION("""COMPUTED_VALUE"""),"SMK-XI BD")</f>
        <v>SMK-XI BD</v>
      </c>
      <c r="H323" s="47" t="str">
        <f>IFERROR(__xludf.DUMMYFUNCTION("""COMPUTED_VALUE"""),"D")</f>
        <v>D</v>
      </c>
      <c r="I323" s="53" t="str">
        <f>IFERROR(__xludf.DUMMYFUNCTION("""COMPUTED_VALUE"""),"D-8")</f>
        <v>D-8</v>
      </c>
      <c r="J323" s="51">
        <f>IFERROR(__xludf.DUMMYFUNCTION("""COMPUTED_VALUE"""),2.0)</f>
        <v>2</v>
      </c>
      <c r="K323" s="51" t="str">
        <f>IFERROR(__xludf.DUMMYFUNCTION("""COMPUTED_VALUE"""),"2 WUSTHO A PUTRI")</f>
        <v>2 WUSTHO A PUTRI</v>
      </c>
      <c r="L323" s="52" t="str">
        <f>IFERROR(__xludf.DUMMYFUNCTION("""COMPUTED_VALUE"""),"6285855737597")</f>
        <v>6285855737597</v>
      </c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>
        <f>IFERROR(__xludf.DUMMYFUNCTION("""COMPUTED_VALUE"""),450000.0)</f>
        <v>450000</v>
      </c>
      <c r="Y323" s="53">
        <f>IFERROR(__xludf.DUMMYFUNCTION("""COMPUTED_VALUE"""),450000.0)</f>
        <v>450000</v>
      </c>
      <c r="Z323" s="53">
        <f>IFERROR(__xludf.DUMMYFUNCTION("""COMPUTED_VALUE"""),450000.0)</f>
        <v>450000</v>
      </c>
      <c r="AA323" s="53"/>
      <c r="AB323" s="53">
        <f>IFERROR(__xludf.DUMMYFUNCTION("""COMPUTED_VALUE"""),500000.0)</f>
        <v>500000</v>
      </c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>
        <f>IFERROR(__xludf.DUMMYFUNCTION("""COMPUTED_VALUE"""),500000.0)</f>
        <v>500000</v>
      </c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IFERROR(__xludf.DUMMYFUNCTION("""COMPUTED_VALUE"""),1350000.0)</f>
        <v>1350000</v>
      </c>
      <c r="BD323" s="54">
        <f>IFERROR(__xludf.DUMMYFUNCTION("""COMPUTED_VALUE"""),1000000.0)</f>
        <v>1000000</v>
      </c>
      <c r="BE323" s="54">
        <f>IFERROR(__xludf.DUMMYFUNCTION("""COMPUTED_VALUE"""),0.0)</f>
        <v>0</v>
      </c>
      <c r="BF323" s="55">
        <f>IFERROR(__xludf.DUMMYFUNCTION("""COMPUTED_VALUE"""),2350000.0)</f>
        <v>2350000</v>
      </c>
      <c r="BG323" s="53"/>
      <c r="BH323" s="53"/>
      <c r="BI323" s="53"/>
      <c r="BJ323" s="45"/>
      <c r="BK323" s="45"/>
      <c r="BL323" s="45"/>
      <c r="BM323" s="45"/>
      <c r="BN323" s="45"/>
      <c r="BO323" s="46"/>
    </row>
    <row r="324">
      <c r="A324" s="36">
        <f>IFERROR(__xludf.DUMMYFUNCTION("""COMPUTED_VALUE"""),323.0)</f>
        <v>323</v>
      </c>
      <c r="B324" s="37" t="str">
        <f>IFERROR(__xludf.DUMMYFUNCTION("""COMPUTED_VALUE"""),"CAHAYA ROSANA AIRA KURNIA CANTIK")</f>
        <v>CAHAYA ROSANA AIRA KURNIA CANTIK</v>
      </c>
      <c r="C324" s="38">
        <f>IFERROR(__xludf.DUMMYFUNCTION("""COMPUTED_VALUE"""),2.025070455E9)</f>
        <v>2025070455</v>
      </c>
      <c r="D324" s="37" t="str">
        <f>IFERROR(__xludf.DUMMYFUNCTION("""COMPUTED_VALUE"""),"I`IM NURYANTO")</f>
        <v>I`IM NURYANTO</v>
      </c>
      <c r="E324" s="37" t="str">
        <f>IFERROR(__xludf.DUMMYFUNCTION("""COMPUTED_VALUE"""),"DESI AYU WULANDARI")</f>
        <v>DESI AYU WULANDARI</v>
      </c>
      <c r="F324" s="37" t="str">
        <f>IFERROR(__xludf.DUMMYFUNCTION("""COMPUTED_VALUE"""),"LENGKONG SIDOMLANGEAN RT 001 RW 001 KEDUNGPRING LAMONGAN")</f>
        <v>LENGKONG SIDOMLANGEAN RT 001 RW 001 KEDUNGPRING LAMONGAN</v>
      </c>
      <c r="G324" s="39" t="str">
        <f>IFERROR(__xludf.DUMMYFUNCTION("""COMPUTED_VALUE"""),"SMK-XI LPb")</f>
        <v>SMK-XI LPb</v>
      </c>
      <c r="H324" s="36" t="str">
        <f>IFERROR(__xludf.DUMMYFUNCTION("""COMPUTED_VALUE"""),"F")</f>
        <v>F</v>
      </c>
      <c r="I324" s="42" t="str">
        <f>IFERROR(__xludf.DUMMYFUNCTION("""COMPUTED_VALUE"""),"F-2")</f>
        <v>F-2</v>
      </c>
      <c r="J324" s="40">
        <f>IFERROR(__xludf.DUMMYFUNCTION("""COMPUTED_VALUE"""),2.0)</f>
        <v>2</v>
      </c>
      <c r="K324" s="40" t="str">
        <f>IFERROR(__xludf.DUMMYFUNCTION("""COMPUTED_VALUE"""),"2 WUSTHO D PUTRI")</f>
        <v>2 WUSTHO D PUTRI</v>
      </c>
      <c r="L324" s="41" t="str">
        <f>IFERROR(__xludf.DUMMYFUNCTION("""COMPUTED_VALUE"""),"6285737577869")</f>
        <v>6285737577869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>
        <f>IFERROR(__xludf.DUMMYFUNCTION("""COMPUTED_VALUE"""),500000.0)</f>
        <v>500000</v>
      </c>
      <c r="AC324" s="42"/>
      <c r="AD324" s="42"/>
      <c r="AE324" s="43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>
        <f>IFERROR(__xludf.DUMMYFUNCTION("""COMPUTED_VALUE"""),500000.0)</f>
        <v>500000</v>
      </c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IFERROR(__xludf.DUMMYFUNCTION("""COMPUTED_VALUE"""),1000000.0)</f>
        <v>1000000</v>
      </c>
      <c r="BE324" s="43">
        <f>IFERROR(__xludf.DUMMYFUNCTION("""COMPUTED_VALUE"""),0.0)</f>
        <v>0</v>
      </c>
      <c r="BF324" s="44">
        <f>IFERROR(__xludf.DUMMYFUNCTION("""COMPUTED_VALUE"""),1000000.0)</f>
        <v>1000000</v>
      </c>
      <c r="BG324" s="42"/>
      <c r="BH324" s="42"/>
      <c r="BI324" s="42"/>
      <c r="BJ324" s="45"/>
      <c r="BK324" s="45"/>
      <c r="BL324" s="45"/>
      <c r="BM324" s="45"/>
      <c r="BN324" s="45"/>
      <c r="BO324" s="46"/>
    </row>
    <row r="325">
      <c r="A325" s="47">
        <f>IFERROR(__xludf.DUMMYFUNCTION("""COMPUTED_VALUE"""),324.0)</f>
        <v>324</v>
      </c>
      <c r="B325" s="48" t="str">
        <f>IFERROR(__xludf.DUMMYFUNCTION("""COMPUTED_VALUE"""),"MIRANTI PUSPITA DEWI")</f>
        <v>MIRANTI PUSPITA DEWI</v>
      </c>
      <c r="C325" s="49">
        <f>IFERROR(__xludf.DUMMYFUNCTION("""COMPUTED_VALUE"""),2.025070447E9)</f>
        <v>2025070447</v>
      </c>
      <c r="D325" s="48" t="str">
        <f>IFERROR(__xludf.DUMMYFUNCTION("""COMPUTED_VALUE"""),"MOH. SUTIKNO")</f>
        <v>MOH. SUTIKNO</v>
      </c>
      <c r="E325" s="48" t="str">
        <f>IFERROR(__xludf.DUMMYFUNCTION("""COMPUTED_VALUE"""),"KUMIYATIN")</f>
        <v>KUMIYATIN</v>
      </c>
      <c r="F325" s="48" t="str">
        <f>IFERROR(__xludf.DUMMYFUNCTION("""COMPUTED_VALUE"""),"DAGAN RT 001 RW 002 SOLOKURO LAMONGAN")</f>
        <v>DAGAN RT 001 RW 002 SOLOKURO LAMONGAN</v>
      </c>
      <c r="G325" s="50" t="str">
        <f>IFERROR(__xludf.DUMMYFUNCTION("""COMPUTED_VALUE"""),"SMK-XI Ak")</f>
        <v>SMK-XI Ak</v>
      </c>
      <c r="H325" s="47" t="str">
        <f>IFERROR(__xludf.DUMMYFUNCTION("""COMPUTED_VALUE"""),"F")</f>
        <v>F</v>
      </c>
      <c r="I325" s="53" t="str">
        <f>IFERROR(__xludf.DUMMYFUNCTION("""COMPUTED_VALUE"""),"F-2")</f>
        <v>F-2</v>
      </c>
      <c r="J325" s="51">
        <f>IFERROR(__xludf.DUMMYFUNCTION("""COMPUTED_VALUE"""),2.0)</f>
        <v>2</v>
      </c>
      <c r="K325" s="51" t="str">
        <f>IFERROR(__xludf.DUMMYFUNCTION("""COMPUTED_VALUE"""),"2 WUSTHO B PUTRI")</f>
        <v>2 WUSTHO B PUTRI</v>
      </c>
      <c r="L325" s="52" t="str">
        <f>IFERROR(__xludf.DUMMYFUNCTION("""COMPUTED_VALUE"""),"6285731324023")</f>
        <v>6285731324023</v>
      </c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4"/>
      <c r="AE325" s="54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>
        <f>IFERROR(__xludf.DUMMYFUNCTION("""COMPUTED_VALUE"""),500000.0)</f>
        <v>500000</v>
      </c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IFERROR(__xludf.DUMMYFUNCTION("""COMPUTED_VALUE"""),500000.0)</f>
        <v>500000</v>
      </c>
      <c r="BE325" s="54">
        <f>IFERROR(__xludf.DUMMYFUNCTION("""COMPUTED_VALUE"""),0.0)</f>
        <v>0</v>
      </c>
      <c r="BF325" s="55">
        <f>IFERROR(__xludf.DUMMYFUNCTION("""COMPUTED_VALUE"""),500000.0)</f>
        <v>500000</v>
      </c>
      <c r="BG325" s="53"/>
      <c r="BH325" s="53"/>
      <c r="BI325" s="53"/>
      <c r="BJ325" s="45"/>
      <c r="BK325" s="45"/>
      <c r="BL325" s="45"/>
      <c r="BM325" s="45"/>
      <c r="BN325" s="45"/>
      <c r="BO325" s="46"/>
    </row>
    <row r="326">
      <c r="A326" s="36">
        <f>IFERROR(__xludf.DUMMYFUNCTION("""COMPUTED_VALUE"""),325.0)</f>
        <v>325</v>
      </c>
      <c r="B326" s="37" t="str">
        <f>IFERROR(__xludf.DUMMYFUNCTION("""COMPUTED_VALUE"""),"NAFISAH AZ-ZAHRAH")</f>
        <v>NAFISAH AZ-ZAHRAH</v>
      </c>
      <c r="C326" s="38">
        <f>IFERROR(__xludf.DUMMYFUNCTION("""COMPUTED_VALUE"""),2.025070461E9)</f>
        <v>2025070461</v>
      </c>
      <c r="D326" s="37" t="str">
        <f>IFERROR(__xludf.DUMMYFUNCTION("""COMPUTED_VALUE"""),"SUPADI")</f>
        <v>SUPADI</v>
      </c>
      <c r="E326" s="37" t="str">
        <f>IFERROR(__xludf.DUMMYFUNCTION("""COMPUTED_VALUE"""),"SUMINARTI")</f>
        <v>SUMINARTI</v>
      </c>
      <c r="F326" s="37" t="str">
        <f>IFERROR(__xludf.DUMMYFUNCTION("""COMPUTED_VALUE"""),"SETRO BLURI RT 005 RW 002 SOLOKURO LAMONGAN")</f>
        <v>SETRO BLURI RT 005 RW 002 SOLOKURO LAMONGAN</v>
      </c>
      <c r="G326" s="38" t="str">
        <f>IFERROR(__xludf.DUMMYFUNCTION("""COMPUTED_VALUE"""),"SMK-XI DKV")</f>
        <v>SMK-XI DKV</v>
      </c>
      <c r="H326" s="36" t="str">
        <f>IFERROR(__xludf.DUMMYFUNCTION("""COMPUTED_VALUE"""),"F")</f>
        <v>F</v>
      </c>
      <c r="I326" s="40" t="str">
        <f>IFERROR(__xludf.DUMMYFUNCTION("""COMPUTED_VALUE"""),"F-2")</f>
        <v>F-2</v>
      </c>
      <c r="J326" s="40">
        <f>IFERROR(__xludf.DUMMYFUNCTION("""COMPUTED_VALUE"""),2.0)</f>
        <v>2</v>
      </c>
      <c r="K326" s="40" t="str">
        <f>IFERROR(__xludf.DUMMYFUNCTION("""COMPUTED_VALUE"""),"2 WUSTHO D PUTRI")</f>
        <v>2 WUSTHO D PUTRI</v>
      </c>
      <c r="L326" s="41" t="str">
        <f>IFERROR(__xludf.DUMMYFUNCTION("""COMPUTED_VALUE"""),"6285696949089")</f>
        <v>6285696949089</v>
      </c>
      <c r="M326" s="42"/>
      <c r="N326" s="42"/>
      <c r="O326" s="42"/>
      <c r="P326" s="42"/>
      <c r="Q326" s="42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IFERROR(__xludf.DUMMYFUNCTION("""COMPUTED_VALUE"""),0.0)</f>
        <v>0</v>
      </c>
      <c r="BE326" s="43">
        <f>IFERROR(__xludf.DUMMYFUNCTION("""COMPUTED_VALUE"""),0.0)</f>
        <v>0</v>
      </c>
      <c r="BF326" s="44">
        <f>IFERROR(__xludf.DUMMYFUNCTION("""COMPUTED_VALUE"""),0.0)</f>
        <v>0</v>
      </c>
      <c r="BG326" s="42"/>
      <c r="BH326" s="42"/>
      <c r="BI326" s="42"/>
      <c r="BJ326" s="45"/>
      <c r="BK326" s="45"/>
      <c r="BL326" s="45"/>
      <c r="BM326" s="45"/>
      <c r="BN326" s="45"/>
      <c r="BO326" s="46"/>
    </row>
    <row r="327">
      <c r="A327" s="47">
        <f>IFERROR(__xludf.DUMMYFUNCTION("""COMPUTED_VALUE"""),326.0)</f>
        <v>326</v>
      </c>
      <c r="B327" s="48" t="str">
        <f>IFERROR(__xludf.DUMMYFUNCTION("""COMPUTED_VALUE"""),"NAILAH MAULIDAH ISNAH")</f>
        <v>NAILAH MAULIDAH ISNAH</v>
      </c>
      <c r="C327" s="49">
        <f>IFERROR(__xludf.DUMMYFUNCTION("""COMPUTED_VALUE"""),2.025070434E9)</f>
        <v>2025070434</v>
      </c>
      <c r="D327" s="48" t="str">
        <f>IFERROR(__xludf.DUMMYFUNCTION("""COMPUTED_VALUE"""),"YUDI IRAWAN")</f>
        <v>YUDI IRAWAN</v>
      </c>
      <c r="E327" s="48" t="str">
        <f>IFERROR(__xludf.DUMMYFUNCTION("""COMPUTED_VALUE"""),"AMINATUR ROHMAH")</f>
        <v>AMINATUR ROHMAH</v>
      </c>
      <c r="F327" s="48" t="str">
        <f>IFERROR(__xludf.DUMMYFUNCTION("""COMPUTED_VALUE"""),"UKA 4/01 SEMEMI RT 006 RW 002 BENOWO SURABAYA")</f>
        <v>UKA 4/01 SEMEMI RT 006 RW 002 BENOWO SURABAYA</v>
      </c>
      <c r="G327" s="50" t="str">
        <f>IFERROR(__xludf.DUMMYFUNCTION("""COMPUTED_VALUE"""),"SMK-XI TKJ 1")</f>
        <v>SMK-XI TKJ 1</v>
      </c>
      <c r="H327" s="47" t="str">
        <f>IFERROR(__xludf.DUMMYFUNCTION("""COMPUTED_VALUE"""),"F")</f>
        <v>F</v>
      </c>
      <c r="I327" s="51" t="str">
        <f>IFERROR(__xludf.DUMMYFUNCTION("""COMPUTED_VALUE"""),"F-2")</f>
        <v>F-2</v>
      </c>
      <c r="J327" s="51">
        <f>IFERROR(__xludf.DUMMYFUNCTION("""COMPUTED_VALUE"""),2.0)</f>
        <v>2</v>
      </c>
      <c r="K327" s="51" t="str">
        <f>IFERROR(__xludf.DUMMYFUNCTION("""COMPUTED_VALUE"""),"2 WUSTHO A PUTRI")</f>
        <v>2 WUSTHO A PUTRI</v>
      </c>
      <c r="L327" s="52"/>
      <c r="M327" s="53"/>
      <c r="N327" s="53"/>
      <c r="O327" s="53"/>
      <c r="P327" s="53" t="str">
        <f>IFERROR(__xludf.DUMMYFUNCTION("""COMPUTED_VALUE"""),"   ")</f>
        <v>   </v>
      </c>
      <c r="Q327" s="53"/>
      <c r="R327" s="53"/>
      <c r="S327" s="53"/>
      <c r="T327" s="53"/>
      <c r="U327" s="53"/>
      <c r="V327" s="53"/>
      <c r="W327" s="53"/>
      <c r="X327" s="53"/>
      <c r="Y327" s="53">
        <f>IFERROR(__xludf.DUMMYFUNCTION("""COMPUTED_VALUE"""),450000.0)</f>
        <v>450000</v>
      </c>
      <c r="Z327" s="53">
        <f>IFERROR(__xludf.DUMMYFUNCTION("""COMPUTED_VALUE"""),450000.0)</f>
        <v>450000</v>
      </c>
      <c r="AA327" s="53"/>
      <c r="AB327" s="53"/>
      <c r="AC327" s="53"/>
      <c r="AD327" s="54"/>
      <c r="AE327" s="54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IFERROR(__xludf.DUMMYFUNCTION("""COMPUTED_VALUE"""),900000.0)</f>
        <v>900000</v>
      </c>
      <c r="BD327" s="54">
        <f>IFERROR(__xludf.DUMMYFUNCTION("""COMPUTED_VALUE"""),0.0)</f>
        <v>0</v>
      </c>
      <c r="BE327" s="54">
        <f>IFERROR(__xludf.DUMMYFUNCTION("""COMPUTED_VALUE"""),0.0)</f>
        <v>0</v>
      </c>
      <c r="BF327" s="55">
        <f>IFERROR(__xludf.DUMMYFUNCTION("""COMPUTED_VALUE"""),900000.0)</f>
        <v>900000</v>
      </c>
      <c r="BG327" s="53"/>
      <c r="BH327" s="53"/>
      <c r="BI327" s="53"/>
      <c r="BJ327" s="45"/>
      <c r="BK327" s="45"/>
      <c r="BL327" s="45"/>
      <c r="BM327" s="45"/>
      <c r="BN327" s="45"/>
      <c r="BO327" s="46"/>
    </row>
    <row r="328">
      <c r="A328" s="36">
        <f>IFERROR(__xludf.DUMMYFUNCTION("""COMPUTED_VALUE"""),327.0)</f>
        <v>327</v>
      </c>
      <c r="B328" s="37" t="str">
        <f>IFERROR(__xludf.DUMMYFUNCTION("""COMPUTED_VALUE"""),"RATIH RAHMAH YUNITA")</f>
        <v>RATIH RAHMAH YUNITA</v>
      </c>
      <c r="C328" s="38">
        <f>IFERROR(__xludf.DUMMYFUNCTION("""COMPUTED_VALUE"""),2.025070431E9)</f>
        <v>2025070431</v>
      </c>
      <c r="D328" s="37" t="str">
        <f>IFERROR(__xludf.DUMMYFUNCTION("""COMPUTED_VALUE"""),"SIRNOTO")</f>
        <v>SIRNOTO</v>
      </c>
      <c r="E328" s="37" t="str">
        <f>IFERROR(__xludf.DUMMYFUNCTION("""COMPUTED_VALUE"""),"LILIS RUKIYATI")</f>
        <v>LILIS RUKIYATI</v>
      </c>
      <c r="F328" s="37" t="str">
        <f>IFERROR(__xludf.DUMMYFUNCTION("""COMPUTED_VALUE"""),"MOROGO PUTATKUMPUL RT 006 RW 005 TURI LAMONGAN")</f>
        <v>MOROGO PUTATKUMPUL RT 006 RW 005 TURI LAMONGAN</v>
      </c>
      <c r="G328" s="39" t="str">
        <f>IFERROR(__xludf.DUMMYFUNCTION("""COMPUTED_VALUE"""),"SMK-XI DKV")</f>
        <v>SMK-XI DKV</v>
      </c>
      <c r="H328" s="36" t="str">
        <f>IFERROR(__xludf.DUMMYFUNCTION("""COMPUTED_VALUE"""),"F")</f>
        <v>F</v>
      </c>
      <c r="I328" s="40" t="str">
        <f>IFERROR(__xludf.DUMMYFUNCTION("""COMPUTED_VALUE"""),"F-2")</f>
        <v>F-2</v>
      </c>
      <c r="J328" s="40">
        <f>IFERROR(__xludf.DUMMYFUNCTION("""COMPUTED_VALUE"""),2.0)</f>
        <v>2</v>
      </c>
      <c r="K328" s="40" t="str">
        <f>IFERROR(__xludf.DUMMYFUNCTION("""COMPUTED_VALUE"""),"2 WUSTHO B PUTRI")</f>
        <v>2 WUSTHO B PUTRI</v>
      </c>
      <c r="L328" s="41" t="str">
        <f>IFERROR(__xludf.DUMMYFUNCTION("""COMPUTED_VALUE"""),"6285755004790")</f>
        <v>6285755004790</v>
      </c>
      <c r="M328" s="42">
        <f>IFERROR(__xludf.DUMMYFUNCTION("""COMPUTED_VALUE"""),600000.0)</f>
        <v>600000</v>
      </c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3"/>
      <c r="AA328" s="42"/>
      <c r="AB328" s="43">
        <f>IFERROR(__xludf.DUMMYFUNCTION("""COMPUTED_VALUE"""),500000.0)</f>
        <v>500000</v>
      </c>
      <c r="AC328" s="43"/>
      <c r="AD328" s="43"/>
      <c r="AE328" s="43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3">
        <f>IFERROR(__xludf.DUMMYFUNCTION("""COMPUTED_VALUE"""),500000.0)</f>
        <v>500000</v>
      </c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IFERROR(__xludf.DUMMYFUNCTION("""COMPUTED_VALUE"""),1600000.0)</f>
        <v>1600000</v>
      </c>
      <c r="BE328" s="43">
        <f>IFERROR(__xludf.DUMMYFUNCTION("""COMPUTED_VALUE"""),0.0)</f>
        <v>0</v>
      </c>
      <c r="BF328" s="44">
        <f>IFERROR(__xludf.DUMMYFUNCTION("""COMPUTED_VALUE"""),1600000.0)</f>
        <v>1600000</v>
      </c>
      <c r="BG328" s="42"/>
      <c r="BH328" s="42"/>
      <c r="BI328" s="42"/>
      <c r="BJ328" s="45"/>
      <c r="BK328" s="45"/>
      <c r="BL328" s="45"/>
      <c r="BM328" s="45"/>
      <c r="BN328" s="45"/>
      <c r="BO328" s="46"/>
    </row>
    <row r="329">
      <c r="A329" s="47">
        <f>IFERROR(__xludf.DUMMYFUNCTION("""COMPUTED_VALUE"""),328.0)</f>
        <v>328</v>
      </c>
      <c r="B329" s="48" t="str">
        <f>IFERROR(__xludf.DUMMYFUNCTION("""COMPUTED_VALUE"""),"SAFAWATI NURUL AFIQAH")</f>
        <v>SAFAWATI NURUL AFIQAH</v>
      </c>
      <c r="C329" s="49">
        <f>IFERROR(__xludf.DUMMYFUNCTION("""COMPUTED_VALUE"""),2.025070446E9)</f>
        <v>2025070446</v>
      </c>
      <c r="D329" s="48" t="str">
        <f>IFERROR(__xludf.DUMMYFUNCTION("""COMPUTED_VALUE"""),"MU`ALIMIN")</f>
        <v>MU`ALIMIN</v>
      </c>
      <c r="E329" s="48" t="str">
        <f>IFERROR(__xludf.DUMMYFUNCTION("""COMPUTED_VALUE"""),"SITI MUHAYATUN")</f>
        <v>SITI MUHAYATUN</v>
      </c>
      <c r="F329" s="48" t="str">
        <f>IFERROR(__xludf.DUMMYFUNCTION("""COMPUTED_VALUE"""),"DAGAN RT 004 RW 002 SOLOKURO LAMONGAN")</f>
        <v>DAGAN RT 004 RW 002 SOLOKURO LAMONGAN</v>
      </c>
      <c r="G329" s="50" t="str">
        <f>IFERROR(__xludf.DUMMYFUNCTION("""COMPUTED_VALUE"""),"SMK-XI DKV")</f>
        <v>SMK-XI DKV</v>
      </c>
      <c r="H329" s="47" t="str">
        <f>IFERROR(__xludf.DUMMYFUNCTION("""COMPUTED_VALUE"""),"F")</f>
        <v>F</v>
      </c>
      <c r="I329" s="51" t="str">
        <f>IFERROR(__xludf.DUMMYFUNCTION("""COMPUTED_VALUE"""),"F-2")</f>
        <v>F-2</v>
      </c>
      <c r="J329" s="51">
        <f>IFERROR(__xludf.DUMMYFUNCTION("""COMPUTED_VALUE"""),2.0)</f>
        <v>2</v>
      </c>
      <c r="K329" s="51" t="str">
        <f>IFERROR(__xludf.DUMMYFUNCTION("""COMPUTED_VALUE"""),"2 WUSTHO B PUTRI")</f>
        <v>2 WUSTHO B PUTRI</v>
      </c>
      <c r="L329" s="52" t="str">
        <f>IFERROR(__xludf.DUMMYFUNCTION("""COMPUTED_VALUE"""),"6285731562895")</f>
        <v>6285731562895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4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4">
        <f>IFERROR(__xludf.DUMMYFUNCTION("""COMPUTED_VALUE"""),500000.0)</f>
        <v>500000</v>
      </c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IFERROR(__xludf.DUMMYFUNCTION("""COMPUTED_VALUE"""),0.0)</f>
        <v>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IFERROR(__xludf.DUMMYFUNCTION("""COMPUTED_VALUE"""),1000000.0)</f>
        <v>1000000</v>
      </c>
      <c r="BG329" s="53"/>
      <c r="BH329" s="53"/>
      <c r="BI329" s="53"/>
      <c r="BJ329" s="45"/>
      <c r="BK329" s="45"/>
      <c r="BL329" s="45"/>
      <c r="BM329" s="45"/>
      <c r="BN329" s="45"/>
      <c r="BO329" s="46"/>
    </row>
    <row r="330">
      <c r="A330" s="36">
        <f>IFERROR(__xludf.DUMMYFUNCTION("""COMPUTED_VALUE"""),329.0)</f>
        <v>329</v>
      </c>
      <c r="B330" s="37" t="str">
        <f>IFERROR(__xludf.DUMMYFUNCTION("""COMPUTED_VALUE"""),"SAFINA NUR AULIA WAHIDA")</f>
        <v>SAFINA NUR AULIA WAHIDA</v>
      </c>
      <c r="C330" s="38">
        <f>IFERROR(__xludf.DUMMYFUNCTION("""COMPUTED_VALUE"""),2.025070465E9)</f>
        <v>2025070465</v>
      </c>
      <c r="D330" s="37" t="str">
        <f>IFERROR(__xludf.DUMMYFUNCTION("""COMPUTED_VALUE"""),"MUHAMMAD SYAIFUL MUNIR")</f>
        <v>MUHAMMAD SYAIFUL MUNIR</v>
      </c>
      <c r="E330" s="37" t="str">
        <f>IFERROR(__xludf.DUMMYFUNCTION("""COMPUTED_VALUE"""),"INARIYATI")</f>
        <v>INARIYATI</v>
      </c>
      <c r="F330" s="37" t="str">
        <f>IFERROR(__xludf.DUMMYFUNCTION("""COMPUTED_VALUE"""),"WONOKERTO RT 014 RW 003 DUKUN GRESIK")</f>
        <v>WONOKERTO RT 014 RW 003 DUKUN GRESIK</v>
      </c>
      <c r="G330" s="39" t="str">
        <f>IFERROR(__xludf.DUMMYFUNCTION("""COMPUTED_VALUE"""),"SMK-XI TKJ 1")</f>
        <v>SMK-XI TKJ 1</v>
      </c>
      <c r="H330" s="36" t="str">
        <f>IFERROR(__xludf.DUMMYFUNCTION("""COMPUTED_VALUE"""),"F")</f>
        <v>F</v>
      </c>
      <c r="I330" s="40" t="str">
        <f>IFERROR(__xludf.DUMMYFUNCTION("""COMPUTED_VALUE"""),"F-2")</f>
        <v>F-2</v>
      </c>
      <c r="J330" s="40">
        <f>IFERROR(__xludf.DUMMYFUNCTION("""COMPUTED_VALUE"""),2.0)</f>
        <v>2</v>
      </c>
      <c r="K330" s="40" t="str">
        <f>IFERROR(__xludf.DUMMYFUNCTION("""COMPUTED_VALUE"""),"2 WUSTHO A PUTRI")</f>
        <v>2 WUSTHO A PUTRI</v>
      </c>
      <c r="L330" s="41" t="str">
        <f>IFERROR(__xludf.DUMMYFUNCTION("""COMPUTED_VALUE"""),"6281329978580")</f>
        <v>6281329978580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3"/>
      <c r="AC330" s="42"/>
      <c r="AD330" s="42"/>
      <c r="AE330" s="43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3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IFERROR(__xludf.DUMMYFUNCTION("""COMPUTED_VALUE"""),0.0)</f>
        <v>0</v>
      </c>
      <c r="BE330" s="43">
        <f>IFERROR(__xludf.DUMMYFUNCTION("""COMPUTED_VALUE"""),0.0)</f>
        <v>0</v>
      </c>
      <c r="BF330" s="44">
        <f>IFERROR(__xludf.DUMMYFUNCTION("""COMPUTED_VALUE"""),0.0)</f>
        <v>0</v>
      </c>
      <c r="BG330" s="42"/>
      <c r="BH330" s="42"/>
      <c r="BI330" s="42"/>
      <c r="BJ330" s="45"/>
      <c r="BK330" s="45"/>
      <c r="BL330" s="45"/>
      <c r="BM330" s="45"/>
      <c r="BN330" s="45"/>
      <c r="BO330" s="46"/>
    </row>
    <row r="331">
      <c r="A331" s="47">
        <f>IFERROR(__xludf.DUMMYFUNCTION("""COMPUTED_VALUE"""),330.0)</f>
        <v>330</v>
      </c>
      <c r="B331" s="48" t="str">
        <f>IFERROR(__xludf.DUMMYFUNCTION("""COMPUTED_VALUE"""),"SALWA WARDATUL MISKIYAH")</f>
        <v>SALWA WARDATUL MISKIYAH</v>
      </c>
      <c r="C331" s="49">
        <f>IFERROR(__xludf.DUMMYFUNCTION("""COMPUTED_VALUE"""),2.02507043E9)</f>
        <v>2025070430</v>
      </c>
      <c r="D331" s="48" t="str">
        <f>IFERROR(__xludf.DUMMYFUNCTION("""COMPUTED_VALUE"""),"H. MASHARI")</f>
        <v>H. MASHARI</v>
      </c>
      <c r="E331" s="48" t="str">
        <f>IFERROR(__xludf.DUMMYFUNCTION("""COMPUTED_VALUE"""),"HJ. MUCHOLIFAH")</f>
        <v>HJ. MUCHOLIFAH</v>
      </c>
      <c r="F331" s="48" t="str">
        <f>IFERROR(__xludf.DUMMYFUNCTION("""COMPUTED_VALUE"""),"DORO KARANGWEDORO RT 004 RW 002 TURI LAMONGAN")</f>
        <v>DORO KARANGWEDORO RT 004 RW 002 TURI LAMONGAN</v>
      </c>
      <c r="G331" s="50" t="str">
        <f>IFERROR(__xludf.DUMMYFUNCTION("""COMPUTED_VALUE"""),"SMK-XI TKJ 2")</f>
        <v>SMK-XI TKJ 2</v>
      </c>
      <c r="H331" s="47" t="str">
        <f>IFERROR(__xludf.DUMMYFUNCTION("""COMPUTED_VALUE"""),"F")</f>
        <v>F</v>
      </c>
      <c r="I331" s="51" t="str">
        <f>IFERROR(__xludf.DUMMYFUNCTION("""COMPUTED_VALUE"""),"F-2")</f>
        <v>F-2</v>
      </c>
      <c r="J331" s="51">
        <f>IFERROR(__xludf.DUMMYFUNCTION("""COMPUTED_VALUE"""),2.0)</f>
        <v>2</v>
      </c>
      <c r="K331" s="51" t="str">
        <f>IFERROR(__xludf.DUMMYFUNCTION("""COMPUTED_VALUE"""),"2 WUSTHO B PUTRI")</f>
        <v>2 WUSTHO B PUTRI</v>
      </c>
      <c r="L331" s="52" t="str">
        <f>IFERROR(__xludf.DUMMYFUNCTION("""COMPUTED_VALUE"""),"6285732833427")</f>
        <v>6285732833427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>
        <f>IFERROR(__xludf.DUMMYFUNCTION("""COMPUTED_VALUE"""),450000.0)</f>
        <v>450000</v>
      </c>
      <c r="AA331" s="53"/>
      <c r="AB331" s="53"/>
      <c r="AC331" s="53"/>
      <c r="AD331" s="53"/>
      <c r="AE331" s="54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IFERROR(__xludf.DUMMYFUNCTION("""COMPUTED_VALUE"""),450000.0)</f>
        <v>450000</v>
      </c>
      <c r="BD331" s="54">
        <f>IFERROR(__xludf.DUMMYFUNCTION("""COMPUTED_VALUE"""),0.0)</f>
        <v>0</v>
      </c>
      <c r="BE331" s="54">
        <f>IFERROR(__xludf.DUMMYFUNCTION("""COMPUTED_VALUE"""),0.0)</f>
        <v>0</v>
      </c>
      <c r="BF331" s="55">
        <f>IFERROR(__xludf.DUMMYFUNCTION("""COMPUTED_VALUE"""),450000.0)</f>
        <v>450000</v>
      </c>
      <c r="BG331" s="53"/>
      <c r="BH331" s="53"/>
      <c r="BI331" s="53"/>
      <c r="BJ331" s="45"/>
      <c r="BK331" s="45"/>
      <c r="BL331" s="45"/>
      <c r="BM331" s="45"/>
      <c r="BN331" s="45"/>
      <c r="BO331" s="46"/>
    </row>
    <row r="332">
      <c r="A332" s="36">
        <f>IFERROR(__xludf.DUMMYFUNCTION("""COMPUTED_VALUE"""),331.0)</f>
        <v>331</v>
      </c>
      <c r="B332" s="37" t="str">
        <f>IFERROR(__xludf.DUMMYFUNCTION("""COMPUTED_VALUE"""),"TIFLAH HANIFAH ARSITA")</f>
        <v>TIFLAH HANIFAH ARSITA</v>
      </c>
      <c r="C332" s="38">
        <f>IFERROR(__xludf.DUMMYFUNCTION("""COMPUTED_VALUE"""),2.025070444E9)</f>
        <v>2025070444</v>
      </c>
      <c r="D332" s="37" t="str">
        <f>IFERROR(__xludf.DUMMYFUNCTION("""COMPUTED_VALUE"""),"SUBANDI")</f>
        <v>SUBANDI</v>
      </c>
      <c r="E332" s="37" t="str">
        <f>IFERROR(__xludf.DUMMYFUNCTION("""COMPUTED_VALUE"""),"ARLIYAH")</f>
        <v>ARLIYAH</v>
      </c>
      <c r="F332" s="37" t="str">
        <f>IFERROR(__xludf.DUMMYFUNCTION("""COMPUTED_VALUE"""),"PRIJEK PRIJEKNGABLAG RT 003 RW 001 KARANGGENENG LAMONGAN")</f>
        <v>PRIJEK PRIJEKNGABLAG RT 003 RW 001 KARANGGENENG LAMONGAN</v>
      </c>
      <c r="G332" s="39" t="str">
        <f>IFERROR(__xludf.DUMMYFUNCTION("""COMPUTED_VALUE"""),"SMK-XI BD")</f>
        <v>SMK-XI BD</v>
      </c>
      <c r="H332" s="36" t="str">
        <f>IFERROR(__xludf.DUMMYFUNCTION("""COMPUTED_VALUE"""),"F")</f>
        <v>F</v>
      </c>
      <c r="I332" s="40" t="str">
        <f>IFERROR(__xludf.DUMMYFUNCTION("""COMPUTED_VALUE"""),"F-2")</f>
        <v>F-2</v>
      </c>
      <c r="J332" s="40">
        <f>IFERROR(__xludf.DUMMYFUNCTION("""COMPUTED_VALUE"""),2.0)</f>
        <v>2</v>
      </c>
      <c r="K332" s="40" t="str">
        <f>IFERROR(__xludf.DUMMYFUNCTION("""COMPUTED_VALUE"""),"2 WUSTHO B PUTRI")</f>
        <v>2 WUSTHO B PUTRI</v>
      </c>
      <c r="L332" s="41" t="str">
        <f>IFERROR(__xludf.DUMMYFUNCTION("""COMPUTED_VALUE"""),"6281316684664")</f>
        <v>6281316684664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3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3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42"/>
      <c r="BH332" s="42"/>
      <c r="BI332" s="42"/>
      <c r="BJ332" s="45"/>
      <c r="BK332" s="45"/>
      <c r="BL332" s="45"/>
      <c r="BM332" s="45"/>
      <c r="BN332" s="45"/>
      <c r="BO332" s="46"/>
    </row>
    <row r="333">
      <c r="A333" s="47">
        <f>IFERROR(__xludf.DUMMYFUNCTION("""COMPUTED_VALUE"""),332.0)</f>
        <v>332</v>
      </c>
      <c r="B333" s="48" t="str">
        <f>IFERROR(__xludf.DUMMYFUNCTION("""COMPUTED_VALUE"""),"WULAN FIRNANDA")</f>
        <v>WULAN FIRNANDA</v>
      </c>
      <c r="C333" s="49">
        <f>IFERROR(__xludf.DUMMYFUNCTION("""COMPUTED_VALUE"""),2.025070449E9)</f>
        <v>2025070449</v>
      </c>
      <c r="D333" s="48" t="str">
        <f>IFERROR(__xludf.DUMMYFUNCTION("""COMPUTED_VALUE"""),"SUUD")</f>
        <v>SUUD</v>
      </c>
      <c r="E333" s="48" t="str">
        <f>IFERROR(__xludf.DUMMYFUNCTION("""COMPUTED_VALUE"""),"ASRIYAH")</f>
        <v>ASRIYAH</v>
      </c>
      <c r="F333" s="48" t="str">
        <f>IFERROR(__xludf.DUMMYFUNCTION("""COMPUTED_VALUE"""),"BULANGAN RT 006 RW 002 DUKUN GRESIK")</f>
        <v>BULANGAN RT 006 RW 002 DUKUN GRESIK</v>
      </c>
      <c r="G333" s="50" t="str">
        <f>IFERROR(__xludf.DUMMYFUNCTION("""COMPUTED_VALUE"""),"SMK-XI BD")</f>
        <v>SMK-XI BD</v>
      </c>
      <c r="H333" s="47" t="str">
        <f>IFERROR(__xludf.DUMMYFUNCTION("""COMPUTED_VALUE"""),"F")</f>
        <v>F</v>
      </c>
      <c r="I333" s="51" t="str">
        <f>IFERROR(__xludf.DUMMYFUNCTION("""COMPUTED_VALUE"""),"F-2")</f>
        <v>F-2</v>
      </c>
      <c r="J333" s="51">
        <f>IFERROR(__xludf.DUMMYFUNCTION("""COMPUTED_VALUE"""),2.0)</f>
        <v>2</v>
      </c>
      <c r="K333" s="51" t="str">
        <f>IFERROR(__xludf.DUMMYFUNCTION("""COMPUTED_VALUE"""),"2 WUSTHO D PUTRI")</f>
        <v>2 WUSTHO D PUTRI</v>
      </c>
      <c r="L333" s="52" t="str">
        <f>IFERROR(__xludf.DUMMYFUNCTION("""COMPUTED_VALUE"""),"601160807199")</f>
        <v>601160807199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 t="str">
        <f>IFERROR(__xludf.DUMMYFUNCTION("""COMPUTED_VALUE"""),"              ")</f>
        <v>              </v>
      </c>
      <c r="AB333" s="54"/>
      <c r="AC333" s="53"/>
      <c r="AD333" s="54"/>
      <c r="AE333" s="54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4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IFERROR(__xludf.DUMMYFUNCTION("""COMPUTED_VALUE"""),0.0)</f>
        <v>0</v>
      </c>
      <c r="BE333" s="54" t="str">
        <f>IFERROR(__xludf.DUMMYFUNCTION("""COMPUTED_VALUE"""),"#VALUE!")</f>
        <v>#VALUE!</v>
      </c>
      <c r="BF333" s="55" t="str">
        <f>IFERROR(__xludf.DUMMYFUNCTION("""COMPUTED_VALUE"""),"#VALUE!")</f>
        <v>#VALUE!</v>
      </c>
      <c r="BG333" s="53"/>
      <c r="BH333" s="53"/>
      <c r="BI333" s="53"/>
      <c r="BJ333" s="45"/>
      <c r="BK333" s="45"/>
      <c r="BL333" s="45"/>
      <c r="BM333" s="45"/>
      <c r="BN333" s="45"/>
      <c r="BO333" s="46"/>
    </row>
    <row r="334">
      <c r="A334" s="36">
        <f>IFERROR(__xludf.DUMMYFUNCTION("""COMPUTED_VALUE"""),333.0)</f>
        <v>333</v>
      </c>
      <c r="B334" s="37" t="str">
        <f>IFERROR(__xludf.DUMMYFUNCTION("""COMPUTED_VALUE"""),"XENA AMEERA AZZAHRAH")</f>
        <v>XENA AMEERA AZZAHRAH</v>
      </c>
      <c r="C334" s="38">
        <f>IFERROR(__xludf.DUMMYFUNCTION("""COMPUTED_VALUE"""),2.025070109E9)</f>
        <v>2025070109</v>
      </c>
      <c r="D334" s="37" t="str">
        <f>IFERROR(__xludf.DUMMYFUNCTION("""COMPUTED_VALUE"""),"MARSUDI")</f>
        <v>MARSUDI</v>
      </c>
      <c r="E334" s="37" t="str">
        <f>IFERROR(__xludf.DUMMYFUNCTION("""COMPUTED_VALUE"""),"NUR AZIZAH")</f>
        <v>NUR AZIZAH</v>
      </c>
      <c r="F334" s="37" t="str">
        <f>IFERROR(__xludf.DUMMYFUNCTION("""COMPUTED_VALUE"""),"KALANGANYAR RT 002 RW 001 KARANGGENENG LAMONGAN")</f>
        <v>KALANGANYAR RT 002 RW 001 KARANGGENENG LAMONGAN</v>
      </c>
      <c r="G334" s="39" t="str">
        <f>IFERROR(__xludf.DUMMYFUNCTION("""COMPUTED_VALUE"""),"MA-XI.10")</f>
        <v>MA-XI.10</v>
      </c>
      <c r="H334" s="36" t="str">
        <f>IFERROR(__xludf.DUMMYFUNCTION("""COMPUTED_VALUE"""),"C")</f>
        <v>C</v>
      </c>
      <c r="I334" s="40" t="str">
        <f>IFERROR(__xludf.DUMMYFUNCTION("""COMPUTED_VALUE"""),"C-10")</f>
        <v>C-10</v>
      </c>
      <c r="J334" s="40">
        <f>IFERROR(__xludf.DUMMYFUNCTION("""COMPUTED_VALUE"""),2.0)</f>
        <v>2</v>
      </c>
      <c r="K334" s="40" t="str">
        <f>IFERROR(__xludf.DUMMYFUNCTION("""COMPUTED_VALUE"""),"2 WUSTHO A PUTRI")</f>
        <v>2 WUSTHO A PUTRI</v>
      </c>
      <c r="L334" s="41" t="str">
        <f>IFERROR(__xludf.DUMMYFUNCTION("""COMPUTED_VALUE"""),"6281554218940")</f>
        <v>6281554218940</v>
      </c>
      <c r="M334" s="43"/>
      <c r="N334" s="42"/>
      <c r="O334" s="42"/>
      <c r="P334" s="42"/>
      <c r="Q334" s="42"/>
      <c r="R334" s="42"/>
      <c r="S334" s="42"/>
      <c r="T334" s="42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3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IFERROR(__xludf.DUMMYFUNCTION("""COMPUTED_VALUE"""),0.0)</f>
        <v>0</v>
      </c>
      <c r="BE334" s="43">
        <f>IFERROR(__xludf.DUMMYFUNCTION("""COMPUTED_VALUE"""),0.0)</f>
        <v>0</v>
      </c>
      <c r="BF334" s="44">
        <f>IFERROR(__xludf.DUMMYFUNCTION("""COMPUTED_VALUE"""),0.0)</f>
        <v>0</v>
      </c>
      <c r="BG334" s="42"/>
      <c r="BH334" s="42"/>
      <c r="BI334" s="42"/>
      <c r="BJ334" s="45"/>
      <c r="BK334" s="45"/>
      <c r="BL334" s="45"/>
      <c r="BM334" s="45"/>
      <c r="BN334" s="45"/>
      <c r="BO334" s="46"/>
    </row>
    <row r="335">
      <c r="A335" s="47">
        <f>IFERROR(__xludf.DUMMYFUNCTION("""COMPUTED_VALUE"""),334.0)</f>
        <v>334</v>
      </c>
      <c r="B335" s="48" t="str">
        <f>IFERROR(__xludf.DUMMYFUNCTION("""COMPUTED_VALUE"""),"FRIKA AURORA NOVANI")</f>
        <v>FRIKA AURORA NOVANI</v>
      </c>
      <c r="C335" s="49">
        <f>IFERROR(__xludf.DUMMYFUNCTION("""COMPUTED_VALUE"""),2.025070117E9)</f>
        <v>2025070117</v>
      </c>
      <c r="D335" s="48" t="str">
        <f>IFERROR(__xludf.DUMMYFUNCTION("""COMPUTED_VALUE"""),"SUTIKNO")</f>
        <v>SUTIKNO</v>
      </c>
      <c r="E335" s="48" t="str">
        <f>IFERROR(__xludf.DUMMYFUNCTION("""COMPUTED_VALUE"""),"HANNY MUSTIKA")</f>
        <v>HANNY MUSTIKA</v>
      </c>
      <c r="F335" s="48" t="str">
        <f>IFERROR(__xludf.DUMMYFUNCTION("""COMPUTED_VALUE"""),"BALUN RT 003 RW 001 TURI LAMONGAN")</f>
        <v>BALUN RT 003 RW 001 TURI LAMONGAN</v>
      </c>
      <c r="G335" s="50" t="str">
        <f>IFERROR(__xludf.DUMMYFUNCTION("""COMPUTED_VALUE"""),"MA-XI.11")</f>
        <v>MA-XI.11</v>
      </c>
      <c r="H335" s="47" t="str">
        <f>IFERROR(__xludf.DUMMYFUNCTION("""COMPUTED_VALUE"""),"B")</f>
        <v>B</v>
      </c>
      <c r="I335" s="51" t="str">
        <f>IFERROR(__xludf.DUMMYFUNCTION("""COMPUTED_VALUE"""),"B-3")</f>
        <v>B-3</v>
      </c>
      <c r="J335" s="51">
        <f>IFERROR(__xludf.DUMMYFUNCTION("""COMPUTED_VALUE"""),2.0)</f>
        <v>2</v>
      </c>
      <c r="K335" s="51" t="str">
        <f>IFERROR(__xludf.DUMMYFUNCTION("""COMPUTED_VALUE"""),"2 WUSTHO C PUTRI")</f>
        <v>2 WUSTHO C PUTRI</v>
      </c>
      <c r="L335" s="52" t="str">
        <f>IFERROR(__xludf.DUMMYFUNCTION("""COMPUTED_VALUE"""),"6285855666978")</f>
        <v>6285855666978</v>
      </c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>
        <f>IFERROR(__xludf.DUMMYFUNCTION("""COMPUTED_VALUE"""),450000.0)</f>
        <v>450000</v>
      </c>
      <c r="AA335" s="54"/>
      <c r="AB335" s="54"/>
      <c r="AC335" s="54"/>
      <c r="AD335" s="54"/>
      <c r="AE335" s="54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4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IFERROR(__xludf.DUMMYFUNCTION("""COMPUTED_VALUE"""),450000.0)</f>
        <v>450000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IFERROR(__xludf.DUMMYFUNCTION("""COMPUTED_VALUE"""),450000.0)</f>
        <v>450000</v>
      </c>
      <c r="BG335" s="53"/>
      <c r="BH335" s="53"/>
      <c r="BI335" s="53"/>
      <c r="BJ335" s="45"/>
      <c r="BK335" s="45"/>
      <c r="BL335" s="45"/>
      <c r="BM335" s="45"/>
      <c r="BN335" s="45"/>
      <c r="BO335" s="46"/>
    </row>
    <row r="336">
      <c r="A336" s="36">
        <f>IFERROR(__xludf.DUMMYFUNCTION("""COMPUTED_VALUE"""),335.0)</f>
        <v>335</v>
      </c>
      <c r="B336" s="37" t="str">
        <f>IFERROR(__xludf.DUMMYFUNCTION("""COMPUTED_VALUE"""),"SHOHIFAH")</f>
        <v>SHOHIFAH</v>
      </c>
      <c r="C336" s="38">
        <f>IFERROR(__xludf.DUMMYFUNCTION("""COMPUTED_VALUE"""),2.02507042E9)</f>
        <v>2025070420</v>
      </c>
      <c r="D336" s="37" t="str">
        <f>IFERROR(__xludf.DUMMYFUNCTION("""COMPUTED_VALUE"""),"MUDLOFIR")</f>
        <v>MUDLOFIR</v>
      </c>
      <c r="E336" s="37" t="str">
        <f>IFERROR(__xludf.DUMMYFUNCTION("""COMPUTED_VALUE"""),"ZAIDAH")</f>
        <v>ZAIDAH</v>
      </c>
      <c r="F336" s="37" t="str">
        <f>IFERROR(__xludf.DUMMYFUNCTION("""COMPUTED_VALUE"""),"POMAHANJANGGAN RT 007 RW 003 TURI LAMONGAN")</f>
        <v>POMAHANJANGGAN RT 007 RW 003 TURI LAMONGAN</v>
      </c>
      <c r="G336" s="39" t="str">
        <f>IFERROR(__xludf.DUMMYFUNCTION("""COMPUTED_VALUE"""),"MA-XI.11")</f>
        <v>MA-XI.11</v>
      </c>
      <c r="H336" s="36" t="str">
        <f>IFERROR(__xludf.DUMMYFUNCTION("""COMPUTED_VALUE"""),"D")</f>
        <v>D</v>
      </c>
      <c r="I336" s="40" t="str">
        <f>IFERROR(__xludf.DUMMYFUNCTION("""COMPUTED_VALUE"""),"D-8")</f>
        <v>D-8</v>
      </c>
      <c r="J336" s="40">
        <f>IFERROR(__xludf.DUMMYFUNCTION("""COMPUTED_VALUE"""),2.0)</f>
        <v>2</v>
      </c>
      <c r="K336" s="40" t="str">
        <f>IFERROR(__xludf.DUMMYFUNCTION("""COMPUTED_VALUE"""),"2 WUSTHO D PUTRI")</f>
        <v>2 WUSTHO D PUTRI</v>
      </c>
      <c r="L336" s="41" t="str">
        <f>IFERROR(__xludf.DUMMYFUNCTION("""COMPUTED_VALUE"""),"628139398016")</f>
        <v>628139398016</v>
      </c>
      <c r="M336" s="42">
        <f>IFERROR(__xludf.DUMMYFUNCTION("""COMPUTED_VALUE"""),600000.0)</f>
        <v>600000</v>
      </c>
      <c r="N336" s="42"/>
      <c r="O336" s="42"/>
      <c r="P336" s="42"/>
      <c r="Q336" s="42"/>
      <c r="R336" s="42"/>
      <c r="S336" s="42">
        <f>IFERROR(__xludf.DUMMYFUNCTION("""COMPUTED_VALUE"""),450000.0)</f>
        <v>450000</v>
      </c>
      <c r="T336" s="42">
        <f>IFERROR(__xludf.DUMMYFUNCTION("""COMPUTED_VALUE"""),450000.0)</f>
        <v>450000</v>
      </c>
      <c r="U336" s="42">
        <f>IFERROR(__xludf.DUMMYFUNCTION("""COMPUTED_VALUE"""),450000.0)</f>
        <v>450000</v>
      </c>
      <c r="V336" s="42">
        <f>IFERROR(__xludf.DUMMYFUNCTION("""COMPUTED_VALUE"""),450000.0)</f>
        <v>450000</v>
      </c>
      <c r="W336" s="42">
        <f>IFERROR(__xludf.DUMMYFUNCTION("""COMPUTED_VALUE"""),450000.0)</f>
        <v>450000</v>
      </c>
      <c r="X336" s="42">
        <f>IFERROR(__xludf.DUMMYFUNCTION("""COMPUTED_VALUE"""),450000.0)</f>
        <v>450000</v>
      </c>
      <c r="Y336" s="42">
        <f>IFERROR(__xludf.DUMMYFUNCTION("""COMPUTED_VALUE"""),450000.0)</f>
        <v>450000</v>
      </c>
      <c r="Z336" s="42">
        <f>IFERROR(__xludf.DUMMYFUNCTION("""COMPUTED_VALUE"""),450000.0)</f>
        <v>450000</v>
      </c>
      <c r="AA336" s="42"/>
      <c r="AB336" s="43">
        <f>IFERROR(__xludf.DUMMYFUNCTION("""COMPUTED_VALUE"""),500000.0)</f>
        <v>500000</v>
      </c>
      <c r="AC336" s="42"/>
      <c r="AD336" s="42"/>
      <c r="AE336" s="43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3">
        <f>IFERROR(__xludf.DUMMYFUNCTION("""COMPUTED_VALUE"""),500000.0)</f>
        <v>500000</v>
      </c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IFERROR(__xludf.DUMMYFUNCTION("""COMPUTED_VALUE"""),3600000.0)</f>
        <v>3600000</v>
      </c>
      <c r="BD336" s="43">
        <f>IFERROR(__xludf.DUMMYFUNCTION("""COMPUTED_VALUE"""),1600000.0)</f>
        <v>1600000</v>
      </c>
      <c r="BE336" s="43">
        <f>IFERROR(__xludf.DUMMYFUNCTION("""COMPUTED_VALUE"""),0.0)</f>
        <v>0</v>
      </c>
      <c r="BF336" s="44">
        <f>IFERROR(__xludf.DUMMYFUNCTION("""COMPUTED_VALUE"""),5200000.0)</f>
        <v>5200000</v>
      </c>
      <c r="BG336" s="42"/>
      <c r="BH336" s="42"/>
      <c r="BI336" s="42"/>
      <c r="BJ336" s="45"/>
      <c r="BK336" s="45"/>
      <c r="BL336" s="45"/>
      <c r="BM336" s="45"/>
      <c r="BN336" s="45"/>
      <c r="BO336" s="46"/>
    </row>
    <row r="337">
      <c r="A337" s="47">
        <f>IFERROR(__xludf.DUMMYFUNCTION("""COMPUTED_VALUE"""),336.0)</f>
        <v>336</v>
      </c>
      <c r="B337" s="48" t="str">
        <f>IFERROR(__xludf.DUMMYFUNCTION("""COMPUTED_VALUE"""),"MOHAMMAD NAWANG NABIL AL FARISYI")</f>
        <v>MOHAMMAD NAWANG NABIL AL FARISYI</v>
      </c>
      <c r="C337" s="49">
        <f>IFERROR(__xludf.DUMMYFUNCTION("""COMPUTED_VALUE"""),2.025070257E9)</f>
        <v>2025070257</v>
      </c>
      <c r="D337" s="48" t="str">
        <f>IFERROR(__xludf.DUMMYFUNCTION("""COMPUTED_VALUE"""),"ROFIIL ISLAMIYAH")</f>
        <v>ROFIIL ISLAMIYAH</v>
      </c>
      <c r="E337" s="48" t="str">
        <f>IFERROR(__xludf.DUMMYFUNCTION("""COMPUTED_VALUE"""),"USWATUN HASANAH")</f>
        <v>USWATUN HASANAH</v>
      </c>
      <c r="F337" s="48" t="str">
        <f>IFERROR(__xludf.DUMMYFUNCTION("""COMPUTED_VALUE"""),"JL. RAYA SENTANI WAENA RT 002 RW 005 HERAM JAYAPURA")</f>
        <v>JL. RAYA SENTANI WAENA RT 002 RW 005 HERAM JAYAPURA</v>
      </c>
      <c r="G337" s="50" t="str">
        <f>IFERROR(__xludf.DUMMYFUNCTION("""COMPUTED_VALUE"""),"MA-XI.10")</f>
        <v>MA-XI.10</v>
      </c>
      <c r="H337" s="47" t="str">
        <f>IFERROR(__xludf.DUMMYFUNCTION("""COMPUTED_VALUE"""),"A")</f>
        <v>A</v>
      </c>
      <c r="I337" s="51" t="str">
        <f>IFERROR(__xludf.DUMMYFUNCTION("""COMPUTED_VALUE"""),"A-9")</f>
        <v>A-9</v>
      </c>
      <c r="J337" s="51">
        <f>IFERROR(__xludf.DUMMYFUNCTION("""COMPUTED_VALUE"""),2.0)</f>
        <v>2</v>
      </c>
      <c r="K337" s="51" t="str">
        <f>IFERROR(__xludf.DUMMYFUNCTION("""COMPUTED_VALUE"""),"2 WUSTHO B PUTRA")</f>
        <v>2 WUSTHO B PUTRA</v>
      </c>
      <c r="L337" s="52" t="str">
        <f>IFERROR(__xludf.DUMMYFUNCTION("""COMPUTED_VALUE"""),"6281248060403")</f>
        <v>6281248060403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4"/>
      <c r="AB337" s="53"/>
      <c r="AC337" s="53"/>
      <c r="AD337" s="54"/>
      <c r="AE337" s="54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4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IFERROR(__xludf.DUMMYFUNCTION("""COMPUTED_VALUE"""),0.0)</f>
        <v>0</v>
      </c>
      <c r="BD337" s="54">
        <f>IFERROR(__xludf.DUMMYFUNCTION("""COMPUTED_VALUE"""),0.0)</f>
        <v>0</v>
      </c>
      <c r="BE337" s="54">
        <f>IFERROR(__xludf.DUMMYFUNCTION("""COMPUTED_VALUE"""),0.0)</f>
        <v>0</v>
      </c>
      <c r="BF337" s="55">
        <f>IFERROR(__xludf.DUMMYFUNCTION("""COMPUTED_VALUE"""),0.0)</f>
        <v>0</v>
      </c>
      <c r="BG337" s="53"/>
      <c r="BH337" s="53"/>
      <c r="BI337" s="53"/>
      <c r="BJ337" s="45"/>
      <c r="BK337" s="45"/>
      <c r="BL337" s="45"/>
      <c r="BM337" s="45"/>
      <c r="BN337" s="45"/>
      <c r="BO337" s="46"/>
    </row>
    <row r="338">
      <c r="A338" s="36">
        <f>IFERROR(__xludf.DUMMYFUNCTION("""COMPUTED_VALUE"""),337.0)</f>
        <v>337</v>
      </c>
      <c r="B338" s="37" t="str">
        <f>IFERROR(__xludf.DUMMYFUNCTION("""COMPUTED_VALUE"""),"MUHAMMAD FAIZUL FAWWAZ")</f>
        <v>MUHAMMAD FAIZUL FAWWAZ</v>
      </c>
      <c r="C338" s="38">
        <f>IFERROR(__xludf.DUMMYFUNCTION("""COMPUTED_VALUE"""),2.025070202E9)</f>
        <v>2025070202</v>
      </c>
      <c r="D338" s="37" t="str">
        <f>IFERROR(__xludf.DUMMYFUNCTION("""COMPUTED_VALUE"""),"HARIYANTO")</f>
        <v>HARIYANTO</v>
      </c>
      <c r="E338" s="37" t="str">
        <f>IFERROR(__xludf.DUMMYFUNCTION("""COMPUTED_VALUE"""),"PANCASENO ANASWORO")</f>
        <v>PANCASENO ANASWORO</v>
      </c>
      <c r="F338" s="37" t="str">
        <f>IFERROR(__xludf.DUMMYFUNCTION("""COMPUTED_VALUE"""),"SUKOANYAR SIDOMUKTI RT 005 RW 002 KEMBANGBAHU LAMONGAN")</f>
        <v>SUKOANYAR SIDOMUKTI RT 005 RW 002 KEMBANGBAHU LAMONGAN</v>
      </c>
      <c r="G338" s="39" t="str">
        <f>IFERROR(__xludf.DUMMYFUNCTION("""COMPUTED_VALUE"""),"MA-XI.2")</f>
        <v>MA-XI.2</v>
      </c>
      <c r="H338" s="36" t="str">
        <f>IFERROR(__xludf.DUMMYFUNCTION("""COMPUTED_VALUE"""),"A")</f>
        <v>A</v>
      </c>
      <c r="I338" s="40" t="str">
        <f>IFERROR(__xludf.DUMMYFUNCTION("""COMPUTED_VALUE"""),"A-9")</f>
        <v>A-9</v>
      </c>
      <c r="J338" s="40">
        <f>IFERROR(__xludf.DUMMYFUNCTION("""COMPUTED_VALUE"""),2.0)</f>
        <v>2</v>
      </c>
      <c r="K338" s="40" t="str">
        <f>IFERROR(__xludf.DUMMYFUNCTION("""COMPUTED_VALUE"""),"2 WUSTHO B PUTRA")</f>
        <v>2 WUSTHO B PUTRA</v>
      </c>
      <c r="L338" s="41" t="str">
        <f>IFERROR(__xludf.DUMMYFUNCTION("""COMPUTED_VALUE"""),"6282245048774")</f>
        <v>6282245048774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3"/>
      <c r="AC338" s="42"/>
      <c r="AD338" s="42"/>
      <c r="AE338" s="43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3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IFERROR(__xludf.DUMMYFUNCTION("""COMPUTED_VALUE"""),0.0)</f>
        <v>0</v>
      </c>
      <c r="BE338" s="43">
        <f>IFERROR(__xludf.DUMMYFUNCTION("""COMPUTED_VALUE"""),0.0)</f>
        <v>0</v>
      </c>
      <c r="BF338" s="44">
        <f>IFERROR(__xludf.DUMMYFUNCTION("""COMPUTED_VALUE"""),0.0)</f>
        <v>0</v>
      </c>
      <c r="BG338" s="42"/>
      <c r="BH338" s="42"/>
      <c r="BI338" s="42"/>
      <c r="BJ338" s="45"/>
      <c r="BK338" s="45"/>
      <c r="BL338" s="45"/>
      <c r="BM338" s="45"/>
      <c r="BN338" s="45"/>
      <c r="BO338" s="46"/>
    </row>
    <row r="339">
      <c r="A339" s="47">
        <f>IFERROR(__xludf.DUMMYFUNCTION("""COMPUTED_VALUE"""),338.0)</f>
        <v>338</v>
      </c>
      <c r="B339" s="48" t="str">
        <f>IFERROR(__xludf.DUMMYFUNCTION("""COMPUTED_VALUE"""),"JALALUDDIN MUHAMMAD AKBAR")</f>
        <v>JALALUDDIN MUHAMMAD AKBAR</v>
      </c>
      <c r="C339" s="49">
        <f>IFERROR(__xludf.DUMMYFUNCTION("""COMPUTED_VALUE"""),2.02507001E9)</f>
        <v>2025070010</v>
      </c>
      <c r="D339" s="48" t="str">
        <f>IFERROR(__xludf.DUMMYFUNCTION("""COMPUTED_VALUE"""),"SUNARTO")</f>
        <v>SUNARTO</v>
      </c>
      <c r="E339" s="48" t="str">
        <f>IFERROR(__xludf.DUMMYFUNCTION("""COMPUTED_VALUE"""),"ELLI ISMAWATI")</f>
        <v>ELLI ISMAWATI</v>
      </c>
      <c r="F339" s="48" t="str">
        <f>IFERROR(__xludf.DUMMYFUNCTION("""COMPUTED_VALUE"""),"MEGARIH KEDUNGMEGARIH RT 007 RW 002 KEMBANGBAHU LAMONGAN")</f>
        <v>MEGARIH KEDUNGMEGARIH RT 007 RW 002 KEMBANGBAHU LAMONGAN</v>
      </c>
      <c r="G339" s="50" t="str">
        <f>IFERROR(__xludf.DUMMYFUNCTION("""COMPUTED_VALUE"""),"MA-XI.2")</f>
        <v>MA-XI.2</v>
      </c>
      <c r="H339" s="47" t="str">
        <f>IFERROR(__xludf.DUMMYFUNCTION("""COMPUTED_VALUE"""),"A")</f>
        <v>A</v>
      </c>
      <c r="I339" s="51" t="str">
        <f>IFERROR(__xludf.DUMMYFUNCTION("""COMPUTED_VALUE"""),"A-9")</f>
        <v>A-9</v>
      </c>
      <c r="J339" s="51">
        <f>IFERROR(__xludf.DUMMYFUNCTION("""COMPUTED_VALUE"""),2.0)</f>
        <v>2</v>
      </c>
      <c r="K339" s="51" t="str">
        <f>IFERROR(__xludf.DUMMYFUNCTION("""COMPUTED_VALUE"""),"2 WUSTHO A PUTRA")</f>
        <v>2 WUSTHO A PUTRA</v>
      </c>
      <c r="L339" s="52" t="str">
        <f>IFERROR(__xludf.DUMMYFUNCTION("""COMPUTED_VALUE"""),"6285707911232")</f>
        <v>6285707911232</v>
      </c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4"/>
      <c r="AC339" s="53"/>
      <c r="AD339" s="53"/>
      <c r="AE339" s="54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4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IFERROR(__xludf.DUMMYFUNCTION("""COMPUTED_VALUE"""),0.0)</f>
        <v>0</v>
      </c>
      <c r="BD339" s="54">
        <f>IFERROR(__xludf.DUMMYFUNCTION("""COMPUTED_VALUE"""),0.0)</f>
        <v>0</v>
      </c>
      <c r="BE339" s="54">
        <f>IFERROR(__xludf.DUMMYFUNCTION("""COMPUTED_VALUE"""),0.0)</f>
        <v>0</v>
      </c>
      <c r="BF339" s="55">
        <f>IFERROR(__xludf.DUMMYFUNCTION("""COMPUTED_VALUE"""),0.0)</f>
        <v>0</v>
      </c>
      <c r="BG339" s="53"/>
      <c r="BH339" s="53"/>
      <c r="BI339" s="53"/>
      <c r="BJ339" s="45"/>
      <c r="BK339" s="45"/>
      <c r="BL339" s="45"/>
      <c r="BM339" s="45"/>
      <c r="BN339" s="45"/>
      <c r="BO339" s="46"/>
    </row>
    <row r="340">
      <c r="A340" s="36">
        <f>IFERROR(__xludf.DUMMYFUNCTION("""COMPUTED_VALUE"""),339.0)</f>
        <v>339</v>
      </c>
      <c r="B340" s="37" t="str">
        <f>IFERROR(__xludf.DUMMYFUNCTION("""COMPUTED_VALUE"""),"MUHAMMAD `AAQIL SIROJUL MUNIR")</f>
        <v>MUHAMMAD `AAQIL SIROJUL MUNIR</v>
      </c>
      <c r="C340" s="38">
        <f>IFERROR(__xludf.DUMMYFUNCTION("""COMPUTED_VALUE"""),2.025070175E9)</f>
        <v>2025070175</v>
      </c>
      <c r="D340" s="37" t="str">
        <f>IFERROR(__xludf.DUMMYFUNCTION("""COMPUTED_VALUE"""),"IMAM SYA`RONI")</f>
        <v>IMAM SYA`RONI</v>
      </c>
      <c r="E340" s="37" t="str">
        <f>IFERROR(__xludf.DUMMYFUNCTION("""COMPUTED_VALUE"""),"PUJI ASIYAH")</f>
        <v>PUJI ASIYAH</v>
      </c>
      <c r="F340" s="37" t="str">
        <f>IFERROR(__xludf.DUMMYFUNCTION("""COMPUTED_VALUE"""),"KALANGANYAR RT 005 RW 001 KARANGGENENG LAMONGAN")</f>
        <v>KALANGANYAR RT 005 RW 001 KARANGGENENG LAMONGAN</v>
      </c>
      <c r="G340" s="39" t="str">
        <f>IFERROR(__xludf.DUMMYFUNCTION("""COMPUTED_VALUE"""),"MA-XI.4")</f>
        <v>MA-XI.4</v>
      </c>
      <c r="H340" s="36" t="str">
        <f>IFERROR(__xludf.DUMMYFUNCTION("""COMPUTED_VALUE"""),"A")</f>
        <v>A</v>
      </c>
      <c r="I340" s="40" t="str">
        <f>IFERROR(__xludf.DUMMYFUNCTION("""COMPUTED_VALUE"""),"A-9")</f>
        <v>A-9</v>
      </c>
      <c r="J340" s="40">
        <f>IFERROR(__xludf.DUMMYFUNCTION("""COMPUTED_VALUE"""),2.0)</f>
        <v>2</v>
      </c>
      <c r="K340" s="40" t="str">
        <f>IFERROR(__xludf.DUMMYFUNCTION("""COMPUTED_VALUE"""),"2 WUSTHO B PUTRA")</f>
        <v>2 WUSTHO B PUTRA</v>
      </c>
      <c r="L340" s="41" t="str">
        <f>IFERROR(__xludf.DUMMYFUNCTION("""COMPUTED_VALUE"""),"6285730289577")</f>
        <v>6285730289577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3"/>
      <c r="AC340" s="42"/>
      <c r="AD340" s="43"/>
      <c r="AE340" s="43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3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IFERROR(__xludf.DUMMYFUNCTION("""COMPUTED_VALUE"""),0.0)</f>
        <v>0</v>
      </c>
      <c r="BE340" s="43">
        <f>IFERROR(__xludf.DUMMYFUNCTION("""COMPUTED_VALUE"""),0.0)</f>
        <v>0</v>
      </c>
      <c r="BF340" s="44">
        <f>IFERROR(__xludf.DUMMYFUNCTION("""COMPUTED_VALUE"""),0.0)</f>
        <v>0</v>
      </c>
      <c r="BG340" s="42"/>
      <c r="BH340" s="42"/>
      <c r="BI340" s="42"/>
      <c r="BJ340" s="45"/>
      <c r="BK340" s="45"/>
      <c r="BL340" s="45"/>
      <c r="BM340" s="45"/>
      <c r="BN340" s="45"/>
      <c r="BO340" s="46"/>
    </row>
    <row r="341">
      <c r="A341" s="47">
        <f>IFERROR(__xludf.DUMMYFUNCTION("""COMPUTED_VALUE"""),340.0)</f>
        <v>340</v>
      </c>
      <c r="B341" s="48" t="str">
        <f>IFERROR(__xludf.DUMMYFUNCTION("""COMPUTED_VALUE"""),"MUHAMMAD AINUR DZIKRY")</f>
        <v>MUHAMMAD AINUR DZIKRY</v>
      </c>
      <c r="C341" s="49">
        <f>IFERROR(__xludf.DUMMYFUNCTION("""COMPUTED_VALUE"""),2.025070089E9)</f>
        <v>2025070089</v>
      </c>
      <c r="D341" s="48" t="str">
        <f>IFERROR(__xludf.DUMMYFUNCTION("""COMPUTED_VALUE"""),"SUJONO")</f>
        <v>SUJONO</v>
      </c>
      <c r="E341" s="48" t="str">
        <f>IFERROR(__xludf.DUMMYFUNCTION("""COMPUTED_VALUE"""),"NIKMATUS SOLIKHA")</f>
        <v>NIKMATUS SOLIKHA</v>
      </c>
      <c r="F341" s="48" t="str">
        <f>IFERROR(__xludf.DUMMYFUNCTION("""COMPUTED_VALUE"""),"PENGANGSALAN RT 003 RW 003 KALITENGAH LAMONGAN")</f>
        <v>PENGANGSALAN RT 003 RW 003 KALITENGAH LAMONGAN</v>
      </c>
      <c r="G341" s="50" t="str">
        <f>IFERROR(__xludf.DUMMYFUNCTION("""COMPUTED_VALUE"""),"MA-XI.2")</f>
        <v>MA-XI.2</v>
      </c>
      <c r="H341" s="47" t="str">
        <f>IFERROR(__xludf.DUMMYFUNCTION("""COMPUTED_VALUE"""),"A")</f>
        <v>A</v>
      </c>
      <c r="I341" s="51" t="str">
        <f>IFERROR(__xludf.DUMMYFUNCTION("""COMPUTED_VALUE"""),"A-9")</f>
        <v>A-9</v>
      </c>
      <c r="J341" s="51">
        <f>IFERROR(__xludf.DUMMYFUNCTION("""COMPUTED_VALUE"""),2.0)</f>
        <v>2</v>
      </c>
      <c r="K341" s="51" t="str">
        <f>IFERROR(__xludf.DUMMYFUNCTION("""COMPUTED_VALUE"""),"2 WUSTHO B PUTRA")</f>
        <v>2 WUSTHO B PUTRA</v>
      </c>
      <c r="L341" s="52" t="str">
        <f>IFERROR(__xludf.DUMMYFUNCTION("""COMPUTED_VALUE"""),"6285648107918")</f>
        <v>6285648107918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4"/>
      <c r="AC341" s="53"/>
      <c r="AD341" s="53"/>
      <c r="AE341" s="54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4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IFERROR(__xludf.DUMMYFUNCTION("""COMPUTED_VALUE"""),0.0)</f>
        <v>0</v>
      </c>
      <c r="BD341" s="54">
        <f>IFERROR(__xludf.DUMMYFUNCTION("""COMPUTED_VALUE"""),0.0)</f>
        <v>0</v>
      </c>
      <c r="BE341" s="54">
        <f>IFERROR(__xludf.DUMMYFUNCTION("""COMPUTED_VALUE"""),0.0)</f>
        <v>0</v>
      </c>
      <c r="BF341" s="55">
        <f>IFERROR(__xludf.DUMMYFUNCTION("""COMPUTED_VALUE"""),0.0)</f>
        <v>0</v>
      </c>
      <c r="BG341" s="53"/>
      <c r="BH341" s="53"/>
      <c r="BI341" s="53"/>
      <c r="BJ341" s="45"/>
      <c r="BK341" s="45"/>
      <c r="BL341" s="45"/>
      <c r="BM341" s="45"/>
      <c r="BN341" s="45"/>
      <c r="BO341" s="46"/>
    </row>
    <row r="342">
      <c r="A342" s="36">
        <f>IFERROR(__xludf.DUMMYFUNCTION("""COMPUTED_VALUE"""),341.0)</f>
        <v>341</v>
      </c>
      <c r="B342" s="37" t="str">
        <f>IFERROR(__xludf.DUMMYFUNCTION("""COMPUTED_VALUE"""),"NABIL ZAKWAN ALZENA")</f>
        <v>NABIL ZAKWAN ALZENA</v>
      </c>
      <c r="C342" s="38">
        <f>IFERROR(__xludf.DUMMYFUNCTION("""COMPUTED_VALUE"""),2.025070144E9)</f>
        <v>2025070144</v>
      </c>
      <c r="D342" s="37" t="str">
        <f>IFERROR(__xludf.DUMMYFUNCTION("""COMPUTED_VALUE"""),"SUPRAPTO")</f>
        <v>SUPRAPTO</v>
      </c>
      <c r="E342" s="37" t="str">
        <f>IFERROR(__xludf.DUMMYFUNCTION("""COMPUTED_VALUE"""),"ZUMROTUS SHOLIHAH")</f>
        <v>ZUMROTUS SHOLIHAH</v>
      </c>
      <c r="F342" s="37" t="str">
        <f>IFERROR(__xludf.DUMMYFUNCTION("""COMPUTED_VALUE"""),"NGAYUNG RT 008 RW 001 MADURAN LAMONGAN")</f>
        <v>NGAYUNG RT 008 RW 001 MADURAN LAMONGAN</v>
      </c>
      <c r="G342" s="39" t="str">
        <f>IFERROR(__xludf.DUMMYFUNCTION("""COMPUTED_VALUE"""),"MA-XI.5")</f>
        <v>MA-XI.5</v>
      </c>
      <c r="H342" s="36" t="str">
        <f>IFERROR(__xludf.DUMMYFUNCTION("""COMPUTED_VALUE"""),"A")</f>
        <v>A</v>
      </c>
      <c r="I342" s="40" t="str">
        <f>IFERROR(__xludf.DUMMYFUNCTION("""COMPUTED_VALUE"""),"A-9")</f>
        <v>A-9</v>
      </c>
      <c r="J342" s="40">
        <f>IFERROR(__xludf.DUMMYFUNCTION("""COMPUTED_VALUE"""),2.0)</f>
        <v>2</v>
      </c>
      <c r="K342" s="40" t="str">
        <f>IFERROR(__xludf.DUMMYFUNCTION("""COMPUTED_VALUE"""),"2 WUSTHO B PUTRA")</f>
        <v>2 WUSTHO B PUTRA</v>
      </c>
      <c r="L342" s="41" t="str">
        <f>IFERROR(__xludf.DUMMYFUNCTION("""COMPUTED_VALUE"""),"6285785323818")</f>
        <v>6285785323818</v>
      </c>
      <c r="M342" s="42"/>
      <c r="N342" s="42"/>
      <c r="O342" s="42"/>
      <c r="P342" s="42"/>
      <c r="Q342" s="42"/>
      <c r="R342" s="42"/>
      <c r="S342" s="42"/>
      <c r="T342" s="42"/>
      <c r="U342" s="42">
        <f>IFERROR(__xludf.DUMMYFUNCTION("""COMPUTED_VALUE"""),450000.0)</f>
        <v>450000</v>
      </c>
      <c r="V342" s="42">
        <f>IFERROR(__xludf.DUMMYFUNCTION("""COMPUTED_VALUE"""),450000.0)</f>
        <v>450000</v>
      </c>
      <c r="W342" s="42">
        <f>IFERROR(__xludf.DUMMYFUNCTION("""COMPUTED_VALUE"""),450000.0)</f>
        <v>450000</v>
      </c>
      <c r="X342" s="42">
        <f>IFERROR(__xludf.DUMMYFUNCTION("""COMPUTED_VALUE"""),450000.0)</f>
        <v>450000</v>
      </c>
      <c r="Y342" s="42">
        <f>IFERROR(__xludf.DUMMYFUNCTION("""COMPUTED_VALUE"""),450000.0)</f>
        <v>450000</v>
      </c>
      <c r="Z342" s="42">
        <f>IFERROR(__xludf.DUMMYFUNCTION("""COMPUTED_VALUE"""),450000.0)</f>
        <v>450000</v>
      </c>
      <c r="AA342" s="43"/>
      <c r="AB342" s="43"/>
      <c r="AC342" s="43"/>
      <c r="AD342" s="43"/>
      <c r="AE342" s="43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3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IFERROR(__xludf.DUMMYFUNCTION("""COMPUTED_VALUE"""),2700000.0)</f>
        <v>2700000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IFERROR(__xludf.DUMMYFUNCTION("""COMPUTED_VALUE"""),2700000.0)</f>
        <v>2700000</v>
      </c>
      <c r="BG342" s="42"/>
      <c r="BH342" s="42"/>
      <c r="BI342" s="42"/>
      <c r="BJ342" s="45"/>
      <c r="BK342" s="45"/>
      <c r="BL342" s="45"/>
      <c r="BM342" s="45"/>
      <c r="BN342" s="45"/>
      <c r="BO342" s="46"/>
    </row>
    <row r="343">
      <c r="A343" s="47">
        <f>IFERROR(__xludf.DUMMYFUNCTION("""COMPUTED_VALUE"""),342.0)</f>
        <v>342</v>
      </c>
      <c r="B343" s="48" t="str">
        <f>IFERROR(__xludf.DUMMYFUNCTION("""COMPUTED_VALUE"""),"EMILDA KRISTIANA DWI RAMADHANI")</f>
        <v>EMILDA KRISTIANA DWI RAMADHANI</v>
      </c>
      <c r="C343" s="49">
        <f>IFERROR(__xludf.DUMMYFUNCTION("""COMPUTED_VALUE"""),2.025070231E9)</f>
        <v>2025070231</v>
      </c>
      <c r="D343" s="48" t="str">
        <f>IFERROR(__xludf.DUMMYFUNCTION("""COMPUTED_VALUE"""),"MUNTARI")</f>
        <v>MUNTARI</v>
      </c>
      <c r="E343" s="48" t="str">
        <f>IFERROR(__xludf.DUMMYFUNCTION("""COMPUTED_VALUE"""),"ASMAIYA")</f>
        <v>ASMAIYA</v>
      </c>
      <c r="F343" s="48" t="str">
        <f>IFERROR(__xludf.DUMMYFUNCTION("""COMPUTED_VALUE"""),"TURI RT 011 RW 001 TURI LAMONGAN")</f>
        <v>TURI RT 011 RW 001 TURI LAMONGAN</v>
      </c>
      <c r="G343" s="50" t="str">
        <f>IFERROR(__xludf.DUMMYFUNCTION("""COMPUTED_VALUE"""),"MA-XI.12")</f>
        <v>MA-XI.12</v>
      </c>
      <c r="H343" s="47" t="str">
        <f>IFERROR(__xludf.DUMMYFUNCTION("""COMPUTED_VALUE"""),"C")</f>
        <v>C</v>
      </c>
      <c r="I343" s="51" t="str">
        <f>IFERROR(__xludf.DUMMYFUNCTION("""COMPUTED_VALUE"""),"C-6")</f>
        <v>C-6</v>
      </c>
      <c r="J343" s="51">
        <f>IFERROR(__xludf.DUMMYFUNCTION("""COMPUTED_VALUE"""),2.0)</f>
        <v>2</v>
      </c>
      <c r="K343" s="51" t="str">
        <f>IFERROR(__xludf.DUMMYFUNCTION("""COMPUTED_VALUE"""),"2 WUSTHO D PUTRI")</f>
        <v>2 WUSTHO D PUTRI</v>
      </c>
      <c r="L343" s="52" t="str">
        <f>IFERROR(__xludf.DUMMYFUNCTION("""COMPUTED_VALUE"""),"6281239188019")</f>
        <v>6281239188019</v>
      </c>
      <c r="M343" s="53"/>
      <c r="N343" s="53">
        <f>IFERROR(__xludf.DUMMYFUNCTION("""COMPUTED_VALUE"""),200000.0)</f>
        <v>200000</v>
      </c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>
        <f>IFERROR(__xludf.DUMMYFUNCTION("""COMPUTED_VALUE"""),450000.0)</f>
        <v>450000</v>
      </c>
      <c r="Z343" s="53">
        <f>IFERROR(__xludf.DUMMYFUNCTION("""COMPUTED_VALUE"""),450000.0)</f>
        <v>450000</v>
      </c>
      <c r="AA343" s="53"/>
      <c r="AB343" s="54"/>
      <c r="AC343" s="53"/>
      <c r="AD343" s="53"/>
      <c r="AE343" s="54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4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IFERROR(__xludf.DUMMYFUNCTION("""COMPUTED_VALUE"""),900000.0)</f>
        <v>900000</v>
      </c>
      <c r="BD343" s="54">
        <f>IFERROR(__xludf.DUMMYFUNCTION("""COMPUTED_VALUE"""),0.0)</f>
        <v>0</v>
      </c>
      <c r="BE343" s="54">
        <f>IFERROR(__xludf.DUMMYFUNCTION("""COMPUTED_VALUE"""),0.0)</f>
        <v>0</v>
      </c>
      <c r="BF343" s="55">
        <f>IFERROR(__xludf.DUMMYFUNCTION("""COMPUTED_VALUE"""),900000.0)</f>
        <v>900000</v>
      </c>
      <c r="BG343" s="53"/>
      <c r="BH343" s="53"/>
      <c r="BI343" s="53"/>
      <c r="BJ343" s="45"/>
      <c r="BK343" s="45"/>
      <c r="BL343" s="45"/>
      <c r="BM343" s="45"/>
      <c r="BN343" s="45"/>
      <c r="BO343" s="46"/>
    </row>
    <row r="344">
      <c r="A344" s="36">
        <f>IFERROR(__xludf.DUMMYFUNCTION("""COMPUTED_VALUE"""),343.0)</f>
        <v>343</v>
      </c>
      <c r="B344" s="37" t="str">
        <f>IFERROR(__xludf.DUMMYFUNCTION("""COMPUTED_VALUE"""),"ZAHROTUS SHOFA SYAWALIYAH")</f>
        <v>ZAHROTUS SHOFA SYAWALIYAH</v>
      </c>
      <c r="C344" s="38">
        <f>IFERROR(__xludf.DUMMYFUNCTION("""COMPUTED_VALUE"""),2.025070373E9)</f>
        <v>2025070373</v>
      </c>
      <c r="D344" s="37" t="str">
        <f>IFERROR(__xludf.DUMMYFUNCTION("""COMPUTED_VALUE"""),"SUJARWO")</f>
        <v>SUJARWO</v>
      </c>
      <c r="E344" s="37" t="str">
        <f>IFERROR(__xludf.DUMMYFUNCTION("""COMPUTED_VALUE"""),"NUR SA`IDAH")</f>
        <v>NUR SA`IDAH</v>
      </c>
      <c r="F344" s="37" t="str">
        <f>IFERROR(__xludf.DUMMYFUNCTION("""COMPUTED_VALUE"""),"KEMLAGIGEDE RT 001 RW 001 TURI LAMONGAN")</f>
        <v>KEMLAGIGEDE RT 001 RW 001 TURI LAMONGAN</v>
      </c>
      <c r="G344" s="39" t="str">
        <f>IFERROR(__xludf.DUMMYFUNCTION("""COMPUTED_VALUE"""),"MA-XI.6")</f>
        <v>MA-XI.6</v>
      </c>
      <c r="H344" s="36" t="str">
        <f>IFERROR(__xludf.DUMMYFUNCTION("""COMPUTED_VALUE"""),"C")</f>
        <v>C</v>
      </c>
      <c r="I344" s="40" t="str">
        <f>IFERROR(__xludf.DUMMYFUNCTION("""COMPUTED_VALUE"""),"C-6")</f>
        <v>C-6</v>
      </c>
      <c r="J344" s="40">
        <f>IFERROR(__xludf.DUMMYFUNCTION("""COMPUTED_VALUE"""),2.0)</f>
        <v>2</v>
      </c>
      <c r="K344" s="40" t="str">
        <f>IFERROR(__xludf.DUMMYFUNCTION("""COMPUTED_VALUE"""),"2 WUSTHO C PUTRI")</f>
        <v>2 WUSTHO C PUTRI</v>
      </c>
      <c r="L344" s="41" t="str">
        <f>IFERROR(__xludf.DUMMYFUNCTION("""COMPUTED_VALUE"""),"6281357323465")</f>
        <v>6281357323465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>
        <f>IFERROR(__xludf.DUMMYFUNCTION("""COMPUTED_VALUE"""),450000.0)</f>
        <v>450000</v>
      </c>
      <c r="Z344" s="42">
        <f>IFERROR(__xludf.DUMMYFUNCTION("""COMPUTED_VALUE"""),450000.0)</f>
        <v>450000</v>
      </c>
      <c r="AA344" s="42"/>
      <c r="AB344" s="43"/>
      <c r="AC344" s="42"/>
      <c r="AD344" s="42"/>
      <c r="AE344" s="43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3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IFERROR(__xludf.DUMMYFUNCTION("""COMPUTED_VALUE"""),900000.0)</f>
        <v>900000</v>
      </c>
      <c r="BD344" s="43">
        <f>IFERROR(__xludf.DUMMYFUNCTION("""COMPUTED_VALUE"""),0.0)</f>
        <v>0</v>
      </c>
      <c r="BE344" s="43">
        <f>IFERROR(__xludf.DUMMYFUNCTION("""COMPUTED_VALUE"""),0.0)</f>
        <v>0</v>
      </c>
      <c r="BF344" s="44">
        <f>IFERROR(__xludf.DUMMYFUNCTION("""COMPUTED_VALUE"""),900000.0)</f>
        <v>900000</v>
      </c>
      <c r="BG344" s="42"/>
      <c r="BH344" s="42"/>
      <c r="BI344" s="42"/>
      <c r="BJ344" s="45"/>
      <c r="BK344" s="45"/>
      <c r="BL344" s="45"/>
      <c r="BM344" s="45"/>
      <c r="BN344" s="45"/>
      <c r="BO344" s="46"/>
    </row>
    <row r="345">
      <c r="A345" s="47">
        <f>IFERROR(__xludf.DUMMYFUNCTION("""COMPUTED_VALUE"""),344.0)</f>
        <v>344</v>
      </c>
      <c r="B345" s="48" t="str">
        <f>IFERROR(__xludf.DUMMYFUNCTION("""COMPUTED_VALUE"""),"WASILATUL HUSNA ABIDAH AL BANAN")</f>
        <v>WASILATUL HUSNA ABIDAH AL BANAN</v>
      </c>
      <c r="C345" s="49">
        <f>IFERROR(__xludf.DUMMYFUNCTION("""COMPUTED_VALUE"""),2.025070385E9)</f>
        <v>2025070385</v>
      </c>
      <c r="D345" s="48" t="str">
        <f>IFERROR(__xludf.DUMMYFUNCTION("""COMPUTED_VALUE"""),"TSABIT AL BANAN")</f>
        <v>TSABIT AL BANAN</v>
      </c>
      <c r="E345" s="48" t="str">
        <f>IFERROR(__xludf.DUMMYFUNCTION("""COMPUTED_VALUE"""),"HIDAYATUL ABIDAH")</f>
        <v>HIDAYATUL ABIDAH</v>
      </c>
      <c r="F345" s="48" t="str">
        <f>IFERROR(__xludf.DUMMYFUNCTION("""COMPUTED_VALUE"""),"JANGGAN POMAHAN JANGGAN RT 007 RW 003 TURI LAMONGAN")</f>
        <v>JANGGAN POMAHAN JANGGAN RT 007 RW 003 TURI LAMONGAN</v>
      </c>
      <c r="G345" s="50" t="str">
        <f>IFERROR(__xludf.DUMMYFUNCTION("""COMPUTED_VALUE"""),"MA-XI.3")</f>
        <v>MA-XI.3</v>
      </c>
      <c r="H345" s="47" t="str">
        <f>IFERROR(__xludf.DUMMYFUNCTION("""COMPUTED_VALUE"""),"C")</f>
        <v>C</v>
      </c>
      <c r="I345" s="51" t="str">
        <f>IFERROR(__xludf.DUMMYFUNCTION("""COMPUTED_VALUE"""),"C-6")</f>
        <v>C-6</v>
      </c>
      <c r="J345" s="51">
        <f>IFERROR(__xludf.DUMMYFUNCTION("""COMPUTED_VALUE"""),2.0)</f>
        <v>2</v>
      </c>
      <c r="K345" s="51" t="str">
        <f>IFERROR(__xludf.DUMMYFUNCTION("""COMPUTED_VALUE"""),"2 WUSTHO A PUTRI")</f>
        <v>2 WUSTHO A PUTRI</v>
      </c>
      <c r="L345" s="52" t="str">
        <f>IFERROR(__xludf.DUMMYFUNCTION("""COMPUTED_VALUE"""),"6285655438946")</f>
        <v>6285655438946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4"/>
      <c r="AC345" s="53"/>
      <c r="AD345" s="53"/>
      <c r="AE345" s="54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4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IFERROR(__xludf.DUMMYFUNCTION("""COMPUTED_VALUE"""),0.0)</f>
        <v>0</v>
      </c>
      <c r="BD345" s="54">
        <f>IFERROR(__xludf.DUMMYFUNCTION("""COMPUTED_VALUE"""),0.0)</f>
        <v>0</v>
      </c>
      <c r="BE345" s="54">
        <f>IFERROR(__xludf.DUMMYFUNCTION("""COMPUTED_VALUE"""),0.0)</f>
        <v>0</v>
      </c>
      <c r="BF345" s="55">
        <f>IFERROR(__xludf.DUMMYFUNCTION("""COMPUTED_VALUE"""),0.0)</f>
        <v>0</v>
      </c>
      <c r="BG345" s="53"/>
      <c r="BH345" s="53"/>
      <c r="BI345" s="53"/>
      <c r="BJ345" s="45"/>
      <c r="BK345" s="45"/>
      <c r="BL345" s="45"/>
      <c r="BM345" s="45"/>
      <c r="BN345" s="45"/>
      <c r="BO345" s="46"/>
    </row>
    <row r="346">
      <c r="A346" s="36">
        <f>IFERROR(__xludf.DUMMYFUNCTION("""COMPUTED_VALUE"""),345.0)</f>
        <v>345</v>
      </c>
      <c r="B346" s="37" t="str">
        <f>IFERROR(__xludf.DUMMYFUNCTION("""COMPUTED_VALUE"""),"MELI NOVITA SARI")</f>
        <v>MELI NOVITA SARI</v>
      </c>
      <c r="C346" s="38">
        <f>IFERROR(__xludf.DUMMYFUNCTION("""COMPUTED_VALUE"""),2.025070139E9)</f>
        <v>2025070139</v>
      </c>
      <c r="D346" s="37" t="str">
        <f>IFERROR(__xludf.DUMMYFUNCTION("""COMPUTED_VALUE"""),"ALI MASRUKIN")</f>
        <v>ALI MASRUKIN</v>
      </c>
      <c r="E346" s="37" t="str">
        <f>IFERROR(__xludf.DUMMYFUNCTION("""COMPUTED_VALUE"""),"KUSNIFATUN")</f>
        <v>KUSNIFATUN</v>
      </c>
      <c r="F346" s="37" t="str">
        <f>IFERROR(__xludf.DUMMYFUNCTION("""COMPUTED_VALUE"""),"TEJOASRI RT 003 RW 001 LAREN LAMONGAN")</f>
        <v>TEJOASRI RT 003 RW 001 LAREN LAMONGAN</v>
      </c>
      <c r="G346" s="38" t="str">
        <f>IFERROR(__xludf.DUMMYFUNCTION("""COMPUTED_VALUE"""),"MA-XI.8")</f>
        <v>MA-XI.8</v>
      </c>
      <c r="H346" s="36" t="str">
        <f>IFERROR(__xludf.DUMMYFUNCTION("""COMPUTED_VALUE"""),"C")</f>
        <v>C</v>
      </c>
      <c r="I346" s="40" t="str">
        <f>IFERROR(__xludf.DUMMYFUNCTION("""COMPUTED_VALUE"""),"C-10")</f>
        <v>C-10</v>
      </c>
      <c r="J346" s="40">
        <f>IFERROR(__xludf.DUMMYFUNCTION("""COMPUTED_VALUE"""),2.0)</f>
        <v>2</v>
      </c>
      <c r="K346" s="40" t="str">
        <f>IFERROR(__xludf.DUMMYFUNCTION("""COMPUTED_VALUE"""),"2 WUSTHO B PUTRI")</f>
        <v>2 WUSTHO B PUTRI</v>
      </c>
      <c r="L346" s="41" t="str">
        <f>IFERROR(__xludf.DUMMYFUNCTION("""COMPUTED_VALUE"""),"6281248264920")</f>
        <v>6281248264920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3"/>
      <c r="X346" s="43"/>
      <c r="Y346" s="43"/>
      <c r="Z346" s="43"/>
      <c r="AA346" s="42"/>
      <c r="AB346" s="42"/>
      <c r="AC346" s="43"/>
      <c r="AD346" s="43"/>
      <c r="AE346" s="43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IFERROR(__xludf.DUMMYFUNCTION("""COMPUTED_VALUE"""),0.0)</f>
        <v>0</v>
      </c>
      <c r="BE346" s="43">
        <f>IFERROR(__xludf.DUMMYFUNCTION("""COMPUTED_VALUE"""),0.0)</f>
        <v>0</v>
      </c>
      <c r="BF346" s="44">
        <f>IFERROR(__xludf.DUMMYFUNCTION("""COMPUTED_VALUE"""),0.0)</f>
        <v>0</v>
      </c>
      <c r="BG346" s="42"/>
      <c r="BH346" s="42"/>
      <c r="BI346" s="42"/>
      <c r="BJ346" s="45"/>
      <c r="BK346" s="45"/>
      <c r="BL346" s="45"/>
      <c r="BM346" s="45"/>
      <c r="BN346" s="45"/>
      <c r="BO346" s="46"/>
    </row>
    <row r="347">
      <c r="A347" s="47">
        <f>IFERROR(__xludf.DUMMYFUNCTION("""COMPUTED_VALUE"""),346.0)</f>
        <v>346</v>
      </c>
      <c r="B347" s="48" t="str">
        <f>IFERROR(__xludf.DUMMYFUNCTION("""COMPUTED_VALUE"""),"MUTIARA A`IZZANA LUBIS")</f>
        <v>MUTIARA A`IZZANA LUBIS</v>
      </c>
      <c r="C347" s="49">
        <f>IFERROR(__xludf.DUMMYFUNCTION("""COMPUTED_VALUE"""),2.025070313E9)</f>
        <v>2025070313</v>
      </c>
      <c r="D347" s="48" t="str">
        <f>IFERROR(__xludf.DUMMYFUNCTION("""COMPUTED_VALUE"""),"LUBIS")</f>
        <v>LUBIS</v>
      </c>
      <c r="E347" s="48" t="str">
        <f>IFERROR(__xludf.DUMMYFUNCTION("""COMPUTED_VALUE"""),"DIMAS NUR JANNAH")</f>
        <v>DIMAS NUR JANNAH</v>
      </c>
      <c r="F347" s="48" t="str">
        <f>IFERROR(__xludf.DUMMYFUNCTION("""COMPUTED_VALUE"""),"TELUK SUNGAI TELUK RT 000 RW 000 SANGKAPURA GRESIK")</f>
        <v>TELUK SUNGAI TELUK RT 000 RW 000 SANGKAPURA GRESIK</v>
      </c>
      <c r="G347" s="50" t="str">
        <f>IFERROR(__xludf.DUMMYFUNCTION("""COMPUTED_VALUE"""),"MA-XI.12")</f>
        <v>MA-XI.12</v>
      </c>
      <c r="H347" s="47" t="str">
        <f>IFERROR(__xludf.DUMMYFUNCTION("""COMPUTED_VALUE"""),"C")</f>
        <v>C</v>
      </c>
      <c r="I347" s="51" t="str">
        <f>IFERROR(__xludf.DUMMYFUNCTION("""COMPUTED_VALUE"""),"C-10")</f>
        <v>C-10</v>
      </c>
      <c r="J347" s="51">
        <f>IFERROR(__xludf.DUMMYFUNCTION("""COMPUTED_VALUE"""),2.0)</f>
        <v>2</v>
      </c>
      <c r="K347" s="51" t="str">
        <f>IFERROR(__xludf.DUMMYFUNCTION("""COMPUTED_VALUE"""),"2 WUSTHO D PUTRI")</f>
        <v>2 WUSTHO D PUTRI</v>
      </c>
      <c r="L347" s="52" t="str">
        <f>IFERROR(__xludf.DUMMYFUNCTION("""COMPUTED_VALUE"""),"6282139709144")</f>
        <v>6282139709144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4"/>
      <c r="AC347" s="53"/>
      <c r="AD347" s="54"/>
      <c r="AE347" s="54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4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IFERROR(__xludf.DUMMYFUNCTION("""COMPUTED_VALUE"""),0.0)</f>
        <v>0</v>
      </c>
      <c r="BE347" s="54">
        <f>IFERROR(__xludf.DUMMYFUNCTION("""COMPUTED_VALUE"""),0.0)</f>
        <v>0</v>
      </c>
      <c r="BF347" s="55">
        <f>IFERROR(__xludf.DUMMYFUNCTION("""COMPUTED_VALUE"""),0.0)</f>
        <v>0</v>
      </c>
      <c r="BG347" s="53"/>
      <c r="BH347" s="53"/>
      <c r="BI347" s="53"/>
      <c r="BJ347" s="45"/>
      <c r="BK347" s="45"/>
      <c r="BL347" s="45"/>
      <c r="BM347" s="45"/>
      <c r="BN347" s="45"/>
      <c r="BO347" s="46"/>
    </row>
    <row r="348">
      <c r="A348" s="36">
        <f>IFERROR(__xludf.DUMMYFUNCTION("""COMPUTED_VALUE"""),347.0)</f>
        <v>347</v>
      </c>
      <c r="B348" s="37" t="str">
        <f>IFERROR(__xludf.DUMMYFUNCTION("""COMPUTED_VALUE"""),"ARINI DINA AKMALIYAH")</f>
        <v>ARINI DINA AKMALIYAH</v>
      </c>
      <c r="C348" s="38">
        <f>IFERROR(__xludf.DUMMYFUNCTION("""COMPUTED_VALUE"""),2.025070162E9)</f>
        <v>2025070162</v>
      </c>
      <c r="D348" s="37" t="str">
        <f>IFERROR(__xludf.DUMMYFUNCTION("""COMPUTED_VALUE"""),"KASDI")</f>
        <v>KASDI</v>
      </c>
      <c r="E348" s="37" t="str">
        <f>IFERROR(__xludf.DUMMYFUNCTION("""COMPUTED_VALUE"""),"NUR `AINIYAH")</f>
        <v>NUR `AINIYAH</v>
      </c>
      <c r="F348" s="37" t="str">
        <f>IFERROR(__xludf.DUMMYFUNCTION("""COMPUTED_VALUE"""),"KEMLAGIGEDE RT 010 RW 002 TURI LAMONGAN")</f>
        <v>KEMLAGIGEDE RT 010 RW 002 TURI LAMONGAN</v>
      </c>
      <c r="G348" s="38" t="str">
        <f>IFERROR(__xludf.DUMMYFUNCTION("""COMPUTED_VALUE"""),"MA-XI.6")</f>
        <v>MA-XI.6</v>
      </c>
      <c r="H348" s="36" t="str">
        <f>IFERROR(__xludf.DUMMYFUNCTION("""COMPUTED_VALUE"""),"C")</f>
        <v>C</v>
      </c>
      <c r="I348" s="40" t="str">
        <f>IFERROR(__xludf.DUMMYFUNCTION("""COMPUTED_VALUE"""),"C-10")</f>
        <v>C-10</v>
      </c>
      <c r="J348" s="40">
        <f>IFERROR(__xludf.DUMMYFUNCTION("""COMPUTED_VALUE"""),2.0)</f>
        <v>2</v>
      </c>
      <c r="K348" s="40" t="str">
        <f>IFERROR(__xludf.DUMMYFUNCTION("""COMPUTED_VALUE"""),"2 WUSTHO A PUTRI")</f>
        <v>2 WUSTHO A PUTRI</v>
      </c>
      <c r="L348" s="41" t="str">
        <f>IFERROR(__xludf.DUMMYFUNCTION("""COMPUTED_VALUE"""),"6285730465502")</f>
        <v>6285730465502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>
        <f>IFERROR(__xludf.DUMMYFUNCTION("""COMPUTED_VALUE"""),450000.0)</f>
        <v>450000</v>
      </c>
      <c r="AA348" s="42"/>
      <c r="AB348" s="42"/>
      <c r="AC348" s="42"/>
      <c r="AD348" s="42"/>
      <c r="AE348" s="43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IFERROR(__xludf.DUMMYFUNCTION("""COMPUTED_VALUE"""),450000.0)</f>
        <v>450000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IFERROR(__xludf.DUMMYFUNCTION("""COMPUTED_VALUE"""),450000.0)</f>
        <v>450000</v>
      </c>
      <c r="BG348" s="42"/>
      <c r="BH348" s="42"/>
      <c r="BI348" s="42"/>
      <c r="BJ348" s="45"/>
      <c r="BK348" s="45"/>
      <c r="BL348" s="45"/>
      <c r="BM348" s="45"/>
      <c r="BN348" s="45"/>
      <c r="BO348" s="46"/>
    </row>
    <row r="349">
      <c r="A349" s="47">
        <f>IFERROR(__xludf.DUMMYFUNCTION("""COMPUTED_VALUE"""),348.0)</f>
        <v>348</v>
      </c>
      <c r="B349" s="48" t="str">
        <f>IFERROR(__xludf.DUMMYFUNCTION("""COMPUTED_VALUE"""),"NAJWA HANUM PUTRI MAHMUDA")</f>
        <v>NAJWA HANUM PUTRI MAHMUDA</v>
      </c>
      <c r="C349" s="49">
        <f>IFERROR(__xludf.DUMMYFUNCTION("""COMPUTED_VALUE"""),2.023080629E9)</f>
        <v>2023080629</v>
      </c>
      <c r="D349" s="48" t="str">
        <f>IFERROR(__xludf.DUMMYFUNCTION("""COMPUTED_VALUE"""),"MAHMUD")</f>
        <v>MAHMUD</v>
      </c>
      <c r="E349" s="48" t="str">
        <f>IFERROR(__xludf.DUMMYFUNCTION("""COMPUTED_VALUE"""),"SUKARYA NINGSIH")</f>
        <v>SUKARYA NINGSIH</v>
      </c>
      <c r="F349" s="48" t="str">
        <f>IFERROR(__xludf.DUMMYFUNCTION("""COMPUTED_VALUE"""),"JATISARI JATIRENGGO RT 003 RW 001 GLAGAH LAMONGAN")</f>
        <v>JATISARI JATIRENGGO RT 003 RW 001 GLAGAH LAMONGAN</v>
      </c>
      <c r="G349" s="49" t="str">
        <f>IFERROR(__xludf.DUMMYFUNCTION("""COMPUTED_VALUE"""),"MA-XI.6")</f>
        <v>MA-XI.6</v>
      </c>
      <c r="H349" s="47" t="str">
        <f>IFERROR(__xludf.DUMMYFUNCTION("""COMPUTED_VALUE"""),"C")</f>
        <v>C</v>
      </c>
      <c r="I349" s="51" t="str">
        <f>IFERROR(__xludf.DUMMYFUNCTION("""COMPUTED_VALUE"""),"C-10")</f>
        <v>C-10</v>
      </c>
      <c r="J349" s="51">
        <f>IFERROR(__xludf.DUMMYFUNCTION("""COMPUTED_VALUE"""),2.0)</f>
        <v>2</v>
      </c>
      <c r="K349" s="51" t="str">
        <f>IFERROR(__xludf.DUMMYFUNCTION("""COMPUTED_VALUE"""),"2 WUSTHO C PUTRI")</f>
        <v>2 WUSTHO C PUTRI</v>
      </c>
      <c r="L349" s="52" t="str">
        <f>IFERROR(__xludf.DUMMYFUNCTION("""COMPUTED_VALUE"""),"6285748610167")</f>
        <v>6285748610167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4"/>
      <c r="AA349" s="53"/>
      <c r="AB349" s="54"/>
      <c r="AC349" s="54"/>
      <c r="AD349" s="54"/>
      <c r="AE349" s="54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4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IFERROR(__xludf.DUMMYFUNCTION("""COMPUTED_VALUE"""),0.0)</f>
        <v>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IFERROR(__xludf.DUMMYFUNCTION("""COMPUTED_VALUE"""),0.0)</f>
        <v>0</v>
      </c>
      <c r="BG349" s="53"/>
      <c r="BH349" s="53"/>
      <c r="BI349" s="53"/>
      <c r="BJ349" s="45"/>
      <c r="BK349" s="45"/>
      <c r="BL349" s="45"/>
      <c r="BM349" s="45"/>
      <c r="BN349" s="45"/>
      <c r="BO349" s="46"/>
    </row>
    <row r="350">
      <c r="A350" s="36">
        <f>IFERROR(__xludf.DUMMYFUNCTION("""COMPUTED_VALUE"""),349.0)</f>
        <v>349</v>
      </c>
      <c r="B350" s="37" t="str">
        <f>IFERROR(__xludf.DUMMYFUNCTION("""COMPUTED_VALUE"""),"CITRA MULYA SARI")</f>
        <v>CITRA MULYA SARI</v>
      </c>
      <c r="C350" s="38">
        <f>IFERROR(__xludf.DUMMYFUNCTION("""COMPUTED_VALUE"""),2.025070177E9)</f>
        <v>2025070177</v>
      </c>
      <c r="D350" s="37" t="str">
        <f>IFERROR(__xludf.DUMMYFUNCTION("""COMPUTED_VALUE"""),"MULYADI")</f>
        <v>MULYADI</v>
      </c>
      <c r="E350" s="37" t="str">
        <f>IFERROR(__xludf.DUMMYFUNCTION("""COMPUTED_VALUE"""),"SRI WAHYUNINGSIH")</f>
        <v>SRI WAHYUNINGSIH</v>
      </c>
      <c r="F350" s="37" t="str">
        <f>IFERROR(__xludf.DUMMYFUNCTION("""COMPUTED_VALUE"""),"BADU WANAR RT 002 RW 007 PUCUK LAMONGAN")</f>
        <v>BADU WANAR RT 002 RW 007 PUCUK LAMONGAN</v>
      </c>
      <c r="G350" s="38" t="str">
        <f>IFERROR(__xludf.DUMMYFUNCTION("""COMPUTED_VALUE"""),"MA-XI.13")</f>
        <v>MA-XI.13</v>
      </c>
      <c r="H350" s="36" t="str">
        <f>IFERROR(__xludf.DUMMYFUNCTION("""COMPUTED_VALUE"""),"B")</f>
        <v>B</v>
      </c>
      <c r="I350" s="40" t="str">
        <f>IFERROR(__xludf.DUMMYFUNCTION("""COMPUTED_VALUE"""),"B-7")</f>
        <v>B-7</v>
      </c>
      <c r="J350" s="40">
        <f>IFERROR(__xludf.DUMMYFUNCTION("""COMPUTED_VALUE"""),2.0)</f>
        <v>2</v>
      </c>
      <c r="K350" s="40" t="str">
        <f>IFERROR(__xludf.DUMMYFUNCTION("""COMPUTED_VALUE"""),"2 MAK PUTRI")</f>
        <v>2 MAK PUTRI</v>
      </c>
      <c r="L350" s="41" t="str">
        <f>IFERROR(__xludf.DUMMYFUNCTION("""COMPUTED_VALUE"""),"6289604401834")</f>
        <v>6289604401834</v>
      </c>
      <c r="M350" s="43"/>
      <c r="N350" s="42"/>
      <c r="O350" s="42"/>
      <c r="P350" s="42">
        <f>IFERROR(__xludf.DUMMYFUNCTION("""COMPUTED_VALUE"""),450000.0)</f>
        <v>450000</v>
      </c>
      <c r="Q350" s="43">
        <f>IFERROR(__xludf.DUMMYFUNCTION("""COMPUTED_VALUE"""),450000.0)</f>
        <v>450000</v>
      </c>
      <c r="R350" s="43">
        <f>IFERROR(__xludf.DUMMYFUNCTION("""COMPUTED_VALUE"""),450000.0)</f>
        <v>450000</v>
      </c>
      <c r="S350" s="43">
        <f>IFERROR(__xludf.DUMMYFUNCTION("""COMPUTED_VALUE"""),450000.0)</f>
        <v>450000</v>
      </c>
      <c r="T350" s="43">
        <f>IFERROR(__xludf.DUMMYFUNCTION("""COMPUTED_VALUE"""),450000.0)</f>
        <v>450000</v>
      </c>
      <c r="U350" s="43">
        <f>IFERROR(__xludf.DUMMYFUNCTION("""COMPUTED_VALUE"""),450000.0)</f>
        <v>450000</v>
      </c>
      <c r="V350" s="43">
        <f>IFERROR(__xludf.DUMMYFUNCTION("""COMPUTED_VALUE"""),450000.0)</f>
        <v>450000</v>
      </c>
      <c r="W350" s="43">
        <f>IFERROR(__xludf.DUMMYFUNCTION("""COMPUTED_VALUE"""),450000.0)</f>
        <v>450000</v>
      </c>
      <c r="X350" s="43">
        <f>IFERROR(__xludf.DUMMYFUNCTION("""COMPUTED_VALUE"""),450000.0)</f>
        <v>450000</v>
      </c>
      <c r="Y350" s="43">
        <f>IFERROR(__xludf.DUMMYFUNCTION("""COMPUTED_VALUE"""),450000.0)</f>
        <v>450000</v>
      </c>
      <c r="Z350" s="43">
        <f>IFERROR(__xludf.DUMMYFUNCTION("""COMPUTED_VALUE"""),450000.0)</f>
        <v>450000</v>
      </c>
      <c r="AA350" s="43"/>
      <c r="AB350" s="43"/>
      <c r="AC350" s="43"/>
      <c r="AD350" s="43"/>
      <c r="AE350" s="43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3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IFERROR(__xludf.DUMMYFUNCTION("""COMPUTED_VALUE"""),4950000.0)</f>
        <v>4950000</v>
      </c>
      <c r="BD350" s="43">
        <f>IFERROR(__xludf.DUMMYFUNCTION("""COMPUTED_VALUE"""),0.0)</f>
        <v>0</v>
      </c>
      <c r="BE350" s="43">
        <f>IFERROR(__xludf.DUMMYFUNCTION("""COMPUTED_VALUE"""),0.0)</f>
        <v>0</v>
      </c>
      <c r="BF350" s="44">
        <f>IFERROR(__xludf.DUMMYFUNCTION("""COMPUTED_VALUE"""),4950000.0)</f>
        <v>4950000</v>
      </c>
      <c r="BG350" s="42"/>
      <c r="BH350" s="42"/>
      <c r="BI350" s="42"/>
      <c r="BJ350" s="45"/>
      <c r="BK350" s="45"/>
      <c r="BL350" s="45"/>
      <c r="BM350" s="45"/>
      <c r="BN350" s="45"/>
      <c r="BO350" s="46"/>
    </row>
    <row r="351">
      <c r="A351" s="47">
        <f>IFERROR(__xludf.DUMMYFUNCTION("""COMPUTED_VALUE"""),350.0)</f>
        <v>350</v>
      </c>
      <c r="B351" s="48" t="str">
        <f>IFERROR(__xludf.DUMMYFUNCTION("""COMPUTED_VALUE"""),"DENIS BALQIS IZZA ROHMANI")</f>
        <v>DENIS BALQIS IZZA ROHMANI</v>
      </c>
      <c r="C351" s="49">
        <f>IFERROR(__xludf.DUMMYFUNCTION("""COMPUTED_VALUE"""),2.025070103E9)</f>
        <v>2025070103</v>
      </c>
      <c r="D351" s="57" t="str">
        <f>IFERROR(__xludf.DUMMYFUNCTION("""COMPUTED_VALUE"""),"DENI FATHUR ROHMAN")</f>
        <v>DENI FATHUR ROHMAN</v>
      </c>
      <c r="E351" s="57" t="str">
        <f>IFERROR(__xludf.DUMMYFUNCTION("""COMPUTED_VALUE"""),"WAHYUNIS SHILKHA")</f>
        <v>WAHYUNIS SHILKHA</v>
      </c>
      <c r="F351" s="48" t="str">
        <f>IFERROR(__xludf.DUMMYFUNCTION("""COMPUTED_VALUE"""),"KEMUDI RT 001 RW 001 DUDUKSAMPEAYAN GRESIK")</f>
        <v>KEMUDI RT 001 RW 001 DUDUKSAMPEAYAN GRESIK</v>
      </c>
      <c r="G351" s="57" t="str">
        <f>IFERROR(__xludf.DUMMYFUNCTION("""COMPUTED_VALUE"""),"MA-XI.6")</f>
        <v>MA-XI.6</v>
      </c>
      <c r="H351" s="47" t="str">
        <f>IFERROR(__xludf.DUMMYFUNCTION("""COMPUTED_VALUE"""),"B")</f>
        <v>B</v>
      </c>
      <c r="I351" s="51" t="str">
        <f>IFERROR(__xludf.DUMMYFUNCTION("""COMPUTED_VALUE"""),"B-7")</f>
        <v>B-7</v>
      </c>
      <c r="J351" s="51">
        <f>IFERROR(__xludf.DUMMYFUNCTION("""COMPUTED_VALUE"""),2.0)</f>
        <v>2</v>
      </c>
      <c r="K351" s="51" t="str">
        <f>IFERROR(__xludf.DUMMYFUNCTION("""COMPUTED_VALUE"""),"2 WUSTHO B PUTRI")</f>
        <v>2 WUSTHO B PUTRI</v>
      </c>
      <c r="L351" s="52" t="str">
        <f>IFERROR(__xludf.DUMMYFUNCTION("""COMPUTED_VALUE"""),"6281235618573")</f>
        <v>6281235618573</v>
      </c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4"/>
      <c r="Z351" s="54"/>
      <c r="AA351" s="54"/>
      <c r="AB351" s="53"/>
      <c r="AC351" s="54"/>
      <c r="AD351" s="54"/>
      <c r="AE351" s="54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IFERROR(__xludf.DUMMYFUNCTION("""COMPUTED_VALUE"""),0.0)</f>
        <v>0</v>
      </c>
      <c r="BD351" s="54">
        <f>IFERROR(__xludf.DUMMYFUNCTION("""COMPUTED_VALUE"""),0.0)</f>
        <v>0</v>
      </c>
      <c r="BE351" s="54">
        <f>IFERROR(__xludf.DUMMYFUNCTION("""COMPUTED_VALUE"""),0.0)</f>
        <v>0</v>
      </c>
      <c r="BF351" s="55">
        <f>IFERROR(__xludf.DUMMYFUNCTION("""COMPUTED_VALUE"""),0.0)</f>
        <v>0</v>
      </c>
      <c r="BG351" s="53"/>
      <c r="BH351" s="53"/>
      <c r="BI351" s="53"/>
      <c r="BJ351" s="45"/>
      <c r="BK351" s="45"/>
      <c r="BL351" s="45"/>
      <c r="BM351" s="45"/>
      <c r="BN351" s="45"/>
      <c r="BO351" s="46"/>
    </row>
    <row r="352">
      <c r="A352" s="36">
        <f>IFERROR(__xludf.DUMMYFUNCTION("""COMPUTED_VALUE"""),351.0)</f>
        <v>351</v>
      </c>
      <c r="B352" s="37" t="str">
        <f>IFERROR(__xludf.DUMMYFUNCTION("""COMPUTED_VALUE"""),"WINDA FAKHIRAH APRILIA")</f>
        <v>WINDA FAKHIRAH APRILIA</v>
      </c>
      <c r="C352" s="38">
        <f>IFERROR(__xludf.DUMMYFUNCTION("""COMPUTED_VALUE"""),2.025070156E9)</f>
        <v>2025070156</v>
      </c>
      <c r="D352" s="56" t="str">
        <f>IFERROR(__xludf.DUMMYFUNCTION("""COMPUTED_VALUE"""),"SLAMET WIDOWO")</f>
        <v>SLAMET WIDOWO</v>
      </c>
      <c r="E352" s="56" t="str">
        <f>IFERROR(__xludf.DUMMYFUNCTION("""COMPUTED_VALUE"""),"HANIATUL LUTFIAH")</f>
        <v>HANIATUL LUTFIAH</v>
      </c>
      <c r="F352" s="37" t="str">
        <f>IFERROR(__xludf.DUMMYFUNCTION("""COMPUTED_VALUE"""),"BANGERAN GENENG RT 001 RW 001 DUKUN GRESIK")</f>
        <v>BANGERAN GENENG RT 001 RW 001 DUKUN GRESIK</v>
      </c>
      <c r="G352" s="56" t="str">
        <f>IFERROR(__xludf.DUMMYFUNCTION("""COMPUTED_VALUE"""),"MA-XI.11")</f>
        <v>MA-XI.11</v>
      </c>
      <c r="H352" s="36" t="str">
        <f>IFERROR(__xludf.DUMMYFUNCTION("""COMPUTED_VALUE"""),"B")</f>
        <v>B</v>
      </c>
      <c r="I352" s="40" t="str">
        <f>IFERROR(__xludf.DUMMYFUNCTION("""COMPUTED_VALUE"""),"B-7")</f>
        <v>B-7</v>
      </c>
      <c r="J352" s="40">
        <f>IFERROR(__xludf.DUMMYFUNCTION("""COMPUTED_VALUE"""),2.0)</f>
        <v>2</v>
      </c>
      <c r="K352" s="40" t="str">
        <f>IFERROR(__xludf.DUMMYFUNCTION("""COMPUTED_VALUE"""),"2 WUSTHO B PUTRI")</f>
        <v>2 WUSTHO B PUTRI</v>
      </c>
      <c r="L352" s="41" t="str">
        <f>IFERROR(__xludf.DUMMYFUNCTION("""COMPUTED_VALUE"""),"62895635136011")</f>
        <v>62895635136011</v>
      </c>
      <c r="M352" s="42"/>
      <c r="N352" s="42"/>
      <c r="O352" s="42"/>
      <c r="P352" s="42"/>
      <c r="Q352" s="42"/>
      <c r="R352" s="42"/>
      <c r="S352" s="42"/>
      <c r="T352" s="42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IFERROR(__xludf.DUMMYFUNCTION("""COMPUTED_VALUE"""),0.0)</f>
        <v>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IFERROR(__xludf.DUMMYFUNCTION("""COMPUTED_VALUE"""),0.0)</f>
        <v>0</v>
      </c>
      <c r="BG352" s="42"/>
      <c r="BH352" s="42"/>
      <c r="BI352" s="42"/>
      <c r="BJ352" s="45"/>
      <c r="BK352" s="45"/>
      <c r="BL352" s="45"/>
      <c r="BM352" s="45"/>
      <c r="BN352" s="45"/>
      <c r="BO352" s="46"/>
    </row>
    <row r="353">
      <c r="A353" s="47">
        <f>IFERROR(__xludf.DUMMYFUNCTION("""COMPUTED_VALUE"""),352.0)</f>
        <v>352</v>
      </c>
      <c r="B353" s="48" t="str">
        <f>IFERROR(__xludf.DUMMYFUNCTION("""COMPUTED_VALUE"""),"AURA HANNA ZILFAH DLOFWATUL `AISY")</f>
        <v>AURA HANNA ZILFAH DLOFWATUL `AISY</v>
      </c>
      <c r="C353" s="49">
        <f>IFERROR(__xludf.DUMMYFUNCTION("""COMPUTED_VALUE"""),2.025070411E9)</f>
        <v>2025070411</v>
      </c>
      <c r="D353" s="48" t="str">
        <f>IFERROR(__xludf.DUMMYFUNCTION("""COMPUTED_VALUE"""),"SUTIKNO")</f>
        <v>SUTIKNO</v>
      </c>
      <c r="E353" s="48" t="str">
        <f>IFERROR(__xludf.DUMMYFUNCTION("""COMPUTED_VALUE"""),"SUCI NASROTUL UMMAH")</f>
        <v>SUCI NASROTUL UMMAH</v>
      </c>
      <c r="F353" s="48" t="str">
        <f>IFERROR(__xludf.DUMMYFUNCTION("""COMPUTED_VALUE"""),"PANGEAN RT 006 RW 002 MADURAN LAMONGAN")</f>
        <v>PANGEAN RT 006 RW 002 MADURAN LAMONGAN</v>
      </c>
      <c r="G353" s="49" t="str">
        <f>IFERROR(__xludf.DUMMYFUNCTION("""COMPUTED_VALUE"""),"MA-XI.4")</f>
        <v>MA-XI.4</v>
      </c>
      <c r="H353" s="47" t="str">
        <f>IFERROR(__xludf.DUMMYFUNCTION("""COMPUTED_VALUE"""),"E")</f>
        <v>E</v>
      </c>
      <c r="I353" s="51" t="str">
        <f>IFERROR(__xludf.DUMMYFUNCTION("""COMPUTED_VALUE"""),"E-5")</f>
        <v>E-5</v>
      </c>
      <c r="J353" s="51">
        <f>IFERROR(__xludf.DUMMYFUNCTION("""COMPUTED_VALUE"""),2.0)</f>
        <v>2</v>
      </c>
      <c r="K353" s="51" t="str">
        <f>IFERROR(__xludf.DUMMYFUNCTION("""COMPUTED_VALUE"""),"2 WUSTHO B PUTRI")</f>
        <v>2 WUSTHO B PUTRI</v>
      </c>
      <c r="L353" s="52" t="str">
        <f>IFERROR(__xludf.DUMMYFUNCTION("""COMPUTED_VALUE"""),"6282141276033")</f>
        <v>6282141276033</v>
      </c>
      <c r="M353" s="54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4"/>
      <c r="AB353" s="54"/>
      <c r="AC353" s="54"/>
      <c r="AD353" s="54"/>
      <c r="AE353" s="54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4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IFERROR(__xludf.DUMMYFUNCTION("""COMPUTED_VALUE"""),0.0)</f>
        <v>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IFERROR(__xludf.DUMMYFUNCTION("""COMPUTED_VALUE"""),0.0)</f>
        <v>0</v>
      </c>
      <c r="BG353" s="53"/>
      <c r="BH353" s="53"/>
      <c r="BI353" s="53"/>
      <c r="BJ353" s="45"/>
      <c r="BK353" s="45"/>
      <c r="BL353" s="45"/>
      <c r="BM353" s="45"/>
      <c r="BN353" s="45"/>
      <c r="BO353" s="46"/>
    </row>
    <row r="354">
      <c r="A354" s="36">
        <f>IFERROR(__xludf.DUMMYFUNCTION("""COMPUTED_VALUE"""),353.0)</f>
        <v>353</v>
      </c>
      <c r="B354" s="37" t="str">
        <f>IFERROR(__xludf.DUMMYFUNCTION("""COMPUTED_VALUE"""),"RIA RESTY TRI UTAMI")</f>
        <v>RIA RESTY TRI UTAMI</v>
      </c>
      <c r="C354" s="38">
        <f>IFERROR(__xludf.DUMMYFUNCTION("""COMPUTED_VALUE"""),2.025090673E9)</f>
        <v>2025090673</v>
      </c>
      <c r="D354" s="37" t="str">
        <f>IFERROR(__xludf.DUMMYFUNCTION("""COMPUTED_VALUE"""),"MUSTAKIM")</f>
        <v>MUSTAKIM</v>
      </c>
      <c r="E354" s="37" t="str">
        <f>IFERROR(__xludf.DUMMYFUNCTION("""COMPUTED_VALUE"""),"SUBAIAH")</f>
        <v>SUBAIAH</v>
      </c>
      <c r="F354" s="37" t="str">
        <f>IFERROR(__xludf.DUMMYFUNCTION("""COMPUTED_VALUE"""),"KARANGBOYO RT 010 RW 004 KARANGWEDORO TURI LAMONGAN")</f>
        <v>KARANGBOYO RT 010 RW 004 KARANGWEDORO TURI LAMONGAN</v>
      </c>
      <c r="G354" s="39" t="str">
        <f>IFERROR(__xludf.DUMMYFUNCTION("""COMPUTED_VALUE"""),"#N/A")</f>
        <v>#N/A</v>
      </c>
      <c r="H354" s="36" t="str">
        <f>IFERROR(__xludf.DUMMYFUNCTION("""COMPUTED_VALUE"""),"C")</f>
        <v>C</v>
      </c>
      <c r="I354" s="40" t="str">
        <f>IFERROR(__xludf.DUMMYFUNCTION("""COMPUTED_VALUE"""),"C-12")</f>
        <v>C-12</v>
      </c>
      <c r="J354" s="40">
        <f>IFERROR(__xludf.DUMMYFUNCTION("""COMPUTED_VALUE"""),2.0)</f>
        <v>2</v>
      </c>
      <c r="K354" s="40" t="str">
        <f>IFERROR(__xludf.DUMMYFUNCTION("""COMPUTED_VALUE"""),"2 ULA B PUTRI")</f>
        <v>2 ULA B PUTRI</v>
      </c>
      <c r="L354" s="41" t="str">
        <f>IFERROR(__xludf.DUMMYFUNCTION("""COMPUTED_VALUE"""),"6285815946929")</f>
        <v>6285815946929</v>
      </c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3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3">
        <f>IFERROR(__xludf.DUMMYFUNCTION("""COMPUTED_VALUE"""),500000.0)</f>
        <v>500000</v>
      </c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>
        <f>IFERROR(__xludf.DUMMYFUNCTION("""COMPUTED_VALUE"""),0.0)</f>
        <v>0</v>
      </c>
      <c r="BD354" s="43">
        <f>IFERROR(__xludf.DUMMYFUNCTION("""COMPUTED_VALUE"""),500000.0)</f>
        <v>500000</v>
      </c>
      <c r="BE354" s="43">
        <f>IFERROR(__xludf.DUMMYFUNCTION("""COMPUTED_VALUE"""),0.0)</f>
        <v>0</v>
      </c>
      <c r="BF354" s="44">
        <f>IFERROR(__xludf.DUMMYFUNCTION("""COMPUTED_VALUE"""),500000.0)</f>
        <v>500000</v>
      </c>
      <c r="BG354" s="42"/>
      <c r="BH354" s="42"/>
      <c r="BI354" s="42"/>
      <c r="BJ354" s="45"/>
      <c r="BK354" s="45"/>
      <c r="BL354" s="45"/>
      <c r="BM354" s="45"/>
      <c r="BN354" s="45"/>
      <c r="BO354" s="46"/>
    </row>
    <row r="355">
      <c r="A355" s="47">
        <f>IFERROR(__xludf.DUMMYFUNCTION("""COMPUTED_VALUE"""),354.0)</f>
        <v>354</v>
      </c>
      <c r="B355" s="48" t="str">
        <f>IFERROR(__xludf.DUMMYFUNCTION("""COMPUTED_VALUE"""),"NURUL AZMY")</f>
        <v>NURUL AZMY</v>
      </c>
      <c r="C355" s="49">
        <f>IFERROR(__xludf.DUMMYFUNCTION("""COMPUTED_VALUE"""),2.02507013E9)</f>
        <v>2025070130</v>
      </c>
      <c r="D355" s="48" t="str">
        <f>IFERROR(__xludf.DUMMYFUNCTION("""COMPUTED_VALUE"""),"MUCHLISIN")</f>
        <v>MUCHLISIN</v>
      </c>
      <c r="E355" s="48" t="str">
        <f>IFERROR(__xludf.DUMMYFUNCTION("""COMPUTED_VALUE"""),"NUNUK UMA`IYAH")</f>
        <v>NUNUK UMA`IYAH</v>
      </c>
      <c r="F355" s="48" t="str">
        <f>IFERROR(__xludf.DUMMYFUNCTION("""COMPUTED_VALUE"""),"KEPATIHAN SUKOREJO RT 007 RW 002 TURI LAMONGAN")</f>
        <v>KEPATIHAN SUKOREJO RT 007 RW 002 TURI LAMONGAN</v>
      </c>
      <c r="G355" s="57" t="str">
        <f>IFERROR(__xludf.DUMMYFUNCTION("""COMPUTED_VALUE"""),"MA-XI.13")</f>
        <v>MA-XI.13</v>
      </c>
      <c r="H355" s="47" t="str">
        <f>IFERROR(__xludf.DUMMYFUNCTION("""COMPUTED_VALUE"""),"E")</f>
        <v>E</v>
      </c>
      <c r="I355" s="51" t="str">
        <f>IFERROR(__xludf.DUMMYFUNCTION("""COMPUTED_VALUE"""),"E-5")</f>
        <v>E-5</v>
      </c>
      <c r="J355" s="51">
        <f>IFERROR(__xludf.DUMMYFUNCTION("""COMPUTED_VALUE"""),2.0)</f>
        <v>2</v>
      </c>
      <c r="K355" s="51" t="str">
        <f>IFERROR(__xludf.DUMMYFUNCTION("""COMPUTED_VALUE"""),"2 MAK PUTRI")</f>
        <v>2 MAK PUTRI</v>
      </c>
      <c r="L355" s="52" t="str">
        <f>IFERROR(__xludf.DUMMYFUNCTION("""COMPUTED_VALUE"""),"6285607273151")</f>
        <v>6285607273151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4"/>
      <c r="AC355" s="53"/>
      <c r="AD355" s="54"/>
      <c r="AE355" s="54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4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3"/>
      <c r="BH355" s="53"/>
      <c r="BI355" s="53"/>
      <c r="BJ355" s="45"/>
      <c r="BK355" s="45"/>
      <c r="BL355" s="45"/>
      <c r="BM355" s="45"/>
      <c r="BN355" s="45"/>
      <c r="BO355" s="46"/>
    </row>
    <row r="356">
      <c r="A356" s="36">
        <f>IFERROR(__xludf.DUMMYFUNCTION("""COMPUTED_VALUE"""),355.0)</f>
        <v>355</v>
      </c>
      <c r="B356" s="37" t="str">
        <f>IFERROR(__xludf.DUMMYFUNCTION("""COMPUTED_VALUE"""),"INTAN PUTRI CAHYANI")</f>
        <v>INTAN PUTRI CAHYANI</v>
      </c>
      <c r="C356" s="38">
        <f>IFERROR(__xludf.DUMMYFUNCTION("""COMPUTED_VALUE"""),2.025070101E9)</f>
        <v>2025070101</v>
      </c>
      <c r="D356" s="37" t="str">
        <f>IFERROR(__xludf.DUMMYFUNCTION("""COMPUTED_VALUE"""),"SUMARNO")</f>
        <v>SUMARNO</v>
      </c>
      <c r="E356" s="37" t="str">
        <f>IFERROR(__xludf.DUMMYFUNCTION("""COMPUTED_VALUE"""),"TRISNA WATI")</f>
        <v>TRISNA WATI</v>
      </c>
      <c r="F356" s="37" t="str">
        <f>IFERROR(__xludf.DUMMYFUNCTION("""COMPUTED_VALUE"""),"NGASINAN KEPATIHAN RT 002 RW 007 MENGANTI GRESIK")</f>
        <v>NGASINAN KEPATIHAN RT 002 RW 007 MENGANTI GRESIK</v>
      </c>
      <c r="G356" s="38" t="str">
        <f>IFERROR(__xludf.DUMMYFUNCTION("""COMPUTED_VALUE"""),"MA-XI.13")</f>
        <v>MA-XI.13</v>
      </c>
      <c r="H356" s="36" t="str">
        <f>IFERROR(__xludf.DUMMYFUNCTION("""COMPUTED_VALUE"""),"E")</f>
        <v>E</v>
      </c>
      <c r="I356" s="40" t="str">
        <f>IFERROR(__xludf.DUMMYFUNCTION("""COMPUTED_VALUE"""),"E-5")</f>
        <v>E-5</v>
      </c>
      <c r="J356" s="40">
        <f>IFERROR(__xludf.DUMMYFUNCTION("""COMPUTED_VALUE"""),2.0)</f>
        <v>2</v>
      </c>
      <c r="K356" s="40" t="str">
        <f>IFERROR(__xludf.DUMMYFUNCTION("""COMPUTED_VALUE"""),"2 MAK PUTRI")</f>
        <v>2 MAK PUTRI</v>
      </c>
      <c r="L356" s="41" t="str">
        <f>IFERROR(__xludf.DUMMYFUNCTION("""COMPUTED_VALUE"""),"62882010266512")</f>
        <v>62882010266512</v>
      </c>
      <c r="M356" s="42"/>
      <c r="N356" s="42"/>
      <c r="O356" s="42"/>
      <c r="P356" s="42"/>
      <c r="Q356" s="42"/>
      <c r="R356" s="42"/>
      <c r="S356" s="42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3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IFERROR(__xludf.DUMMYFUNCTION("""COMPUTED_VALUE"""),0.0)</f>
        <v>0</v>
      </c>
      <c r="BD356" s="43">
        <f>IFERROR(__xludf.DUMMYFUNCTION("""COMPUTED_VALUE"""),0.0)</f>
        <v>0</v>
      </c>
      <c r="BE356" s="43">
        <f>IFERROR(__xludf.DUMMYFUNCTION("""COMPUTED_VALUE"""),0.0)</f>
        <v>0</v>
      </c>
      <c r="BF356" s="44">
        <f>IFERROR(__xludf.DUMMYFUNCTION("""COMPUTED_VALUE"""),0.0)</f>
        <v>0</v>
      </c>
      <c r="BG356" s="42"/>
      <c r="BH356" s="42"/>
      <c r="BI356" s="42"/>
      <c r="BJ356" s="45"/>
      <c r="BK356" s="45"/>
      <c r="BL356" s="45"/>
      <c r="BM356" s="45"/>
      <c r="BN356" s="45"/>
      <c r="BO356" s="46"/>
    </row>
    <row r="357">
      <c r="A357" s="47">
        <f>IFERROR(__xludf.DUMMYFUNCTION("""COMPUTED_VALUE"""),356.0)</f>
        <v>356</v>
      </c>
      <c r="B357" s="48" t="str">
        <f>IFERROR(__xludf.DUMMYFUNCTION("""COMPUTED_VALUE"""),"ZAIMAH LULU AZKIYAH")</f>
        <v>ZAIMAH LULU AZKIYAH</v>
      </c>
      <c r="C357" s="49">
        <f>IFERROR(__xludf.DUMMYFUNCTION("""COMPUTED_VALUE"""),2.02507021E9)</f>
        <v>2025070210</v>
      </c>
      <c r="D357" s="48" t="str">
        <f>IFERROR(__xludf.DUMMYFUNCTION("""COMPUTED_VALUE"""),"FATAHUL HUDA")</f>
        <v>FATAHUL HUDA</v>
      </c>
      <c r="E357" s="48" t="str">
        <f>IFERROR(__xludf.DUMMYFUNCTION("""COMPUTED_VALUE"""),"AISOFATUL HABIBAH")</f>
        <v>AISOFATUL HABIBAH</v>
      </c>
      <c r="F357" s="48" t="str">
        <f>IFERROR(__xludf.DUMMYFUNCTION("""COMPUTED_VALUE"""),"GOWAH POMAHANJANGGAN RT 003 RW 001 TURI LAMONGAN")</f>
        <v>GOWAH POMAHANJANGGAN RT 003 RW 001 TURI LAMONGAN</v>
      </c>
      <c r="G357" s="57" t="str">
        <f>IFERROR(__xludf.DUMMYFUNCTION("""COMPUTED_VALUE"""),"MA-XI.4")</f>
        <v>MA-XI.4</v>
      </c>
      <c r="H357" s="47" t="str">
        <f>IFERROR(__xludf.DUMMYFUNCTION("""COMPUTED_VALUE"""),"E")</f>
        <v>E</v>
      </c>
      <c r="I357" s="51" t="str">
        <f>IFERROR(__xludf.DUMMYFUNCTION("""COMPUTED_VALUE"""),"E-5")</f>
        <v>E-5</v>
      </c>
      <c r="J357" s="51">
        <f>IFERROR(__xludf.DUMMYFUNCTION("""COMPUTED_VALUE"""),2.0)</f>
        <v>2</v>
      </c>
      <c r="K357" s="51" t="str">
        <f>IFERROR(__xludf.DUMMYFUNCTION("""COMPUTED_VALUE"""),"2 WUSTHO B PUTRI")</f>
        <v>2 WUSTHO B PUTRI</v>
      </c>
      <c r="L357" s="52" t="str">
        <f>IFERROR(__xludf.DUMMYFUNCTION("""COMPUTED_VALUE"""),"6285812457269")</f>
        <v>6285812457269</v>
      </c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>
        <f>IFERROR(__xludf.DUMMYFUNCTION("""COMPUTED_VALUE"""),500000.0)</f>
        <v>500000</v>
      </c>
      <c r="Z357" s="54">
        <f>IFERROR(__xludf.DUMMYFUNCTION("""COMPUTED_VALUE"""),500000.0)</f>
        <v>500000</v>
      </c>
      <c r="AA357" s="54"/>
      <c r="AB357" s="54"/>
      <c r="AC357" s="54"/>
      <c r="AD357" s="54"/>
      <c r="AE357" s="54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4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IFERROR(__xludf.DUMMYFUNCTION("""COMPUTED_VALUE"""),1000000.0)</f>
        <v>1000000</v>
      </c>
      <c r="BD357" s="54">
        <f>IFERROR(__xludf.DUMMYFUNCTION("""COMPUTED_VALUE"""),0.0)</f>
        <v>0</v>
      </c>
      <c r="BE357" s="54">
        <f>IFERROR(__xludf.DUMMYFUNCTION("""COMPUTED_VALUE"""),0.0)</f>
        <v>0</v>
      </c>
      <c r="BF357" s="55">
        <f>IFERROR(__xludf.DUMMYFUNCTION("""COMPUTED_VALUE"""),1000000.0)</f>
        <v>1000000</v>
      </c>
      <c r="BG357" s="53"/>
      <c r="BH357" s="53"/>
      <c r="BI357" s="53"/>
      <c r="BJ357" s="45"/>
      <c r="BK357" s="45"/>
      <c r="BL357" s="45"/>
      <c r="BM357" s="45"/>
      <c r="BN357" s="45"/>
      <c r="BO357" s="46"/>
    </row>
    <row r="358">
      <c r="A358" s="36">
        <f>IFERROR(__xludf.DUMMYFUNCTION("""COMPUTED_VALUE"""),357.0)</f>
        <v>357</v>
      </c>
      <c r="B358" s="37" t="str">
        <f>IFERROR(__xludf.DUMMYFUNCTION("""COMPUTED_VALUE"""),"AJENG `AINUS SHOFIA")</f>
        <v>AJENG `AINUS SHOFIA</v>
      </c>
      <c r="C358" s="38">
        <f>IFERROR(__xludf.DUMMYFUNCTION("""COMPUTED_VALUE"""),2.025070024E9)</f>
        <v>2025070024</v>
      </c>
      <c r="D358" s="37" t="str">
        <f>IFERROR(__xludf.DUMMYFUNCTION("""COMPUTED_VALUE"""),"KHOIRUL HUDA")</f>
        <v>KHOIRUL HUDA</v>
      </c>
      <c r="E358" s="37" t="str">
        <f>IFERROR(__xludf.DUMMYFUNCTION("""COMPUTED_VALUE"""),"TUTUS YUVANA")</f>
        <v>TUTUS YUVANA</v>
      </c>
      <c r="F358" s="37" t="str">
        <f>IFERROR(__xludf.DUMMYFUNCTION("""COMPUTED_VALUE"""),"GUMINING GUMININGREJO RT 003 RW 001 TIKUNG LAMONGAN")</f>
        <v>GUMINING GUMININGREJO RT 003 RW 001 TIKUNG LAMONGAN</v>
      </c>
      <c r="G358" s="39" t="str">
        <f>IFERROR(__xludf.DUMMYFUNCTION("""COMPUTED_VALUE"""),"MA-XI.5")</f>
        <v>MA-XI.5</v>
      </c>
      <c r="H358" s="36" t="str">
        <f>IFERROR(__xludf.DUMMYFUNCTION("""COMPUTED_VALUE"""),"E")</f>
        <v>E</v>
      </c>
      <c r="I358" s="40" t="str">
        <f>IFERROR(__xludf.DUMMYFUNCTION("""COMPUTED_VALUE"""),"E-6")</f>
        <v>E-6</v>
      </c>
      <c r="J358" s="40">
        <f>IFERROR(__xludf.DUMMYFUNCTION("""COMPUTED_VALUE"""),2.0)</f>
        <v>2</v>
      </c>
      <c r="K358" s="40" t="str">
        <f>IFERROR(__xludf.DUMMYFUNCTION("""COMPUTED_VALUE"""),"2 WUSTHO B PUTRI")</f>
        <v>2 WUSTHO B PUTRI</v>
      </c>
      <c r="L358" s="41" t="str">
        <f>IFERROR(__xludf.DUMMYFUNCTION("""COMPUTED_VALUE"""),"62816216569")</f>
        <v>62816216569</v>
      </c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3"/>
      <c r="Y358" s="43"/>
      <c r="Z358" s="43"/>
      <c r="AA358" s="43"/>
      <c r="AB358" s="43"/>
      <c r="AC358" s="43"/>
      <c r="AD358" s="43"/>
      <c r="AE358" s="43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3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42"/>
      <c r="BH358" s="42"/>
      <c r="BI358" s="42"/>
      <c r="BJ358" s="45"/>
      <c r="BK358" s="45"/>
      <c r="BL358" s="45"/>
      <c r="BM358" s="45"/>
      <c r="BN358" s="45"/>
      <c r="BO358" s="46"/>
    </row>
    <row r="359">
      <c r="A359" s="47">
        <f>IFERROR(__xludf.DUMMYFUNCTION("""COMPUTED_VALUE"""),358.0)</f>
        <v>358</v>
      </c>
      <c r="B359" s="48" t="str">
        <f>IFERROR(__xludf.DUMMYFUNCTION("""COMPUTED_VALUE"""),"NI`MATUL JANNAH")</f>
        <v>NI`MATUL JANNAH</v>
      </c>
      <c r="C359" s="49">
        <f>IFERROR(__xludf.DUMMYFUNCTION("""COMPUTED_VALUE"""),2.025070199E9)</f>
        <v>2025070199</v>
      </c>
      <c r="D359" s="48" t="str">
        <f>IFERROR(__xludf.DUMMYFUNCTION("""COMPUTED_VALUE"""),"IMAM FAUZI")</f>
        <v>IMAM FAUZI</v>
      </c>
      <c r="E359" s="48" t="str">
        <f>IFERROR(__xludf.DUMMYFUNCTION("""COMPUTED_VALUE"""),"YUSROTIN")</f>
        <v>YUSROTIN</v>
      </c>
      <c r="F359" s="48" t="str">
        <f>IFERROR(__xludf.DUMMYFUNCTION("""COMPUTED_VALUE"""),"GEDONGKEDOAN RT 002 RW 001 DUKUN GRESIK")</f>
        <v>GEDONGKEDOAN RT 002 RW 001 DUKUN GRESIK</v>
      </c>
      <c r="G359" s="49" t="str">
        <f>IFERROR(__xludf.DUMMYFUNCTION("""COMPUTED_VALUE"""),"MA-XI.13")</f>
        <v>MA-XI.13</v>
      </c>
      <c r="H359" s="47" t="str">
        <f>IFERROR(__xludf.DUMMYFUNCTION("""COMPUTED_VALUE"""),"E")</f>
        <v>E</v>
      </c>
      <c r="I359" s="51" t="str">
        <f>IFERROR(__xludf.DUMMYFUNCTION("""COMPUTED_VALUE"""),"E-6")</f>
        <v>E-6</v>
      </c>
      <c r="J359" s="51">
        <f>IFERROR(__xludf.DUMMYFUNCTION("""COMPUTED_VALUE"""),2.0)</f>
        <v>2</v>
      </c>
      <c r="K359" s="51" t="str">
        <f>IFERROR(__xludf.DUMMYFUNCTION("""COMPUTED_VALUE"""),"2 MAK PUTRI")</f>
        <v>2 MAK PUTRI</v>
      </c>
      <c r="L359" s="52" t="str">
        <f>IFERROR(__xludf.DUMMYFUNCTION("""COMPUTED_VALUE"""),"6285606014252")</f>
        <v>6285606014252</v>
      </c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4"/>
      <c r="AC359" s="53"/>
      <c r="AD359" s="53"/>
      <c r="AE359" s="54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4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>
        <f>IFERROR(__xludf.DUMMYFUNCTION("""COMPUTED_VALUE"""),0.0)</f>
        <v>0</v>
      </c>
      <c r="BD359" s="54">
        <f>IFERROR(__xludf.DUMMYFUNCTION("""COMPUTED_VALUE"""),0.0)</f>
        <v>0</v>
      </c>
      <c r="BE359" s="54">
        <f>IFERROR(__xludf.DUMMYFUNCTION("""COMPUTED_VALUE"""),0.0)</f>
        <v>0</v>
      </c>
      <c r="BF359" s="55">
        <f>IFERROR(__xludf.DUMMYFUNCTION("""COMPUTED_VALUE"""),0.0)</f>
        <v>0</v>
      </c>
      <c r="BG359" s="53"/>
      <c r="BH359" s="53"/>
      <c r="BI359" s="53"/>
      <c r="BJ359" s="45"/>
      <c r="BK359" s="45"/>
      <c r="BL359" s="45"/>
      <c r="BM359" s="45"/>
      <c r="BN359" s="45"/>
      <c r="BO359" s="46"/>
    </row>
    <row r="360">
      <c r="A360" s="36">
        <f>IFERROR(__xludf.DUMMYFUNCTION("""COMPUTED_VALUE"""),359.0)</f>
        <v>359</v>
      </c>
      <c r="B360" s="37" t="str">
        <f>IFERROR(__xludf.DUMMYFUNCTION("""COMPUTED_VALUE"""),"ALILATUL BARIZA")</f>
        <v>ALILATUL BARIZA</v>
      </c>
      <c r="C360" s="38">
        <f>IFERROR(__xludf.DUMMYFUNCTION("""COMPUTED_VALUE"""),2.025090674E9)</f>
        <v>2025090674</v>
      </c>
      <c r="D360" s="37" t="str">
        <f>IFERROR(__xludf.DUMMYFUNCTION("""COMPUTED_VALUE"""),"MUSYAFI`IN")</f>
        <v>MUSYAFI`IN</v>
      </c>
      <c r="E360" s="37" t="str">
        <f>IFERROR(__xludf.DUMMYFUNCTION("""COMPUTED_VALUE"""),"UMI BAROROH")</f>
        <v>UMI BAROROH</v>
      </c>
      <c r="F360" s="37" t="str">
        <f>IFERROR(__xludf.DUMMYFUNCTION("""COMPUTED_VALUE"""),"CUMPLENG BRENGKOK RT 001 RW 012 BRONDONG LAMONGAN")</f>
        <v>CUMPLENG BRENGKOK RT 001 RW 012 BRONDONG LAMONGAN</v>
      </c>
      <c r="G360" s="56" t="str">
        <f>IFERROR(__xludf.DUMMYFUNCTION("""COMPUTED_VALUE"""),"MA-XI.1")</f>
        <v>MA-XI.1</v>
      </c>
      <c r="H360" s="36" t="str">
        <f>IFERROR(__xludf.DUMMYFUNCTION("""COMPUTED_VALUE"""),"C")</f>
        <v>C</v>
      </c>
      <c r="I360" s="40" t="str">
        <f>IFERROR(__xludf.DUMMYFUNCTION("""COMPUTED_VALUE"""),"C-1")</f>
        <v>C-1</v>
      </c>
      <c r="J360" s="40">
        <f>IFERROR(__xludf.DUMMYFUNCTION("""COMPUTED_VALUE"""),2.0)</f>
        <v>2</v>
      </c>
      <c r="K360" s="40" t="str">
        <f>IFERROR(__xludf.DUMMYFUNCTION("""COMPUTED_VALUE"""),"TAHFIDZ")</f>
        <v>TAHFIDZ</v>
      </c>
      <c r="L360" s="41" t="str">
        <f>IFERROR(__xludf.DUMMYFUNCTION("""COMPUTED_VALUE"""),"6285731864758")</f>
        <v>6285731864758</v>
      </c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3"/>
      <c r="Z360" s="43"/>
      <c r="AA360" s="42"/>
      <c r="AB360" s="42">
        <f>IFERROR(__xludf.DUMMYFUNCTION("""COMPUTED_VALUE"""),500000.0)</f>
        <v>500000</v>
      </c>
      <c r="AC360" s="43"/>
      <c r="AD360" s="43"/>
      <c r="AE360" s="43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>
        <f>IFERROR(__xludf.DUMMYFUNCTION("""COMPUTED_VALUE"""),500000.0)</f>
        <v>500000</v>
      </c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>
        <f>IFERROR(__xludf.DUMMYFUNCTION("""COMPUTED_VALUE"""),0.0)</f>
        <v>0</v>
      </c>
      <c r="BD360" s="43">
        <f>IFERROR(__xludf.DUMMYFUNCTION("""COMPUTED_VALUE"""),1000000.0)</f>
        <v>1000000</v>
      </c>
      <c r="BE360" s="43">
        <f>IFERROR(__xludf.DUMMYFUNCTION("""COMPUTED_VALUE"""),0.0)</f>
        <v>0</v>
      </c>
      <c r="BF360" s="44">
        <f>IFERROR(__xludf.DUMMYFUNCTION("""COMPUTED_VALUE"""),1000000.0)</f>
        <v>1000000</v>
      </c>
      <c r="BG360" s="42"/>
      <c r="BH360" s="42"/>
      <c r="BI360" s="42"/>
      <c r="BJ360" s="45"/>
      <c r="BK360" s="45"/>
      <c r="BL360" s="45"/>
      <c r="BM360" s="45"/>
      <c r="BN360" s="45"/>
      <c r="BO360" s="46"/>
    </row>
    <row r="361">
      <c r="A361" s="47">
        <f>IFERROR(__xludf.DUMMYFUNCTION("""COMPUTED_VALUE"""),360.0)</f>
        <v>360</v>
      </c>
      <c r="B361" s="48" t="str">
        <f>IFERROR(__xludf.DUMMYFUNCTION("""COMPUTED_VALUE"""),"NAJWA DURROTUS TSANIA")</f>
        <v>NAJWA DURROTUS TSANIA</v>
      </c>
      <c r="C361" s="49">
        <f>IFERROR(__xludf.DUMMYFUNCTION("""COMPUTED_VALUE"""),2.025070277E9)</f>
        <v>2025070277</v>
      </c>
      <c r="D361" s="48" t="str">
        <f>IFERROR(__xludf.DUMMYFUNCTION("""COMPUTED_VALUE"""),"SUDARSONO")</f>
        <v>SUDARSONO</v>
      </c>
      <c r="E361" s="48" t="str">
        <f>IFERROR(__xludf.DUMMYFUNCTION("""COMPUTED_VALUE"""),"MUJAIYAH")</f>
        <v>MUJAIYAH</v>
      </c>
      <c r="F361" s="48" t="str">
        <f>IFERROR(__xludf.DUMMYFUNCTION("""COMPUTED_VALUE"""),"BADU BADURAME RT 001 RW 004 TURI LAMONGAN")</f>
        <v>BADU BADURAME RT 001 RW 004 TURI LAMONGAN</v>
      </c>
      <c r="G361" s="49" t="str">
        <f>IFERROR(__xludf.DUMMYFUNCTION("""COMPUTED_VALUE"""),"MA-XI.6")</f>
        <v>MA-XI.6</v>
      </c>
      <c r="H361" s="47" t="str">
        <f>IFERROR(__xludf.DUMMYFUNCTION("""COMPUTED_VALUE"""),"C")</f>
        <v>C</v>
      </c>
      <c r="I361" s="51" t="str">
        <f>IFERROR(__xludf.DUMMYFUNCTION("""COMPUTED_VALUE"""),"C-1")</f>
        <v>C-1</v>
      </c>
      <c r="J361" s="51">
        <f>IFERROR(__xludf.DUMMYFUNCTION("""COMPUTED_VALUE"""),2.0)</f>
        <v>2</v>
      </c>
      <c r="K361" s="51" t="str">
        <f>IFERROR(__xludf.DUMMYFUNCTION("""COMPUTED_VALUE"""),"2 WUSTHO B PUTRI")</f>
        <v>2 WUSTHO B PUTRI</v>
      </c>
      <c r="L361" s="52" t="str">
        <f>IFERROR(__xludf.DUMMYFUNCTION("""COMPUTED_VALUE"""),"6285546050558")</f>
        <v>6285546050558</v>
      </c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4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4">
        <f>IFERROR(__xludf.DUMMYFUNCTION("""COMPUTED_VALUE"""),0.0)</f>
        <v>0</v>
      </c>
      <c r="BD361" s="54">
        <f>IFERROR(__xludf.DUMMYFUNCTION("""COMPUTED_VALUE"""),0.0)</f>
        <v>0</v>
      </c>
      <c r="BE361" s="54">
        <f>IFERROR(__xludf.DUMMYFUNCTION("""COMPUTED_VALUE"""),0.0)</f>
        <v>0</v>
      </c>
      <c r="BF361" s="55">
        <f>IFERROR(__xludf.DUMMYFUNCTION("""COMPUTED_VALUE"""),0.0)</f>
        <v>0</v>
      </c>
      <c r="BG361" s="53"/>
      <c r="BH361" s="53"/>
      <c r="BI361" s="53"/>
      <c r="BJ361" s="45"/>
      <c r="BK361" s="45"/>
      <c r="BL361" s="45"/>
      <c r="BM361" s="45"/>
      <c r="BN361" s="45"/>
      <c r="BO361" s="46"/>
    </row>
    <row r="362">
      <c r="A362" s="36">
        <f>IFERROR(__xludf.DUMMYFUNCTION("""COMPUTED_VALUE"""),361.0)</f>
        <v>361</v>
      </c>
      <c r="B362" s="37" t="str">
        <f>IFERROR(__xludf.DUMMYFUNCTION("""COMPUTED_VALUE"""),"MUHAMMAD JEFFRY JUNAIDI")</f>
        <v>MUHAMMAD JEFFRY JUNAIDI</v>
      </c>
      <c r="C362" s="38">
        <f>IFERROR(__xludf.DUMMYFUNCTION("""COMPUTED_VALUE"""),2.025100677E9)</f>
        <v>2025100677</v>
      </c>
      <c r="D362" s="37" t="str">
        <f>IFERROR(__xludf.DUMMYFUNCTION("""COMPUTED_VALUE"""),"KHOIRUL JUNAIDI")</f>
        <v>KHOIRUL JUNAIDI</v>
      </c>
      <c r="E362" s="37" t="str">
        <f>IFERROR(__xludf.DUMMYFUNCTION("""COMPUTED_VALUE"""),"MASRO ERNAWATI")</f>
        <v>MASRO ERNAWATI</v>
      </c>
      <c r="F362" s="37" t="str">
        <f>IFERROR(__xludf.DUMMYFUNCTION("""COMPUTED_VALUE"""),"JL. PANGLIMA SUDIRMAN 33 RT 003 RW 004 SIDOKUMPUL LAMONGAN")</f>
        <v>JL. PANGLIMA SUDIRMAN 33 RT 003 RW 004 SIDOKUMPUL LAMONGAN</v>
      </c>
      <c r="G362" s="56" t="str">
        <f>IFERROR(__xludf.DUMMYFUNCTION("""COMPUTED_VALUE"""),"MA-XI.13")</f>
        <v>MA-XI.13</v>
      </c>
      <c r="H362" s="36" t="str">
        <f>IFERROR(__xludf.DUMMYFUNCTION("""COMPUTED_VALUE"""),"A")</f>
        <v>A</v>
      </c>
      <c r="I362" s="40" t="str">
        <f>IFERROR(__xludf.DUMMYFUNCTION("""COMPUTED_VALUE"""),"A-1")</f>
        <v>A-1</v>
      </c>
      <c r="J362" s="40">
        <f>IFERROR(__xludf.DUMMYFUNCTION("""COMPUTED_VALUE"""),2.0)</f>
        <v>2</v>
      </c>
      <c r="K362" s="40" t="str">
        <f>IFERROR(__xludf.DUMMYFUNCTION("""COMPUTED_VALUE"""),"2 MAK PUTRA")</f>
        <v>2 MAK PUTRA</v>
      </c>
      <c r="L362" s="41" t="str">
        <f>IFERROR(__xludf.DUMMYFUNCTION("""COMPUTED_VALUE"""),"6285880120002")</f>
        <v>6285880120002</v>
      </c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>
        <f>IFERROR(__xludf.DUMMYFUNCTION("""COMPUTED_VALUE"""),450000.0)</f>
        <v>450000</v>
      </c>
      <c r="AA362" s="43"/>
      <c r="AB362" s="43"/>
      <c r="AC362" s="43"/>
      <c r="AD362" s="43"/>
      <c r="AE362" s="43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3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3">
        <f>IFERROR(__xludf.DUMMYFUNCTION("""COMPUTED_VALUE"""),450000.0)</f>
        <v>450000</v>
      </c>
      <c r="BD362" s="43">
        <f>IFERROR(__xludf.DUMMYFUNCTION("""COMPUTED_VALUE"""),0.0)</f>
        <v>0</v>
      </c>
      <c r="BE362" s="43">
        <f>IFERROR(__xludf.DUMMYFUNCTION("""COMPUTED_VALUE"""),0.0)</f>
        <v>0</v>
      </c>
      <c r="BF362" s="44">
        <f>IFERROR(__xludf.DUMMYFUNCTION("""COMPUTED_VALUE"""),450000.0)</f>
        <v>450000</v>
      </c>
      <c r="BG362" s="42"/>
      <c r="BH362" s="42"/>
      <c r="BI362" s="42"/>
      <c r="BJ362" s="45"/>
      <c r="BK362" s="45"/>
      <c r="BL362" s="45"/>
      <c r="BM362" s="45"/>
      <c r="BN362" s="45"/>
      <c r="BO362" s="46"/>
    </row>
    <row r="363">
      <c r="A363" s="47">
        <f>IFERROR(__xludf.DUMMYFUNCTION("""COMPUTED_VALUE"""),362.0)</f>
        <v>362</v>
      </c>
      <c r="B363" s="48" t="str">
        <f>IFERROR(__xludf.DUMMYFUNCTION("""COMPUTED_VALUE"""),"HURIN INHAYATUS SHOLIHAH")</f>
        <v>HURIN INHAYATUS SHOLIHAH</v>
      </c>
      <c r="C363" s="49">
        <f>IFERROR(__xludf.DUMMYFUNCTION("""COMPUTED_VALUE"""),2.025110682E9)</f>
        <v>2025110682</v>
      </c>
      <c r="D363" s="48" t="str">
        <f>IFERROR(__xludf.DUMMYFUNCTION("""COMPUTED_VALUE"""),"SHOLIHUL AMIN")</f>
        <v>SHOLIHUL AMIN</v>
      </c>
      <c r="E363" s="48" t="str">
        <f>IFERROR(__xludf.DUMMYFUNCTION("""COMPUTED_VALUE"""),"UMU FAROHAH")</f>
        <v>UMU FAROHAH</v>
      </c>
      <c r="F363" s="48" t="str">
        <f>IFERROR(__xludf.DUMMYFUNCTION("""COMPUTED_VALUE"""),"TENGGULUN RT 001 RW 001 SOLOKURO LAMONGAN")</f>
        <v>TENGGULUN RT 001 RW 001 SOLOKURO LAMONGAN</v>
      </c>
      <c r="G363" s="50" t="str">
        <f>IFERROR(__xludf.DUMMYFUNCTION("""COMPUTED_VALUE"""),"MA-XI.11")</f>
        <v>MA-XI.11</v>
      </c>
      <c r="H363" s="47" t="str">
        <f>IFERROR(__xludf.DUMMYFUNCTION("""COMPUTED_VALUE"""),"B")</f>
        <v>B</v>
      </c>
      <c r="I363" s="51" t="str">
        <f>IFERROR(__xludf.DUMMYFUNCTION("""COMPUTED_VALUE"""),"B-1")</f>
        <v>B-1</v>
      </c>
      <c r="J363" s="51">
        <f>IFERROR(__xludf.DUMMYFUNCTION("""COMPUTED_VALUE"""),2.0)</f>
        <v>2</v>
      </c>
      <c r="K363" s="51" t="str">
        <f>IFERROR(__xludf.DUMMYFUNCTION("""COMPUTED_VALUE"""),"2 WUSTHO C PUTRI")</f>
        <v>2 WUSTHO C PUTRI</v>
      </c>
      <c r="L363" s="52" t="str">
        <f>IFERROR(__xludf.DUMMYFUNCTION("""COMPUTED_VALUE"""),"6285856480046")</f>
        <v>6285856480046</v>
      </c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4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4">
        <f>IFERROR(__xludf.DUMMYFUNCTION("""COMPUTED_VALUE"""),0.0)</f>
        <v>0</v>
      </c>
      <c r="BD363" s="54">
        <f>IFERROR(__xludf.DUMMYFUNCTION("""COMPUTED_VALUE"""),0.0)</f>
        <v>0</v>
      </c>
      <c r="BE363" s="54">
        <f>IFERROR(__xludf.DUMMYFUNCTION("""COMPUTED_VALUE"""),0.0)</f>
        <v>0</v>
      </c>
      <c r="BF363" s="55">
        <f>IFERROR(__xludf.DUMMYFUNCTION("""COMPUTED_VALUE"""),0.0)</f>
        <v>0</v>
      </c>
      <c r="BG363" s="53"/>
      <c r="BH363" s="53"/>
      <c r="BI363" s="53"/>
      <c r="BJ363" s="45"/>
      <c r="BK363" s="45"/>
      <c r="BL363" s="45"/>
      <c r="BM363" s="45"/>
      <c r="BN363" s="45"/>
      <c r="BO363" s="46"/>
    </row>
    <row r="364">
      <c r="A364" s="36">
        <f>IFERROR(__xludf.DUMMYFUNCTION("""COMPUTED_VALUE"""),363.0)</f>
        <v>363</v>
      </c>
      <c r="B364" s="37" t="str">
        <f>IFERROR(__xludf.DUMMYFUNCTION("""COMPUTED_VALUE"""),"JAZILATUN NURUN NABILA")</f>
        <v>JAZILATUN NURUN NABILA</v>
      </c>
      <c r="C364" s="38">
        <f>IFERROR(__xludf.DUMMYFUNCTION("""COMPUTED_VALUE"""),2.025110683E9)</f>
        <v>2025110683</v>
      </c>
      <c r="D364" s="37" t="str">
        <f>IFERROR(__xludf.DUMMYFUNCTION("""COMPUTED_VALUE"""),"MUKHAMAD GUNAWAN")</f>
        <v>MUKHAMAD GUNAWAN</v>
      </c>
      <c r="E364" s="37" t="str">
        <f>IFERROR(__xludf.DUMMYFUNCTION("""COMPUTED_VALUE"""),"NINIM LATHIFAH")</f>
        <v>NINIM LATHIFAH</v>
      </c>
      <c r="F364" s="37" t="str">
        <f>IFERROR(__xludf.DUMMYFUNCTION("""COMPUTED_VALUE"""),"BESUR RT 005 RW 002 SEKARAN LAMONGAN")</f>
        <v>BESUR RT 005 RW 002 SEKARAN LAMONGAN</v>
      </c>
      <c r="G364" s="39" t="str">
        <f>IFERROR(__xludf.DUMMYFUNCTION("""COMPUTED_VALUE"""),"#N/A")</f>
        <v>#N/A</v>
      </c>
      <c r="H364" s="36" t="str">
        <f>IFERROR(__xludf.DUMMYFUNCTION("""COMPUTED_VALUE"""),"C")</f>
        <v>C</v>
      </c>
      <c r="I364" s="40" t="str">
        <f>IFERROR(__xludf.DUMMYFUNCTION("""COMPUTED_VALUE"""),"C-1")</f>
        <v>C-1</v>
      </c>
      <c r="J364" s="40">
        <f>IFERROR(__xludf.DUMMYFUNCTION("""COMPUTED_VALUE"""),2.0)</f>
        <v>2</v>
      </c>
      <c r="K364" s="40" t="str">
        <f>IFERROR(__xludf.DUMMYFUNCTION("""COMPUTED_VALUE"""),"2 ULA A PUTRI")</f>
        <v>2 ULA A PUTRI</v>
      </c>
      <c r="L364" s="41" t="str">
        <f>IFERROR(__xludf.DUMMYFUNCTION("""COMPUTED_VALUE"""),"6285746584003")</f>
        <v>6285746584003</v>
      </c>
      <c r="M364" s="42"/>
      <c r="N364" s="42"/>
      <c r="O364" s="42"/>
      <c r="P364" s="42"/>
      <c r="Q364" s="42"/>
      <c r="R364" s="42"/>
      <c r="S364" s="43"/>
      <c r="T364" s="43"/>
      <c r="U364" s="43">
        <f>IFERROR(__xludf.DUMMYFUNCTION("""COMPUTED_VALUE"""),450000.0)</f>
        <v>450000</v>
      </c>
      <c r="V364" s="43">
        <f>IFERROR(__xludf.DUMMYFUNCTION("""COMPUTED_VALUE"""),450000.0)</f>
        <v>450000</v>
      </c>
      <c r="W364" s="43">
        <f>IFERROR(__xludf.DUMMYFUNCTION("""COMPUTED_VALUE"""),450000.0)</f>
        <v>450000</v>
      </c>
      <c r="X364" s="43">
        <f>IFERROR(__xludf.DUMMYFUNCTION("""COMPUTED_VALUE"""),450000.0)</f>
        <v>450000</v>
      </c>
      <c r="Y364" s="43">
        <f>IFERROR(__xludf.DUMMYFUNCTION("""COMPUTED_VALUE"""),450000.0)</f>
        <v>450000</v>
      </c>
      <c r="Z364" s="43">
        <f>IFERROR(__xludf.DUMMYFUNCTION("""COMPUTED_VALUE"""),450000.0)</f>
        <v>450000</v>
      </c>
      <c r="AA364" s="43"/>
      <c r="AB364" s="43"/>
      <c r="AC364" s="43"/>
      <c r="AD364" s="43"/>
      <c r="AE364" s="43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3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3">
        <f>IFERROR(__xludf.DUMMYFUNCTION("""COMPUTED_VALUE"""),2700000.0)</f>
        <v>2700000</v>
      </c>
      <c r="BD364" s="43">
        <f>IFERROR(__xludf.DUMMYFUNCTION("""COMPUTED_VALUE"""),0.0)</f>
        <v>0</v>
      </c>
      <c r="BE364" s="43">
        <f>IFERROR(__xludf.DUMMYFUNCTION("""COMPUTED_VALUE"""),0.0)</f>
        <v>0</v>
      </c>
      <c r="BF364" s="44">
        <f>IFERROR(__xludf.DUMMYFUNCTION("""COMPUTED_VALUE"""),2700000.0)</f>
        <v>2700000</v>
      </c>
      <c r="BG364" s="42"/>
      <c r="BH364" s="42"/>
      <c r="BI364" s="42"/>
      <c r="BJ364" s="45"/>
      <c r="BK364" s="45"/>
      <c r="BL364" s="45"/>
      <c r="BM364" s="45"/>
      <c r="BN364" s="45"/>
      <c r="BO364" s="46"/>
    </row>
    <row r="365">
      <c r="A365" s="47">
        <f>IFERROR(__xludf.DUMMYFUNCTION("""COMPUTED_VALUE"""),364.0)</f>
        <v>364</v>
      </c>
      <c r="B365" s="48" t="str">
        <f>IFERROR(__xludf.DUMMYFUNCTION("""COMPUTED_VALUE"""),"REVALINA AZZAHRA")</f>
        <v>REVALINA AZZAHRA</v>
      </c>
      <c r="C365" s="49">
        <f>IFERROR(__xludf.DUMMYFUNCTION("""COMPUTED_VALUE"""),2.026010001E9)</f>
        <v>2026010001</v>
      </c>
      <c r="D365" s="48"/>
      <c r="E365" s="48"/>
      <c r="F365" s="48"/>
      <c r="G365" s="50" t="str">
        <f>IFERROR(__xludf.DUMMYFUNCTION("""COMPUTED_VALUE"""),"MA-XI.11")</f>
        <v>MA-XI.11</v>
      </c>
      <c r="H365" s="47" t="str">
        <f>IFERROR(__xludf.DUMMYFUNCTION("""COMPUTED_VALUE"""),"B")</f>
        <v>B</v>
      </c>
      <c r="I365" s="51" t="str">
        <f>IFERROR(__xludf.DUMMYFUNCTION("""COMPUTED_VALUE"""),"B-1")</f>
        <v>B-1</v>
      </c>
      <c r="J365" s="51">
        <f>IFERROR(__xludf.DUMMYFUNCTION("""COMPUTED_VALUE"""),2.0)</f>
        <v>2</v>
      </c>
      <c r="K365" s="51"/>
      <c r="L365" s="52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>
        <f>IFERROR(__xludf.DUMMYFUNCTION("""COMPUTED_VALUE"""),450000.0)</f>
        <v>450000</v>
      </c>
      <c r="X365" s="53">
        <f>IFERROR(__xludf.DUMMYFUNCTION("""COMPUTED_VALUE"""),450000.0)</f>
        <v>450000</v>
      </c>
      <c r="Y365" s="53">
        <f>IFERROR(__xludf.DUMMYFUNCTION("""COMPUTED_VALUE"""),450000.0)</f>
        <v>450000</v>
      </c>
      <c r="Z365" s="54">
        <f>IFERROR(__xludf.DUMMYFUNCTION("""COMPUTED_VALUE"""),450000.0)</f>
        <v>450000</v>
      </c>
      <c r="AA365" s="54"/>
      <c r="AB365" s="54"/>
      <c r="AC365" s="54"/>
      <c r="AD365" s="54"/>
      <c r="AE365" s="54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4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4">
        <f>IFERROR(__xludf.DUMMYFUNCTION("""COMPUTED_VALUE"""),1800000.0)</f>
        <v>1800000</v>
      </c>
      <c r="BD365" s="54">
        <f>IFERROR(__xludf.DUMMYFUNCTION("""COMPUTED_VALUE"""),0.0)</f>
        <v>0</v>
      </c>
      <c r="BE365" s="54">
        <f>IFERROR(__xludf.DUMMYFUNCTION("""COMPUTED_VALUE"""),0.0)</f>
        <v>0</v>
      </c>
      <c r="BF365" s="55">
        <f>IFERROR(__xludf.DUMMYFUNCTION("""COMPUTED_VALUE"""),1800000.0)</f>
        <v>1800000</v>
      </c>
      <c r="BG365" s="53"/>
      <c r="BH365" s="53"/>
      <c r="BI365" s="53"/>
      <c r="BJ365" s="45"/>
      <c r="BK365" s="45"/>
      <c r="BL365" s="45"/>
      <c r="BM365" s="45"/>
      <c r="BN365" s="45"/>
      <c r="BO365" s="46"/>
    </row>
    <row r="366">
      <c r="A366" s="36">
        <f>IFERROR(__xludf.DUMMYFUNCTION("""COMPUTED_VALUE"""),365.0)</f>
        <v>365</v>
      </c>
      <c r="B366" s="37" t="str">
        <f>IFERROR(__xludf.DUMMYFUNCTION("""COMPUTED_VALUE"""),"HONEST MAHFUDZOH")</f>
        <v>HONEST MAHFUDZOH</v>
      </c>
      <c r="C366" s="38">
        <f>IFERROR(__xludf.DUMMYFUNCTION("""COMPUTED_VALUE"""),2.026010002E9)</f>
        <v>2026010002</v>
      </c>
      <c r="D366" s="37"/>
      <c r="E366" s="37"/>
      <c r="F366" s="37"/>
      <c r="G366" s="38" t="str">
        <f>IFERROR(__xludf.DUMMYFUNCTION("""COMPUTED_VALUE"""),"MA-XI.11")</f>
        <v>MA-XI.11</v>
      </c>
      <c r="H366" s="36" t="str">
        <f>IFERROR(__xludf.DUMMYFUNCTION("""COMPUTED_VALUE"""),"C")</f>
        <v>C</v>
      </c>
      <c r="I366" s="40" t="str">
        <f>IFERROR(__xludf.DUMMYFUNCTION("""COMPUTED_VALUE"""),"C-1")</f>
        <v>C-1</v>
      </c>
      <c r="J366" s="40">
        <f>IFERROR(__xludf.DUMMYFUNCTION("""COMPUTED_VALUE"""),2.0)</f>
        <v>2</v>
      </c>
      <c r="K366" s="40"/>
      <c r="L366" s="41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3"/>
      <c r="AB366" s="43"/>
      <c r="AC366" s="42"/>
      <c r="AD366" s="43"/>
      <c r="AE366" s="43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3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3">
        <f>IFERROR(__xludf.DUMMYFUNCTION("""COMPUTED_VALUE"""),0.0)</f>
        <v>0</v>
      </c>
      <c r="BD366" s="43">
        <f>IFERROR(__xludf.DUMMYFUNCTION("""COMPUTED_VALUE"""),0.0)</f>
        <v>0</v>
      </c>
      <c r="BE366" s="43">
        <f>IFERROR(__xludf.DUMMYFUNCTION("""COMPUTED_VALUE"""),0.0)</f>
        <v>0</v>
      </c>
      <c r="BF366" s="44">
        <f>IFERROR(__xludf.DUMMYFUNCTION("""COMPUTED_VALUE"""),0.0)</f>
        <v>0</v>
      </c>
      <c r="BG366" s="42"/>
      <c r="BH366" s="42"/>
      <c r="BI366" s="42"/>
      <c r="BJ366" s="45"/>
      <c r="BK366" s="45"/>
      <c r="BL366" s="45"/>
      <c r="BM366" s="45"/>
      <c r="BN366" s="45"/>
      <c r="BO366" s="46"/>
    </row>
    <row r="367">
      <c r="A367" s="47" t="str">
        <f>IFERROR(__xludf.DUMMYFUNCTION("""COMPUTED_VALUE"""),"")</f>
        <v/>
      </c>
      <c r="B367" s="48"/>
      <c r="C367" s="49"/>
      <c r="D367" s="48"/>
      <c r="E367" s="48"/>
      <c r="F367" s="48"/>
      <c r="G367" s="50"/>
      <c r="H367" s="47"/>
      <c r="I367" s="51"/>
      <c r="J367" s="51"/>
      <c r="K367" s="51"/>
      <c r="L367" s="52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4"/>
      <c r="AC367" s="54"/>
      <c r="AD367" s="54"/>
      <c r="AE367" s="54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4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4"/>
      <c r="BD367" s="54"/>
      <c r="BE367" s="54"/>
      <c r="BF367" s="55"/>
      <c r="BG367" s="53"/>
      <c r="BH367" s="53"/>
      <c r="BI367" s="53"/>
      <c r="BJ367" s="45"/>
      <c r="BK367" s="45"/>
      <c r="BL367" s="45"/>
      <c r="BM367" s="45"/>
      <c r="BN367" s="45"/>
      <c r="BO367" s="46"/>
    </row>
    <row r="368">
      <c r="A368" s="36" t="str">
        <f>IFERROR(__xludf.DUMMYFUNCTION("""COMPUTED_VALUE"""),"")</f>
        <v/>
      </c>
      <c r="B368" s="37"/>
      <c r="C368" s="38"/>
      <c r="D368" s="37"/>
      <c r="E368" s="37"/>
      <c r="F368" s="37"/>
      <c r="G368" s="39"/>
      <c r="H368" s="36"/>
      <c r="I368" s="40"/>
      <c r="J368" s="40"/>
      <c r="K368" s="40"/>
      <c r="L368" s="41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3"/>
      <c r="AB368" s="43"/>
      <c r="AC368" s="43"/>
      <c r="AD368" s="43"/>
      <c r="AE368" s="43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3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3"/>
      <c r="BD368" s="43"/>
      <c r="BE368" s="43"/>
      <c r="BF368" s="44"/>
      <c r="BG368" s="42"/>
      <c r="BH368" s="42"/>
      <c r="BI368" s="42"/>
      <c r="BJ368" s="45"/>
      <c r="BK368" s="45"/>
      <c r="BL368" s="45"/>
      <c r="BM368" s="45"/>
      <c r="BN368" s="45"/>
      <c r="BO368" s="46"/>
    </row>
    <row r="369">
      <c r="A369" s="47" t="str">
        <f>IFERROR(__xludf.DUMMYFUNCTION("""COMPUTED_VALUE"""),"")</f>
        <v/>
      </c>
      <c r="B369" s="48"/>
      <c r="C369" s="49"/>
      <c r="D369" s="48"/>
      <c r="E369" s="48"/>
      <c r="F369" s="48"/>
      <c r="G369" s="50"/>
      <c r="H369" s="47"/>
      <c r="I369" s="51"/>
      <c r="J369" s="51"/>
      <c r="K369" s="51"/>
      <c r="L369" s="52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4"/>
      <c r="AC369" s="53"/>
      <c r="AD369" s="53"/>
      <c r="AE369" s="54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4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4"/>
      <c r="BD369" s="54"/>
      <c r="BE369" s="54"/>
      <c r="BF369" s="55"/>
      <c r="BG369" s="53"/>
      <c r="BH369" s="53"/>
      <c r="BI369" s="53"/>
      <c r="BJ369" s="45"/>
      <c r="BK369" s="45"/>
      <c r="BL369" s="45"/>
      <c r="BM369" s="45"/>
      <c r="BN369" s="45"/>
      <c r="BO369" s="46"/>
    </row>
    <row r="370">
      <c r="A370" s="36" t="str">
        <f>IFERROR(__xludf.DUMMYFUNCTION("""COMPUTED_VALUE"""),"")</f>
        <v/>
      </c>
      <c r="B370" s="37"/>
      <c r="C370" s="38"/>
      <c r="D370" s="37"/>
      <c r="E370" s="37"/>
      <c r="F370" s="37"/>
      <c r="G370" s="38"/>
      <c r="H370" s="36"/>
      <c r="I370" s="40"/>
      <c r="J370" s="40"/>
      <c r="K370" s="40"/>
      <c r="L370" s="39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3"/>
      <c r="AB370" s="43"/>
      <c r="AC370" s="43"/>
      <c r="AD370" s="43"/>
      <c r="AE370" s="43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3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3"/>
      <c r="BD370" s="43"/>
      <c r="BE370" s="43"/>
      <c r="BF370" s="44"/>
      <c r="BG370" s="42"/>
      <c r="BH370" s="42"/>
      <c r="BI370" s="42"/>
      <c r="BJ370" s="45"/>
      <c r="BK370" s="45"/>
      <c r="BL370" s="45"/>
      <c r="BM370" s="45"/>
      <c r="BN370" s="45"/>
      <c r="BO370" s="46"/>
    </row>
    <row r="371">
      <c r="A371" s="47" t="str">
        <f>IFERROR(__xludf.DUMMYFUNCTION("""COMPUTED_VALUE"""),"")</f>
        <v/>
      </c>
      <c r="B371" s="48"/>
      <c r="C371" s="49"/>
      <c r="D371" s="48"/>
      <c r="E371" s="48"/>
      <c r="F371" s="48"/>
      <c r="G371" s="50"/>
      <c r="H371" s="47"/>
      <c r="I371" s="51"/>
      <c r="J371" s="51"/>
      <c r="K371" s="51"/>
      <c r="L371" s="52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4"/>
      <c r="AE371" s="54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4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4"/>
      <c r="BD371" s="54"/>
      <c r="BE371" s="54"/>
      <c r="BF371" s="55"/>
      <c r="BG371" s="53"/>
      <c r="BH371" s="53"/>
      <c r="BI371" s="53"/>
      <c r="BJ371" s="45"/>
      <c r="BK371" s="45"/>
      <c r="BL371" s="45"/>
      <c r="BM371" s="45"/>
      <c r="BN371" s="45"/>
      <c r="BO371" s="46"/>
    </row>
    <row r="372">
      <c r="A372" s="36" t="str">
        <f>IFERROR(__xludf.DUMMYFUNCTION("""COMPUTED_VALUE"""),"")</f>
        <v/>
      </c>
      <c r="B372" s="37"/>
      <c r="C372" s="38"/>
      <c r="D372" s="37"/>
      <c r="E372" s="37"/>
      <c r="F372" s="37"/>
      <c r="G372" s="38"/>
      <c r="H372" s="36"/>
      <c r="I372" s="40"/>
      <c r="J372" s="40"/>
      <c r="K372" s="40"/>
      <c r="L372" s="41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3"/>
      <c r="AC372" s="42"/>
      <c r="AD372" s="42"/>
      <c r="AE372" s="43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3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3"/>
      <c r="BD372" s="43"/>
      <c r="BE372" s="43"/>
      <c r="BF372" s="44"/>
      <c r="BG372" s="42"/>
      <c r="BH372" s="42"/>
      <c r="BI372" s="42"/>
      <c r="BJ372" s="45"/>
      <c r="BK372" s="45"/>
      <c r="BL372" s="45"/>
      <c r="BM372" s="45"/>
      <c r="BN372" s="45"/>
      <c r="BO372" s="46"/>
    </row>
    <row r="373">
      <c r="A373" s="47" t="str">
        <f>IFERROR(__xludf.DUMMYFUNCTION("""COMPUTED_VALUE"""),"")</f>
        <v/>
      </c>
      <c r="B373" s="48"/>
      <c r="C373" s="49"/>
      <c r="D373" s="48"/>
      <c r="E373" s="48"/>
      <c r="F373" s="48"/>
      <c r="G373" s="49"/>
      <c r="H373" s="47"/>
      <c r="I373" s="51"/>
      <c r="J373" s="51"/>
      <c r="K373" s="51"/>
      <c r="L373" s="52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4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4"/>
      <c r="BD373" s="54"/>
      <c r="BE373" s="54"/>
      <c r="BF373" s="55"/>
      <c r="BG373" s="53"/>
      <c r="BH373" s="53"/>
      <c r="BI373" s="53"/>
      <c r="BJ373" s="45"/>
      <c r="BK373" s="45"/>
      <c r="BL373" s="45"/>
      <c r="BM373" s="45"/>
      <c r="BN373" s="45"/>
      <c r="BO373" s="46"/>
    </row>
    <row r="374">
      <c r="A374" s="36" t="str">
        <f>IFERROR(__xludf.DUMMYFUNCTION("""COMPUTED_VALUE"""),"")</f>
        <v/>
      </c>
      <c r="B374" s="37"/>
      <c r="C374" s="38"/>
      <c r="D374" s="37"/>
      <c r="E374" s="37"/>
      <c r="F374" s="37"/>
      <c r="G374" s="39"/>
      <c r="H374" s="36"/>
      <c r="I374" s="40"/>
      <c r="J374" s="40"/>
      <c r="K374" s="40"/>
      <c r="L374" s="41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3"/>
      <c r="AC374" s="42"/>
      <c r="AD374" s="43"/>
      <c r="AE374" s="43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3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3"/>
      <c r="BD374" s="43"/>
      <c r="BE374" s="43"/>
      <c r="BF374" s="44"/>
      <c r="BG374" s="42"/>
      <c r="BH374" s="42"/>
      <c r="BI374" s="42"/>
      <c r="BJ374" s="45"/>
      <c r="BK374" s="45"/>
      <c r="BL374" s="45"/>
      <c r="BM374" s="45"/>
      <c r="BN374" s="45"/>
      <c r="BO374" s="46"/>
    </row>
    <row r="375">
      <c r="A375" s="47" t="str">
        <f>IFERROR(__xludf.DUMMYFUNCTION("""COMPUTED_VALUE"""),"")</f>
        <v/>
      </c>
      <c r="B375" s="48"/>
      <c r="C375" s="49"/>
      <c r="D375" s="48"/>
      <c r="E375" s="48"/>
      <c r="F375" s="48"/>
      <c r="G375" s="50"/>
      <c r="H375" s="47"/>
      <c r="I375" s="51"/>
      <c r="J375" s="51"/>
      <c r="K375" s="51"/>
      <c r="L375" s="50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4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4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4"/>
      <c r="BD375" s="54"/>
      <c r="BE375" s="54"/>
      <c r="BF375" s="55"/>
      <c r="BG375" s="53"/>
      <c r="BH375" s="53"/>
      <c r="BI375" s="53"/>
      <c r="BJ375" s="45"/>
      <c r="BK375" s="45"/>
      <c r="BL375" s="45"/>
      <c r="BM375" s="45"/>
      <c r="BN375" s="45"/>
      <c r="BO375" s="46"/>
    </row>
    <row r="376">
      <c r="A376" s="36" t="str">
        <f>IFERROR(__xludf.DUMMYFUNCTION("""COMPUTED_VALUE"""),"")</f>
        <v/>
      </c>
      <c r="B376" s="37"/>
      <c r="C376" s="38"/>
      <c r="D376" s="37"/>
      <c r="E376" s="37"/>
      <c r="F376" s="37"/>
      <c r="G376" s="38"/>
      <c r="H376" s="36"/>
      <c r="I376" s="40"/>
      <c r="J376" s="40"/>
      <c r="K376" s="40"/>
      <c r="L376" s="41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3"/>
      <c r="AA376" s="43"/>
      <c r="AB376" s="43"/>
      <c r="AC376" s="43"/>
      <c r="AD376" s="43"/>
      <c r="AE376" s="43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3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3"/>
      <c r="BD376" s="43"/>
      <c r="BE376" s="43"/>
      <c r="BF376" s="44"/>
      <c r="BG376" s="42"/>
      <c r="BH376" s="42"/>
      <c r="BI376" s="42"/>
      <c r="BJ376" s="45"/>
      <c r="BK376" s="45"/>
      <c r="BL376" s="45"/>
      <c r="BM376" s="45"/>
      <c r="BN376" s="45"/>
      <c r="BO376" s="46"/>
    </row>
    <row r="377">
      <c r="A377" s="47" t="str">
        <f>IFERROR(__xludf.DUMMYFUNCTION("""COMPUTED_VALUE"""),"")</f>
        <v/>
      </c>
      <c r="B377" s="48"/>
      <c r="C377" s="49"/>
      <c r="D377" s="48"/>
      <c r="E377" s="48"/>
      <c r="F377" s="48"/>
      <c r="G377" s="49"/>
      <c r="H377" s="47"/>
      <c r="I377" s="51"/>
      <c r="J377" s="51"/>
      <c r="K377" s="51"/>
      <c r="L377" s="52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4"/>
      <c r="AC377" s="53"/>
      <c r="AD377" s="54"/>
      <c r="AE377" s="54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4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4"/>
      <c r="BD377" s="54"/>
      <c r="BE377" s="54"/>
      <c r="BF377" s="55"/>
      <c r="BG377" s="53"/>
      <c r="BH377" s="53"/>
      <c r="BI377" s="53"/>
      <c r="BJ377" s="45"/>
      <c r="BK377" s="45"/>
      <c r="BL377" s="45"/>
      <c r="BM377" s="45"/>
      <c r="BN377" s="45"/>
      <c r="BO377" s="46"/>
    </row>
    <row r="378">
      <c r="A378" s="36" t="str">
        <f>IFERROR(__xludf.DUMMYFUNCTION("""COMPUTED_VALUE"""),"")</f>
        <v/>
      </c>
      <c r="B378" s="37"/>
      <c r="C378" s="38"/>
      <c r="D378" s="37"/>
      <c r="E378" s="37"/>
      <c r="F378" s="37"/>
      <c r="G378" s="56"/>
      <c r="H378" s="36"/>
      <c r="I378" s="40"/>
      <c r="J378" s="40"/>
      <c r="K378" s="40"/>
      <c r="L378" s="41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3"/>
      <c r="AA378" s="43"/>
      <c r="AB378" s="43"/>
      <c r="AC378" s="43"/>
      <c r="AD378" s="43"/>
      <c r="AE378" s="43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3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3"/>
      <c r="BD378" s="43"/>
      <c r="BE378" s="43"/>
      <c r="BF378" s="44"/>
      <c r="BG378" s="42"/>
      <c r="BH378" s="42"/>
      <c r="BI378" s="42"/>
      <c r="BJ378" s="45"/>
      <c r="BK378" s="45"/>
      <c r="BL378" s="45"/>
      <c r="BM378" s="45"/>
      <c r="BN378" s="45"/>
      <c r="BO378" s="46"/>
    </row>
    <row r="379">
      <c r="A379" s="47" t="str">
        <f>IFERROR(__xludf.DUMMYFUNCTION("""COMPUTED_VALUE"""),"")</f>
        <v/>
      </c>
      <c r="B379" s="48"/>
      <c r="C379" s="49"/>
      <c r="D379" s="48"/>
      <c r="E379" s="48"/>
      <c r="F379" s="48"/>
      <c r="G379" s="50"/>
      <c r="H379" s="47"/>
      <c r="I379" s="51"/>
      <c r="J379" s="51"/>
      <c r="K379" s="51"/>
      <c r="L379" s="52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4"/>
      <c r="AC379" s="53"/>
      <c r="AD379" s="54"/>
      <c r="AE379" s="54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4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4"/>
      <c r="BD379" s="54"/>
      <c r="BE379" s="54"/>
      <c r="BF379" s="55"/>
      <c r="BG379" s="53"/>
      <c r="BH379" s="53"/>
      <c r="BI379" s="53"/>
      <c r="BJ379" s="45"/>
      <c r="BK379" s="45"/>
      <c r="BL379" s="45"/>
      <c r="BM379" s="45"/>
      <c r="BN379" s="45"/>
      <c r="BO379" s="46"/>
    </row>
    <row r="380">
      <c r="A380" s="36" t="str">
        <f>IFERROR(__xludf.DUMMYFUNCTION("""COMPUTED_VALUE"""),"")</f>
        <v/>
      </c>
      <c r="B380" s="37"/>
      <c r="C380" s="38"/>
      <c r="D380" s="37"/>
      <c r="E380" s="37"/>
      <c r="F380" s="37"/>
      <c r="G380" s="39"/>
      <c r="H380" s="36"/>
      <c r="I380" s="40"/>
      <c r="J380" s="40"/>
      <c r="K380" s="40"/>
      <c r="L380" s="41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3"/>
      <c r="AB380" s="43"/>
      <c r="AC380" s="42"/>
      <c r="AD380" s="43"/>
      <c r="AE380" s="43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3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3"/>
      <c r="BD380" s="43"/>
      <c r="BE380" s="43"/>
      <c r="BF380" s="44"/>
      <c r="BG380" s="42"/>
      <c r="BH380" s="42"/>
      <c r="BI380" s="42"/>
      <c r="BJ380" s="45"/>
      <c r="BK380" s="45"/>
      <c r="BL380" s="45"/>
      <c r="BM380" s="45"/>
      <c r="BN380" s="45"/>
      <c r="BO380" s="46"/>
    </row>
    <row r="381">
      <c r="A381" s="47" t="str">
        <f>IFERROR(__xludf.DUMMYFUNCTION("""COMPUTED_VALUE"""),"")</f>
        <v/>
      </c>
      <c r="B381" s="48"/>
      <c r="C381" s="49"/>
      <c r="D381" s="48"/>
      <c r="E381" s="48"/>
      <c r="F381" s="48"/>
      <c r="G381" s="50"/>
      <c r="H381" s="47"/>
      <c r="I381" s="51"/>
      <c r="J381" s="51"/>
      <c r="K381" s="51"/>
      <c r="L381" s="52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4"/>
      <c r="AC381" s="54"/>
      <c r="AD381" s="53"/>
      <c r="AE381" s="54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4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4"/>
      <c r="BD381" s="54"/>
      <c r="BE381" s="54"/>
      <c r="BF381" s="55"/>
      <c r="BG381" s="53"/>
      <c r="BH381" s="53"/>
      <c r="BI381" s="53"/>
      <c r="BJ381" s="45"/>
      <c r="BK381" s="45"/>
      <c r="BL381" s="45"/>
      <c r="BM381" s="45"/>
      <c r="BN381" s="45"/>
      <c r="BO381" s="46"/>
    </row>
    <row r="382">
      <c r="A382" s="36" t="str">
        <f>IFERROR(__xludf.DUMMYFUNCTION("""COMPUTED_VALUE"""),"")</f>
        <v/>
      </c>
      <c r="B382" s="37"/>
      <c r="C382" s="38"/>
      <c r="D382" s="37"/>
      <c r="E382" s="37"/>
      <c r="F382" s="37"/>
      <c r="G382" s="39"/>
      <c r="H382" s="36"/>
      <c r="I382" s="40"/>
      <c r="J382" s="40"/>
      <c r="K382" s="40"/>
      <c r="L382" s="41"/>
      <c r="M382" s="43"/>
      <c r="N382" s="42"/>
      <c r="O382" s="42"/>
      <c r="P382" s="42"/>
      <c r="Q382" s="42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3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3"/>
      <c r="BD382" s="43"/>
      <c r="BE382" s="43"/>
      <c r="BF382" s="44"/>
      <c r="BG382" s="42"/>
      <c r="BH382" s="42"/>
      <c r="BI382" s="42"/>
      <c r="BJ382" s="45"/>
      <c r="BK382" s="45"/>
      <c r="BL382" s="45"/>
      <c r="BM382" s="45"/>
      <c r="BN382" s="45"/>
      <c r="BO382" s="46"/>
    </row>
    <row r="383">
      <c r="A383" s="47" t="str">
        <f>IFERROR(__xludf.DUMMYFUNCTION("""COMPUTED_VALUE"""),"")</f>
        <v/>
      </c>
      <c r="B383" s="48"/>
      <c r="C383" s="49"/>
      <c r="D383" s="48"/>
      <c r="E383" s="48"/>
      <c r="F383" s="48"/>
      <c r="G383" s="50"/>
      <c r="H383" s="47"/>
      <c r="I383" s="51"/>
      <c r="J383" s="51"/>
      <c r="K383" s="51"/>
      <c r="L383" s="52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4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4"/>
      <c r="BD383" s="54"/>
      <c r="BE383" s="54"/>
      <c r="BF383" s="55"/>
      <c r="BG383" s="53"/>
      <c r="BH383" s="53"/>
      <c r="BI383" s="53"/>
      <c r="BJ383" s="45"/>
      <c r="BK383" s="45"/>
      <c r="BL383" s="45"/>
      <c r="BM383" s="45"/>
      <c r="BN383" s="45"/>
      <c r="BO383" s="46"/>
    </row>
    <row r="384">
      <c r="A384" s="36" t="str">
        <f>IFERROR(__xludf.DUMMYFUNCTION("""COMPUTED_VALUE"""),"")</f>
        <v/>
      </c>
      <c r="B384" s="37"/>
      <c r="C384" s="38"/>
      <c r="D384" s="37"/>
      <c r="E384" s="37"/>
      <c r="F384" s="37"/>
      <c r="G384" s="39"/>
      <c r="H384" s="36"/>
      <c r="I384" s="40"/>
      <c r="J384" s="40"/>
      <c r="K384" s="40"/>
      <c r="L384" s="41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3"/>
      <c r="AE384" s="43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3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3"/>
      <c r="BD384" s="43"/>
      <c r="BE384" s="43"/>
      <c r="BF384" s="44"/>
      <c r="BG384" s="42"/>
      <c r="BH384" s="42"/>
      <c r="BI384" s="42"/>
      <c r="BJ384" s="45"/>
      <c r="BK384" s="45"/>
      <c r="BL384" s="45"/>
      <c r="BM384" s="45"/>
      <c r="BN384" s="45"/>
      <c r="BO384" s="46"/>
    </row>
    <row r="385">
      <c r="A385" s="47" t="str">
        <f>IFERROR(__xludf.DUMMYFUNCTION("""COMPUTED_VALUE"""),"")</f>
        <v/>
      </c>
      <c r="B385" s="48"/>
      <c r="C385" s="49"/>
      <c r="D385" s="48"/>
      <c r="E385" s="48"/>
      <c r="F385" s="48"/>
      <c r="G385" s="50"/>
      <c r="H385" s="47"/>
      <c r="I385" s="51"/>
      <c r="J385" s="51"/>
      <c r="K385" s="51"/>
      <c r="L385" s="52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4"/>
      <c r="AC385" s="53"/>
      <c r="AD385" s="53"/>
      <c r="AE385" s="54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4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4"/>
      <c r="BD385" s="54"/>
      <c r="BE385" s="54"/>
      <c r="BF385" s="55"/>
      <c r="BG385" s="53"/>
      <c r="BH385" s="53"/>
      <c r="BI385" s="53"/>
      <c r="BJ385" s="45"/>
      <c r="BK385" s="45"/>
      <c r="BL385" s="45"/>
      <c r="BM385" s="45"/>
      <c r="BN385" s="45"/>
      <c r="BO385" s="46"/>
    </row>
    <row r="386">
      <c r="A386" s="36" t="str">
        <f>IFERROR(__xludf.DUMMYFUNCTION("""COMPUTED_VALUE"""),"")</f>
        <v/>
      </c>
      <c r="B386" s="37"/>
      <c r="C386" s="38"/>
      <c r="D386" s="37"/>
      <c r="E386" s="37"/>
      <c r="F386" s="37"/>
      <c r="G386" s="39"/>
      <c r="H386" s="36"/>
      <c r="I386" s="40"/>
      <c r="J386" s="40"/>
      <c r="K386" s="40"/>
      <c r="L386" s="41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3"/>
      <c r="AB386" s="43"/>
      <c r="AC386" s="43"/>
      <c r="AD386" s="43"/>
      <c r="AE386" s="43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3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3"/>
      <c r="BD386" s="43"/>
      <c r="BE386" s="43"/>
      <c r="BF386" s="44"/>
      <c r="BG386" s="42"/>
      <c r="BH386" s="42"/>
      <c r="BI386" s="42"/>
      <c r="BJ386" s="45"/>
      <c r="BK386" s="45"/>
      <c r="BL386" s="45"/>
      <c r="BM386" s="45"/>
      <c r="BN386" s="45"/>
      <c r="BO386" s="46"/>
    </row>
    <row r="387">
      <c r="A387" s="47" t="str">
        <f>IFERROR(__xludf.DUMMYFUNCTION("""COMPUTED_VALUE"""),"")</f>
        <v/>
      </c>
      <c r="B387" s="48"/>
      <c r="C387" s="49"/>
      <c r="D387" s="48"/>
      <c r="E387" s="48"/>
      <c r="F387" s="48"/>
      <c r="G387" s="50"/>
      <c r="H387" s="47"/>
      <c r="I387" s="51"/>
      <c r="J387" s="51"/>
      <c r="K387" s="51"/>
      <c r="L387" s="52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4"/>
      <c r="AC387" s="53"/>
      <c r="AD387" s="53"/>
      <c r="AE387" s="54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4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4"/>
      <c r="BD387" s="54"/>
      <c r="BE387" s="54"/>
      <c r="BF387" s="55"/>
      <c r="BG387" s="53"/>
      <c r="BH387" s="53"/>
      <c r="BI387" s="53"/>
      <c r="BJ387" s="45"/>
      <c r="BK387" s="45"/>
      <c r="BL387" s="45"/>
      <c r="BM387" s="45"/>
      <c r="BN387" s="45"/>
      <c r="BO387" s="46"/>
    </row>
    <row r="388">
      <c r="A388" s="36" t="str">
        <f>IFERROR(__xludf.DUMMYFUNCTION("""COMPUTED_VALUE"""),"")</f>
        <v/>
      </c>
      <c r="B388" s="37"/>
      <c r="C388" s="38"/>
      <c r="D388" s="37"/>
      <c r="E388" s="37"/>
      <c r="F388" s="37"/>
      <c r="G388" s="39"/>
      <c r="H388" s="36"/>
      <c r="I388" s="40"/>
      <c r="J388" s="40"/>
      <c r="K388" s="40"/>
      <c r="L388" s="41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3"/>
      <c r="AC388" s="42"/>
      <c r="AD388" s="42"/>
      <c r="AE388" s="43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3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3"/>
      <c r="BD388" s="43"/>
      <c r="BE388" s="43"/>
      <c r="BF388" s="44"/>
      <c r="BG388" s="42"/>
      <c r="BH388" s="42"/>
      <c r="BI388" s="42"/>
      <c r="BJ388" s="45"/>
      <c r="BK388" s="45"/>
      <c r="BL388" s="45"/>
      <c r="BM388" s="45"/>
      <c r="BN388" s="45"/>
      <c r="BO388" s="46"/>
    </row>
    <row r="389">
      <c r="A389" s="47" t="str">
        <f>IFERROR(__xludf.DUMMYFUNCTION("""COMPUTED_VALUE"""),"")</f>
        <v/>
      </c>
      <c r="B389" s="48"/>
      <c r="C389" s="49"/>
      <c r="D389" s="48"/>
      <c r="E389" s="48"/>
      <c r="F389" s="48"/>
      <c r="G389" s="50"/>
      <c r="H389" s="47"/>
      <c r="I389" s="51"/>
      <c r="J389" s="51"/>
      <c r="K389" s="51"/>
      <c r="L389" s="52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4"/>
      <c r="AB389" s="54"/>
      <c r="AC389" s="53"/>
      <c r="AD389" s="53"/>
      <c r="AE389" s="54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4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4"/>
      <c r="BD389" s="54"/>
      <c r="BE389" s="54"/>
      <c r="BF389" s="55"/>
      <c r="BG389" s="53"/>
      <c r="BH389" s="53"/>
      <c r="BI389" s="53"/>
      <c r="BJ389" s="45"/>
      <c r="BK389" s="45"/>
      <c r="BL389" s="45"/>
      <c r="BM389" s="45"/>
      <c r="BN389" s="45"/>
      <c r="BO389" s="46"/>
    </row>
    <row r="390">
      <c r="A390" s="36" t="str">
        <f>IFERROR(__xludf.DUMMYFUNCTION("""COMPUTED_VALUE"""),"")</f>
        <v/>
      </c>
      <c r="B390" s="37"/>
      <c r="C390" s="38"/>
      <c r="D390" s="37"/>
      <c r="E390" s="37"/>
      <c r="F390" s="37"/>
      <c r="G390" s="39"/>
      <c r="H390" s="36"/>
      <c r="I390" s="40"/>
      <c r="J390" s="40"/>
      <c r="K390" s="40"/>
      <c r="L390" s="41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3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3"/>
      <c r="BD390" s="43"/>
      <c r="BE390" s="43"/>
      <c r="BF390" s="44"/>
      <c r="BG390" s="42"/>
      <c r="BH390" s="42"/>
      <c r="BI390" s="42"/>
      <c r="BJ390" s="45"/>
      <c r="BK390" s="45"/>
      <c r="BL390" s="45"/>
      <c r="BM390" s="45"/>
      <c r="BN390" s="45"/>
      <c r="BO390" s="46"/>
    </row>
    <row r="391">
      <c r="A391" s="47" t="str">
        <f>IFERROR(__xludf.DUMMYFUNCTION("""COMPUTED_VALUE"""),"")</f>
        <v/>
      </c>
      <c r="B391" s="48"/>
      <c r="C391" s="49"/>
      <c r="D391" s="48"/>
      <c r="E391" s="48"/>
      <c r="F391" s="48"/>
      <c r="G391" s="50"/>
      <c r="H391" s="47"/>
      <c r="I391" s="51"/>
      <c r="J391" s="51"/>
      <c r="K391" s="51"/>
      <c r="L391" s="52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4"/>
      <c r="AE391" s="54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4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4"/>
      <c r="BD391" s="54"/>
      <c r="BE391" s="54"/>
      <c r="BF391" s="55"/>
      <c r="BG391" s="53"/>
      <c r="BH391" s="53"/>
      <c r="BI391" s="53"/>
      <c r="BJ391" s="45"/>
      <c r="BK391" s="45"/>
      <c r="BL391" s="45"/>
      <c r="BM391" s="45"/>
      <c r="BN391" s="45"/>
      <c r="BO391" s="46"/>
    </row>
    <row r="392">
      <c r="A392" s="36" t="str">
        <f>IFERROR(__xludf.DUMMYFUNCTION("""COMPUTED_VALUE"""),"")</f>
        <v/>
      </c>
      <c r="B392" s="37"/>
      <c r="C392" s="38"/>
      <c r="D392" s="37"/>
      <c r="E392" s="37"/>
      <c r="F392" s="37"/>
      <c r="G392" s="39"/>
      <c r="H392" s="36"/>
      <c r="I392" s="40"/>
      <c r="J392" s="40"/>
      <c r="K392" s="40"/>
      <c r="L392" s="41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3"/>
      <c r="AC392" s="42"/>
      <c r="AD392" s="42"/>
      <c r="AE392" s="43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3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3"/>
      <c r="BD392" s="43"/>
      <c r="BE392" s="43"/>
      <c r="BF392" s="44"/>
      <c r="BG392" s="42"/>
      <c r="BH392" s="42"/>
      <c r="BI392" s="42"/>
      <c r="BJ392" s="45"/>
      <c r="BK392" s="45"/>
      <c r="BL392" s="45"/>
      <c r="BM392" s="45"/>
      <c r="BN392" s="45"/>
      <c r="BO392" s="46"/>
    </row>
    <row r="393">
      <c r="A393" s="47" t="str">
        <f>IFERROR(__xludf.DUMMYFUNCTION("""COMPUTED_VALUE"""),"")</f>
        <v/>
      </c>
      <c r="B393" s="48"/>
      <c r="C393" s="49"/>
      <c r="D393" s="48"/>
      <c r="E393" s="48"/>
      <c r="F393" s="48"/>
      <c r="G393" s="50"/>
      <c r="H393" s="47"/>
      <c r="I393" s="51"/>
      <c r="J393" s="51"/>
      <c r="K393" s="51"/>
      <c r="L393" s="52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4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4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4"/>
      <c r="BD393" s="54"/>
      <c r="BE393" s="54"/>
      <c r="BF393" s="55"/>
      <c r="BG393" s="53"/>
      <c r="BH393" s="53"/>
      <c r="BI393" s="53"/>
      <c r="BJ393" s="45"/>
      <c r="BK393" s="45"/>
      <c r="BL393" s="45"/>
      <c r="BM393" s="45"/>
      <c r="BN393" s="45"/>
      <c r="BO393" s="46"/>
    </row>
    <row r="394">
      <c r="A394" s="36" t="str">
        <f>IFERROR(__xludf.DUMMYFUNCTION("""COMPUTED_VALUE"""),"")</f>
        <v/>
      </c>
      <c r="B394" s="37"/>
      <c r="C394" s="38"/>
      <c r="D394" s="37"/>
      <c r="E394" s="37"/>
      <c r="F394" s="37"/>
      <c r="G394" s="39"/>
      <c r="H394" s="36"/>
      <c r="I394" s="40"/>
      <c r="J394" s="40"/>
      <c r="K394" s="40"/>
      <c r="L394" s="41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3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3"/>
      <c r="BD394" s="43"/>
      <c r="BE394" s="43"/>
      <c r="BF394" s="44"/>
      <c r="BG394" s="42"/>
      <c r="BH394" s="42"/>
      <c r="BI394" s="42"/>
      <c r="BJ394" s="45"/>
      <c r="BK394" s="45"/>
      <c r="BL394" s="45"/>
      <c r="BM394" s="45"/>
      <c r="BN394" s="45"/>
      <c r="BO394" s="46"/>
    </row>
    <row r="395">
      <c r="A395" s="47" t="str">
        <f>IFERROR(__xludf.DUMMYFUNCTION("""COMPUTED_VALUE"""),"")</f>
        <v/>
      </c>
      <c r="B395" s="48"/>
      <c r="C395" s="49"/>
      <c r="D395" s="48"/>
      <c r="E395" s="48"/>
      <c r="F395" s="48"/>
      <c r="G395" s="50"/>
      <c r="H395" s="47"/>
      <c r="I395" s="51"/>
      <c r="J395" s="51"/>
      <c r="K395" s="51"/>
      <c r="L395" s="52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60"/>
      <c r="AD395" s="53"/>
      <c r="AE395" s="54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4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4"/>
      <c r="BD395" s="54"/>
      <c r="BE395" s="54"/>
      <c r="BF395" s="55"/>
      <c r="BG395" s="53"/>
      <c r="BH395" s="53"/>
      <c r="BI395" s="53"/>
      <c r="BJ395" s="45"/>
      <c r="BK395" s="45"/>
      <c r="BL395" s="45"/>
      <c r="BM395" s="45"/>
      <c r="BN395" s="45"/>
      <c r="BO395" s="46"/>
    </row>
    <row r="396">
      <c r="A396" s="36" t="str">
        <f>IFERROR(__xludf.DUMMYFUNCTION("""COMPUTED_VALUE"""),"")</f>
        <v/>
      </c>
      <c r="B396" s="37"/>
      <c r="C396" s="38"/>
      <c r="D396" s="37"/>
      <c r="E396" s="37"/>
      <c r="F396" s="37"/>
      <c r="G396" s="39"/>
      <c r="H396" s="36"/>
      <c r="I396" s="40"/>
      <c r="J396" s="40"/>
      <c r="K396" s="40"/>
      <c r="L396" s="41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3"/>
      <c r="AC396" s="43"/>
      <c r="AD396" s="43"/>
      <c r="AE396" s="43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3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3"/>
      <c r="BD396" s="43"/>
      <c r="BE396" s="43"/>
      <c r="BF396" s="44"/>
      <c r="BG396" s="42"/>
      <c r="BH396" s="42"/>
      <c r="BI396" s="42"/>
      <c r="BJ396" s="45"/>
      <c r="BK396" s="45"/>
      <c r="BL396" s="45"/>
      <c r="BM396" s="45"/>
      <c r="BN396" s="45"/>
      <c r="BO396" s="46"/>
    </row>
    <row r="397">
      <c r="A397" s="47" t="str">
        <f>IFERROR(__xludf.DUMMYFUNCTION("""COMPUTED_VALUE"""),"")</f>
        <v/>
      </c>
      <c r="B397" s="48"/>
      <c r="C397" s="49"/>
      <c r="D397" s="48"/>
      <c r="E397" s="48"/>
      <c r="F397" s="48"/>
      <c r="G397" s="50"/>
      <c r="H397" s="47"/>
      <c r="I397" s="51"/>
      <c r="J397" s="51"/>
      <c r="K397" s="51"/>
      <c r="L397" s="52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4"/>
      <c r="AC397" s="54"/>
      <c r="AD397" s="54"/>
      <c r="AE397" s="54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4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4"/>
      <c r="BD397" s="54"/>
      <c r="BE397" s="54"/>
      <c r="BF397" s="55"/>
      <c r="BG397" s="53"/>
      <c r="BH397" s="53"/>
      <c r="BI397" s="53"/>
      <c r="BJ397" s="45"/>
      <c r="BK397" s="45"/>
      <c r="BL397" s="45"/>
      <c r="BM397" s="45"/>
      <c r="BN397" s="45"/>
      <c r="BO397" s="46"/>
    </row>
    <row r="398">
      <c r="A398" s="36" t="str">
        <f>IFERROR(__xludf.DUMMYFUNCTION("""COMPUTED_VALUE"""),"")</f>
        <v/>
      </c>
      <c r="B398" s="37"/>
      <c r="C398" s="38"/>
      <c r="D398" s="37"/>
      <c r="E398" s="37"/>
      <c r="F398" s="37"/>
      <c r="G398" s="39"/>
      <c r="H398" s="36"/>
      <c r="I398" s="40"/>
      <c r="J398" s="40"/>
      <c r="K398" s="40"/>
      <c r="L398" s="41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3"/>
      <c r="AC398" s="42"/>
      <c r="AD398" s="42"/>
      <c r="AE398" s="43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3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3"/>
      <c r="BD398" s="43"/>
      <c r="BE398" s="43"/>
      <c r="BF398" s="44"/>
      <c r="BG398" s="42"/>
      <c r="BH398" s="42"/>
      <c r="BI398" s="42"/>
      <c r="BJ398" s="45"/>
      <c r="BK398" s="45"/>
      <c r="BL398" s="45"/>
      <c r="BM398" s="45"/>
      <c r="BN398" s="45"/>
      <c r="BO398" s="46"/>
    </row>
    <row r="399">
      <c r="A399" s="47" t="str">
        <f>IFERROR(__xludf.DUMMYFUNCTION("""COMPUTED_VALUE"""),"")</f>
        <v/>
      </c>
      <c r="B399" s="48"/>
      <c r="C399" s="49"/>
      <c r="D399" s="48"/>
      <c r="E399" s="48"/>
      <c r="F399" s="48"/>
      <c r="G399" s="50"/>
      <c r="H399" s="47"/>
      <c r="I399" s="51"/>
      <c r="J399" s="51"/>
      <c r="K399" s="51"/>
      <c r="L399" s="52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4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4"/>
      <c r="BD399" s="54"/>
      <c r="BE399" s="54"/>
      <c r="BF399" s="55"/>
      <c r="BG399" s="53"/>
      <c r="BH399" s="53"/>
      <c r="BI399" s="53"/>
      <c r="BJ399" s="45"/>
      <c r="BK399" s="45"/>
      <c r="BL399" s="45"/>
      <c r="BM399" s="45"/>
      <c r="BN399" s="45"/>
      <c r="BO399" s="46"/>
    </row>
    <row r="400">
      <c r="A400" s="36" t="str">
        <f>IFERROR(__xludf.DUMMYFUNCTION("""COMPUTED_VALUE"""),"")</f>
        <v/>
      </c>
      <c r="B400" s="37"/>
      <c r="C400" s="38"/>
      <c r="D400" s="37"/>
      <c r="E400" s="37"/>
      <c r="F400" s="37"/>
      <c r="G400" s="39"/>
      <c r="H400" s="36"/>
      <c r="I400" s="40"/>
      <c r="J400" s="40"/>
      <c r="K400" s="40"/>
      <c r="L400" s="41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3"/>
      <c r="AC400" s="42"/>
      <c r="AD400" s="42"/>
      <c r="AE400" s="43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3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3"/>
      <c r="BD400" s="43"/>
      <c r="BE400" s="43"/>
      <c r="BF400" s="44"/>
      <c r="BG400" s="42"/>
      <c r="BH400" s="42"/>
      <c r="BI400" s="42"/>
      <c r="BJ400" s="45"/>
      <c r="BK400" s="45"/>
      <c r="BL400" s="45"/>
      <c r="BM400" s="45"/>
      <c r="BN400" s="45"/>
      <c r="BO400" s="46"/>
    </row>
    <row r="401">
      <c r="A401" s="47" t="str">
        <f>IFERROR(__xludf.DUMMYFUNCTION("""COMPUTED_VALUE"""),"")</f>
        <v/>
      </c>
      <c r="B401" s="48"/>
      <c r="C401" s="49"/>
      <c r="D401" s="48"/>
      <c r="E401" s="48"/>
      <c r="F401" s="48"/>
      <c r="G401" s="50"/>
      <c r="H401" s="47"/>
      <c r="I401" s="51"/>
      <c r="J401" s="51"/>
      <c r="K401" s="51"/>
      <c r="L401" s="52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4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4"/>
      <c r="BD401" s="54"/>
      <c r="BE401" s="54"/>
      <c r="BF401" s="55"/>
      <c r="BG401" s="53"/>
      <c r="BH401" s="53"/>
      <c r="BI401" s="53"/>
      <c r="BJ401" s="45"/>
      <c r="BK401" s="45"/>
      <c r="BL401" s="45"/>
      <c r="BM401" s="45"/>
      <c r="BN401" s="45"/>
      <c r="BO401" s="46"/>
    </row>
    <row r="402">
      <c r="A402" s="36" t="str">
        <f>IFERROR(__xludf.DUMMYFUNCTION("""COMPUTED_VALUE"""),"")</f>
        <v/>
      </c>
      <c r="B402" s="37"/>
      <c r="C402" s="38"/>
      <c r="D402" s="37"/>
      <c r="E402" s="37"/>
      <c r="F402" s="37"/>
      <c r="G402" s="38"/>
      <c r="H402" s="36"/>
      <c r="I402" s="40"/>
      <c r="J402" s="40"/>
      <c r="K402" s="40"/>
      <c r="L402" s="41"/>
      <c r="M402" s="43"/>
      <c r="N402" s="42"/>
      <c r="O402" s="42"/>
      <c r="P402" s="42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3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3"/>
      <c r="BD402" s="43"/>
      <c r="BE402" s="43"/>
      <c r="BF402" s="44"/>
      <c r="BG402" s="42"/>
      <c r="BH402" s="42"/>
      <c r="BI402" s="42"/>
      <c r="BJ402" s="45"/>
      <c r="BK402" s="45"/>
      <c r="BL402" s="45"/>
      <c r="BM402" s="45"/>
      <c r="BN402" s="45"/>
      <c r="BO402" s="46"/>
    </row>
    <row r="403">
      <c r="A403" s="47" t="str">
        <f>IFERROR(__xludf.DUMMYFUNCTION("""COMPUTED_VALUE"""),"")</f>
        <v/>
      </c>
      <c r="B403" s="48"/>
      <c r="C403" s="49"/>
      <c r="D403" s="48"/>
      <c r="E403" s="48"/>
      <c r="F403" s="48"/>
      <c r="G403" s="50"/>
      <c r="H403" s="47"/>
      <c r="I403" s="51"/>
      <c r="J403" s="51"/>
      <c r="K403" s="51"/>
      <c r="L403" s="52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4"/>
      <c r="AE403" s="54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4"/>
      <c r="BD403" s="54"/>
      <c r="BE403" s="54"/>
      <c r="BF403" s="55"/>
      <c r="BG403" s="53"/>
      <c r="BH403" s="53"/>
      <c r="BI403" s="53"/>
      <c r="BJ403" s="45"/>
      <c r="BK403" s="45"/>
      <c r="BL403" s="45"/>
      <c r="BM403" s="45"/>
      <c r="BN403" s="45"/>
      <c r="BO403" s="46"/>
    </row>
    <row r="404">
      <c r="A404" s="36" t="str">
        <f>IFERROR(__xludf.DUMMYFUNCTION("""COMPUTED_VALUE"""),"")</f>
        <v/>
      </c>
      <c r="B404" s="37"/>
      <c r="C404" s="38"/>
      <c r="D404" s="37"/>
      <c r="E404" s="37"/>
      <c r="F404" s="37"/>
      <c r="G404" s="38"/>
      <c r="H404" s="36"/>
      <c r="I404" s="40"/>
      <c r="J404" s="40"/>
      <c r="K404" s="40"/>
      <c r="L404" s="41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3"/>
      <c r="AC404" s="42"/>
      <c r="AD404" s="42"/>
      <c r="AE404" s="43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3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3"/>
      <c r="BD404" s="43"/>
      <c r="BE404" s="43"/>
      <c r="BF404" s="44"/>
      <c r="BG404" s="42"/>
      <c r="BH404" s="42"/>
      <c r="BI404" s="42"/>
      <c r="BJ404" s="45"/>
      <c r="BK404" s="45"/>
      <c r="BL404" s="45"/>
      <c r="BM404" s="45"/>
      <c r="BN404" s="45"/>
      <c r="BO404" s="46"/>
    </row>
    <row r="405">
      <c r="A405" s="47" t="str">
        <f>IFERROR(__xludf.DUMMYFUNCTION("""COMPUTED_VALUE"""),"")</f>
        <v/>
      </c>
      <c r="B405" s="48"/>
      <c r="C405" s="49"/>
      <c r="D405" s="48"/>
      <c r="E405" s="48"/>
      <c r="F405" s="48"/>
      <c r="G405" s="50"/>
      <c r="H405" s="47"/>
      <c r="I405" s="51"/>
      <c r="J405" s="51"/>
      <c r="K405" s="51"/>
      <c r="L405" s="52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4"/>
      <c r="X405" s="54"/>
      <c r="Y405" s="54"/>
      <c r="Z405" s="54"/>
      <c r="AA405" s="54"/>
      <c r="AB405" s="54"/>
      <c r="AC405" s="54"/>
      <c r="AD405" s="54"/>
      <c r="AE405" s="54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4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4"/>
      <c r="BD405" s="54"/>
      <c r="BE405" s="54"/>
      <c r="BF405" s="55"/>
      <c r="BG405" s="53"/>
      <c r="BH405" s="53"/>
      <c r="BI405" s="53"/>
      <c r="BJ405" s="45"/>
      <c r="BK405" s="45"/>
      <c r="BL405" s="45"/>
      <c r="BM405" s="45"/>
      <c r="BN405" s="45"/>
      <c r="BO405" s="46"/>
    </row>
    <row r="406">
      <c r="A406" s="36" t="str">
        <f>IFERROR(__xludf.DUMMYFUNCTION("""COMPUTED_VALUE"""),"")</f>
        <v/>
      </c>
      <c r="B406" s="37"/>
      <c r="C406" s="38"/>
      <c r="D406" s="37"/>
      <c r="E406" s="37"/>
      <c r="F406" s="37"/>
      <c r="G406" s="39"/>
      <c r="H406" s="36"/>
      <c r="I406" s="40"/>
      <c r="J406" s="40"/>
      <c r="K406" s="40"/>
      <c r="L406" s="41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3"/>
      <c r="AC406" s="42"/>
      <c r="AD406" s="42"/>
      <c r="AE406" s="43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3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3"/>
      <c r="BD406" s="43"/>
      <c r="BE406" s="43"/>
      <c r="BF406" s="44"/>
      <c r="BG406" s="42"/>
      <c r="BH406" s="42"/>
      <c r="BI406" s="42"/>
      <c r="BJ406" s="45"/>
      <c r="BK406" s="45"/>
      <c r="BL406" s="45"/>
      <c r="BM406" s="45"/>
      <c r="BN406" s="45"/>
      <c r="BO406" s="46"/>
    </row>
    <row r="407">
      <c r="A407" s="47" t="str">
        <f>IFERROR(__xludf.DUMMYFUNCTION("""COMPUTED_VALUE"""),"")</f>
        <v/>
      </c>
      <c r="B407" s="48"/>
      <c r="C407" s="49"/>
      <c r="D407" s="48"/>
      <c r="E407" s="48"/>
      <c r="F407" s="48"/>
      <c r="G407" s="49"/>
      <c r="H407" s="47"/>
      <c r="I407" s="51"/>
      <c r="J407" s="51"/>
      <c r="K407" s="51"/>
      <c r="L407" s="52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4"/>
      <c r="AC407" s="53"/>
      <c r="AD407" s="53"/>
      <c r="AE407" s="54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4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4"/>
      <c r="BD407" s="54"/>
      <c r="BE407" s="54"/>
      <c r="BF407" s="55"/>
      <c r="BG407" s="53"/>
      <c r="BH407" s="53"/>
      <c r="BI407" s="53"/>
      <c r="BJ407" s="45"/>
      <c r="BK407" s="45"/>
      <c r="BL407" s="45"/>
      <c r="BM407" s="45"/>
      <c r="BN407" s="45"/>
      <c r="BO407" s="46"/>
    </row>
    <row r="408">
      <c r="A408" s="36" t="str">
        <f>IFERROR(__xludf.DUMMYFUNCTION("""COMPUTED_VALUE"""),"")</f>
        <v/>
      </c>
      <c r="B408" s="37"/>
      <c r="C408" s="38"/>
      <c r="D408" s="37"/>
      <c r="E408" s="37"/>
      <c r="F408" s="37"/>
      <c r="G408" s="39"/>
      <c r="H408" s="36"/>
      <c r="I408" s="40"/>
      <c r="J408" s="40"/>
      <c r="K408" s="40"/>
      <c r="L408" s="41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3"/>
      <c r="AE408" s="43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3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3"/>
      <c r="BD408" s="43"/>
      <c r="BE408" s="43"/>
      <c r="BF408" s="44"/>
      <c r="BG408" s="42"/>
      <c r="BH408" s="42"/>
      <c r="BI408" s="42"/>
      <c r="BJ408" s="45"/>
      <c r="BK408" s="45"/>
      <c r="BL408" s="45"/>
      <c r="BM408" s="45"/>
      <c r="BN408" s="45"/>
      <c r="BO408" s="46"/>
    </row>
    <row r="409">
      <c r="A409" s="47" t="str">
        <f>IFERROR(__xludf.DUMMYFUNCTION("""COMPUTED_VALUE"""),"")</f>
        <v/>
      </c>
      <c r="B409" s="48"/>
      <c r="C409" s="49"/>
      <c r="D409" s="48"/>
      <c r="E409" s="48"/>
      <c r="F409" s="48"/>
      <c r="G409" s="50"/>
      <c r="H409" s="47"/>
      <c r="I409" s="51"/>
      <c r="J409" s="51"/>
      <c r="K409" s="51"/>
      <c r="L409" s="52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4"/>
      <c r="AC409" s="53"/>
      <c r="AD409" s="53"/>
      <c r="AE409" s="54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4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4"/>
      <c r="BD409" s="54"/>
      <c r="BE409" s="54"/>
      <c r="BF409" s="55"/>
      <c r="BG409" s="53"/>
      <c r="BH409" s="53"/>
      <c r="BI409" s="53"/>
      <c r="BJ409" s="45"/>
      <c r="BK409" s="45"/>
      <c r="BL409" s="45"/>
      <c r="BM409" s="45"/>
      <c r="BN409" s="45"/>
      <c r="BO409" s="46"/>
    </row>
    <row r="410">
      <c r="A410" s="36" t="str">
        <f>IFERROR(__xludf.DUMMYFUNCTION("""COMPUTED_VALUE"""),"")</f>
        <v/>
      </c>
      <c r="B410" s="37"/>
      <c r="C410" s="38"/>
      <c r="D410" s="37"/>
      <c r="E410" s="37"/>
      <c r="F410" s="37"/>
      <c r="G410" s="39"/>
      <c r="H410" s="36"/>
      <c r="I410" s="40"/>
      <c r="J410" s="40"/>
      <c r="K410" s="40"/>
      <c r="L410" s="41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3"/>
      <c r="AC410" s="42"/>
      <c r="AD410" s="42"/>
      <c r="AE410" s="43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3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3"/>
      <c r="BD410" s="43"/>
      <c r="BE410" s="43"/>
      <c r="BF410" s="44"/>
      <c r="BG410" s="42"/>
      <c r="BH410" s="42"/>
      <c r="BI410" s="42"/>
      <c r="BJ410" s="45"/>
      <c r="BK410" s="45"/>
      <c r="BL410" s="45"/>
      <c r="BM410" s="45"/>
      <c r="BN410" s="45"/>
      <c r="BO410" s="46"/>
    </row>
    <row r="411">
      <c r="A411" s="47" t="str">
        <f>IFERROR(__xludf.DUMMYFUNCTION("""COMPUTED_VALUE"""),"")</f>
        <v/>
      </c>
      <c r="B411" s="48"/>
      <c r="C411" s="49"/>
      <c r="D411" s="48"/>
      <c r="E411" s="48"/>
      <c r="F411" s="48"/>
      <c r="G411" s="50"/>
      <c r="H411" s="47"/>
      <c r="I411" s="51"/>
      <c r="J411" s="51"/>
      <c r="K411" s="51"/>
      <c r="L411" s="52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4"/>
      <c r="AC411" s="53"/>
      <c r="AD411" s="54"/>
      <c r="AE411" s="54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4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4"/>
      <c r="BD411" s="54"/>
      <c r="BE411" s="54"/>
      <c r="BF411" s="55"/>
      <c r="BG411" s="53"/>
      <c r="BH411" s="53"/>
      <c r="BI411" s="53"/>
      <c r="BJ411" s="45"/>
      <c r="BK411" s="45"/>
      <c r="BL411" s="45"/>
      <c r="BM411" s="45"/>
      <c r="BN411" s="45"/>
      <c r="BO411" s="46"/>
    </row>
    <row r="412">
      <c r="A412" s="36" t="str">
        <f>IFERROR(__xludf.DUMMYFUNCTION("""COMPUTED_VALUE"""),"")</f>
        <v/>
      </c>
      <c r="B412" s="37"/>
      <c r="C412" s="38"/>
      <c r="D412" s="37"/>
      <c r="E412" s="37"/>
      <c r="F412" s="37"/>
      <c r="G412" s="39"/>
      <c r="H412" s="36"/>
      <c r="I412" s="40"/>
      <c r="J412" s="40"/>
      <c r="K412" s="40"/>
      <c r="L412" s="41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3"/>
      <c r="AE412" s="43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3"/>
      <c r="BD412" s="43"/>
      <c r="BE412" s="43"/>
      <c r="BF412" s="44"/>
      <c r="BG412" s="42"/>
      <c r="BH412" s="42"/>
      <c r="BI412" s="42"/>
      <c r="BJ412" s="45"/>
      <c r="BK412" s="45"/>
      <c r="BL412" s="45"/>
      <c r="BM412" s="45"/>
      <c r="BN412" s="45"/>
      <c r="BO412" s="46"/>
    </row>
    <row r="413">
      <c r="A413" s="47" t="str">
        <f>IFERROR(__xludf.DUMMYFUNCTION("""COMPUTED_VALUE"""),"")</f>
        <v/>
      </c>
      <c r="B413" s="48"/>
      <c r="C413" s="49"/>
      <c r="D413" s="48"/>
      <c r="E413" s="48"/>
      <c r="F413" s="48"/>
      <c r="G413" s="50"/>
      <c r="H413" s="47"/>
      <c r="I413" s="51"/>
      <c r="J413" s="51"/>
      <c r="K413" s="51"/>
      <c r="L413" s="52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4"/>
      <c r="AB413" s="54"/>
      <c r="AC413" s="53"/>
      <c r="AD413" s="54"/>
      <c r="AE413" s="54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4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4"/>
      <c r="BD413" s="54"/>
      <c r="BE413" s="54"/>
      <c r="BF413" s="55"/>
      <c r="BG413" s="53"/>
      <c r="BH413" s="53"/>
      <c r="BI413" s="53"/>
      <c r="BJ413" s="45"/>
      <c r="BK413" s="45"/>
      <c r="BL413" s="45"/>
      <c r="BM413" s="45"/>
      <c r="BN413" s="45"/>
      <c r="BO413" s="46"/>
    </row>
    <row r="414">
      <c r="A414" s="36" t="str">
        <f>IFERROR(__xludf.DUMMYFUNCTION("""COMPUTED_VALUE"""),"")</f>
        <v/>
      </c>
      <c r="B414" s="37"/>
      <c r="C414" s="38"/>
      <c r="D414" s="37"/>
      <c r="E414" s="37"/>
      <c r="F414" s="37"/>
      <c r="G414" s="39"/>
      <c r="H414" s="36"/>
      <c r="I414" s="40"/>
      <c r="J414" s="40"/>
      <c r="K414" s="40"/>
      <c r="L414" s="41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3"/>
      <c r="AC414" s="42"/>
      <c r="AD414" s="43"/>
      <c r="AE414" s="43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3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3"/>
      <c r="BD414" s="43"/>
      <c r="BE414" s="43"/>
      <c r="BF414" s="44"/>
      <c r="BG414" s="42"/>
      <c r="BH414" s="42"/>
      <c r="BI414" s="42"/>
      <c r="BJ414" s="45"/>
      <c r="BK414" s="45"/>
      <c r="BL414" s="45"/>
      <c r="BM414" s="45"/>
      <c r="BN414" s="45"/>
      <c r="BO414" s="46"/>
    </row>
    <row r="415">
      <c r="A415" s="47" t="str">
        <f>IFERROR(__xludf.DUMMYFUNCTION("""COMPUTED_VALUE"""),"")</f>
        <v/>
      </c>
      <c r="B415" s="48"/>
      <c r="C415" s="49"/>
      <c r="D415" s="48"/>
      <c r="E415" s="48"/>
      <c r="F415" s="48"/>
      <c r="G415" s="50"/>
      <c r="H415" s="47"/>
      <c r="I415" s="51"/>
      <c r="J415" s="51"/>
      <c r="K415" s="51"/>
      <c r="L415" s="52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4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4"/>
      <c r="BD415" s="54"/>
      <c r="BE415" s="54"/>
      <c r="BF415" s="55"/>
      <c r="BG415" s="53"/>
      <c r="BH415" s="53"/>
      <c r="BI415" s="53"/>
      <c r="BJ415" s="45"/>
      <c r="BK415" s="45"/>
      <c r="BL415" s="45"/>
      <c r="BM415" s="45"/>
      <c r="BN415" s="45"/>
      <c r="BO415" s="46"/>
    </row>
    <row r="416">
      <c r="A416" s="36" t="str">
        <f>IFERROR(__xludf.DUMMYFUNCTION("""COMPUTED_VALUE"""),"")</f>
        <v/>
      </c>
      <c r="B416" s="37"/>
      <c r="C416" s="38"/>
      <c r="D416" s="37"/>
      <c r="E416" s="37"/>
      <c r="F416" s="37"/>
      <c r="G416" s="39"/>
      <c r="H416" s="36"/>
      <c r="I416" s="40"/>
      <c r="J416" s="40"/>
      <c r="K416" s="40"/>
      <c r="L416" s="41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3"/>
      <c r="Z416" s="43"/>
      <c r="AA416" s="43"/>
      <c r="AB416" s="43"/>
      <c r="AC416" s="43"/>
      <c r="AD416" s="43"/>
      <c r="AE416" s="43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3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3"/>
      <c r="BD416" s="43"/>
      <c r="BE416" s="43"/>
      <c r="BF416" s="44"/>
      <c r="BG416" s="42"/>
      <c r="BH416" s="42"/>
      <c r="BI416" s="42"/>
      <c r="BJ416" s="45"/>
      <c r="BK416" s="45"/>
      <c r="BL416" s="45"/>
      <c r="BM416" s="45"/>
      <c r="BN416" s="45"/>
      <c r="BO416" s="46"/>
    </row>
    <row r="417">
      <c r="A417" s="47" t="str">
        <f>IFERROR(__xludf.DUMMYFUNCTION("""COMPUTED_VALUE"""),"")</f>
        <v/>
      </c>
      <c r="B417" s="48"/>
      <c r="C417" s="49"/>
      <c r="D417" s="48"/>
      <c r="E417" s="48"/>
      <c r="F417" s="48"/>
      <c r="G417" s="50"/>
      <c r="H417" s="47"/>
      <c r="I417" s="51"/>
      <c r="J417" s="51"/>
      <c r="K417" s="51"/>
      <c r="L417" s="52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4"/>
      <c r="AB417" s="54"/>
      <c r="AC417" s="53"/>
      <c r="AD417" s="54"/>
      <c r="AE417" s="54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4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4"/>
      <c r="BD417" s="54"/>
      <c r="BE417" s="54"/>
      <c r="BF417" s="55"/>
      <c r="BG417" s="53"/>
      <c r="BH417" s="53"/>
      <c r="BI417" s="53"/>
      <c r="BJ417" s="45"/>
      <c r="BK417" s="45"/>
      <c r="BL417" s="45"/>
      <c r="BM417" s="45"/>
      <c r="BN417" s="45"/>
      <c r="BO417" s="46"/>
    </row>
    <row r="418">
      <c r="A418" s="36" t="str">
        <f>IFERROR(__xludf.DUMMYFUNCTION("""COMPUTED_VALUE"""),"")</f>
        <v/>
      </c>
      <c r="B418" s="37"/>
      <c r="C418" s="38"/>
      <c r="D418" s="37"/>
      <c r="E418" s="37"/>
      <c r="F418" s="37"/>
      <c r="G418" s="39"/>
      <c r="H418" s="36"/>
      <c r="I418" s="40"/>
      <c r="J418" s="40"/>
      <c r="K418" s="40"/>
      <c r="L418" s="41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3"/>
      <c r="AC418" s="42"/>
      <c r="AD418" s="43"/>
      <c r="AE418" s="43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3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3"/>
      <c r="BD418" s="43"/>
      <c r="BE418" s="43"/>
      <c r="BF418" s="44"/>
      <c r="BG418" s="42"/>
      <c r="BH418" s="42"/>
      <c r="BI418" s="42"/>
      <c r="BJ418" s="45"/>
      <c r="BK418" s="45"/>
      <c r="BL418" s="45"/>
      <c r="BM418" s="45"/>
      <c r="BN418" s="45"/>
      <c r="BO418" s="46"/>
    </row>
    <row r="419">
      <c r="A419" s="47" t="str">
        <f>IFERROR(__xludf.DUMMYFUNCTION("""COMPUTED_VALUE"""),"")</f>
        <v/>
      </c>
      <c r="B419" s="48"/>
      <c r="C419" s="49"/>
      <c r="D419" s="48"/>
      <c r="E419" s="48"/>
      <c r="F419" s="48"/>
      <c r="G419" s="50"/>
      <c r="H419" s="47"/>
      <c r="I419" s="51"/>
      <c r="J419" s="51"/>
      <c r="K419" s="51"/>
      <c r="L419" s="52"/>
      <c r="M419" s="54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4"/>
      <c r="Y419" s="54"/>
      <c r="Z419" s="54"/>
      <c r="AA419" s="54"/>
      <c r="AB419" s="54"/>
      <c r="AC419" s="54"/>
      <c r="AD419" s="54"/>
      <c r="AE419" s="54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4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4"/>
      <c r="BD419" s="54"/>
      <c r="BE419" s="54"/>
      <c r="BF419" s="55"/>
      <c r="BG419" s="53"/>
      <c r="BH419" s="53"/>
      <c r="BI419" s="53"/>
      <c r="BJ419" s="45"/>
      <c r="BK419" s="45"/>
      <c r="BL419" s="45"/>
      <c r="BM419" s="45"/>
      <c r="BN419" s="45"/>
      <c r="BO419" s="46"/>
    </row>
    <row r="420">
      <c r="A420" s="36" t="str">
        <f>IFERROR(__xludf.DUMMYFUNCTION("""COMPUTED_VALUE"""),"")</f>
        <v/>
      </c>
      <c r="B420" s="37"/>
      <c r="C420" s="38"/>
      <c r="D420" s="37"/>
      <c r="E420" s="37"/>
      <c r="F420" s="37"/>
      <c r="G420" s="39"/>
      <c r="H420" s="36"/>
      <c r="I420" s="40"/>
      <c r="J420" s="40"/>
      <c r="K420" s="40"/>
      <c r="L420" s="41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3"/>
      <c r="AB420" s="43"/>
      <c r="AC420" s="42"/>
      <c r="AD420" s="42"/>
      <c r="AE420" s="43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3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3"/>
      <c r="BD420" s="43"/>
      <c r="BE420" s="43"/>
      <c r="BF420" s="44"/>
      <c r="BG420" s="42"/>
      <c r="BH420" s="42"/>
      <c r="BI420" s="42"/>
      <c r="BJ420" s="45"/>
      <c r="BK420" s="45"/>
      <c r="BL420" s="45"/>
      <c r="BM420" s="45"/>
      <c r="BN420" s="45"/>
      <c r="BO420" s="46"/>
    </row>
    <row r="421">
      <c r="A421" s="47" t="str">
        <f>IFERROR(__xludf.DUMMYFUNCTION("""COMPUTED_VALUE"""),"")</f>
        <v/>
      </c>
      <c r="B421" s="48"/>
      <c r="C421" s="49"/>
      <c r="D421" s="48"/>
      <c r="E421" s="48"/>
      <c r="F421" s="48"/>
      <c r="G421" s="50"/>
      <c r="H421" s="47"/>
      <c r="I421" s="51"/>
      <c r="J421" s="51"/>
      <c r="K421" s="51"/>
      <c r="L421" s="52"/>
      <c r="M421" s="54"/>
      <c r="N421" s="53"/>
      <c r="O421" s="53"/>
      <c r="P421" s="53"/>
      <c r="Q421" s="53"/>
      <c r="R421" s="53"/>
      <c r="S421" s="53"/>
      <c r="T421" s="53"/>
      <c r="U421" s="53"/>
      <c r="V421" s="53"/>
      <c r="W421" s="54"/>
      <c r="X421" s="54"/>
      <c r="Y421" s="54"/>
      <c r="Z421" s="54"/>
      <c r="AA421" s="53"/>
      <c r="AB421" s="54"/>
      <c r="AC421" s="54"/>
      <c r="AD421" s="54"/>
      <c r="AE421" s="54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4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4"/>
      <c r="BD421" s="54"/>
      <c r="BE421" s="54"/>
      <c r="BF421" s="55"/>
      <c r="BG421" s="53"/>
      <c r="BH421" s="53"/>
      <c r="BI421" s="53"/>
      <c r="BJ421" s="45"/>
      <c r="BK421" s="45"/>
      <c r="BL421" s="45"/>
      <c r="BM421" s="45"/>
      <c r="BN421" s="45"/>
      <c r="BO421" s="46"/>
    </row>
    <row r="422">
      <c r="A422" s="36" t="str">
        <f>IFERROR(__xludf.DUMMYFUNCTION("""COMPUTED_VALUE"""),"")</f>
        <v/>
      </c>
      <c r="B422" s="37"/>
      <c r="C422" s="38"/>
      <c r="D422" s="37"/>
      <c r="E422" s="37"/>
      <c r="F422" s="37"/>
      <c r="G422" s="39"/>
      <c r="H422" s="36"/>
      <c r="I422" s="40"/>
      <c r="J422" s="40"/>
      <c r="K422" s="40"/>
      <c r="L422" s="41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3"/>
      <c r="AB422" s="43"/>
      <c r="AC422" s="43"/>
      <c r="AD422" s="43"/>
      <c r="AE422" s="43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3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3"/>
      <c r="BD422" s="43"/>
      <c r="BE422" s="43"/>
      <c r="BF422" s="44"/>
      <c r="BG422" s="42"/>
      <c r="BH422" s="42"/>
      <c r="BI422" s="42"/>
      <c r="BJ422" s="45"/>
      <c r="BK422" s="45"/>
      <c r="BL422" s="45"/>
      <c r="BM422" s="45"/>
      <c r="BN422" s="45"/>
      <c r="BO422" s="46"/>
    </row>
    <row r="423">
      <c r="A423" s="47" t="str">
        <f>IFERROR(__xludf.DUMMYFUNCTION("""COMPUTED_VALUE"""),"")</f>
        <v/>
      </c>
      <c r="B423" s="48"/>
      <c r="C423" s="49"/>
      <c r="D423" s="48"/>
      <c r="E423" s="48"/>
      <c r="F423" s="48"/>
      <c r="G423" s="50"/>
      <c r="H423" s="47"/>
      <c r="I423" s="51"/>
      <c r="J423" s="51"/>
      <c r="K423" s="51"/>
      <c r="L423" s="52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4"/>
      <c r="AC423" s="53"/>
      <c r="AD423" s="54"/>
      <c r="AE423" s="54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4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4"/>
      <c r="BD423" s="54"/>
      <c r="BE423" s="54"/>
      <c r="BF423" s="55"/>
      <c r="BG423" s="53"/>
      <c r="BH423" s="53"/>
      <c r="BI423" s="53"/>
      <c r="BJ423" s="45"/>
      <c r="BK423" s="45"/>
      <c r="BL423" s="45"/>
      <c r="BM423" s="45"/>
      <c r="BN423" s="45"/>
      <c r="BO423" s="46"/>
    </row>
    <row r="424">
      <c r="A424" s="36" t="str">
        <f>IFERROR(__xludf.DUMMYFUNCTION("""COMPUTED_VALUE"""),"")</f>
        <v/>
      </c>
      <c r="B424" s="37"/>
      <c r="C424" s="38"/>
      <c r="D424" s="37"/>
      <c r="E424" s="37"/>
      <c r="F424" s="37"/>
      <c r="G424" s="38"/>
      <c r="H424" s="36"/>
      <c r="I424" s="40"/>
      <c r="J424" s="40"/>
      <c r="K424" s="40"/>
      <c r="L424" s="41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3"/>
      <c r="X424" s="43"/>
      <c r="Y424" s="43"/>
      <c r="Z424" s="43"/>
      <c r="AA424" s="43"/>
      <c r="AB424" s="42"/>
      <c r="AC424" s="43"/>
      <c r="AD424" s="43"/>
      <c r="AE424" s="43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3"/>
      <c r="BD424" s="43"/>
      <c r="BE424" s="43"/>
      <c r="BF424" s="44"/>
      <c r="BG424" s="42"/>
      <c r="BH424" s="42"/>
      <c r="BI424" s="42"/>
      <c r="BJ424" s="45"/>
      <c r="BK424" s="45"/>
      <c r="BL424" s="45"/>
      <c r="BM424" s="45"/>
      <c r="BN424" s="45"/>
      <c r="BO424" s="46"/>
    </row>
    <row r="425">
      <c r="A425" s="47" t="str">
        <f>IFERROR(__xludf.DUMMYFUNCTION("""COMPUTED_VALUE"""),"")</f>
        <v/>
      </c>
      <c r="B425" s="48"/>
      <c r="C425" s="49"/>
      <c r="D425" s="48"/>
      <c r="E425" s="48"/>
      <c r="F425" s="48"/>
      <c r="G425" s="49"/>
      <c r="H425" s="47"/>
      <c r="I425" s="51"/>
      <c r="J425" s="51"/>
      <c r="K425" s="51"/>
      <c r="L425" s="52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4"/>
      <c r="AA425" s="53"/>
      <c r="AB425" s="54"/>
      <c r="AC425" s="54"/>
      <c r="AD425" s="54"/>
      <c r="AE425" s="54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4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4"/>
      <c r="BD425" s="54"/>
      <c r="BE425" s="54"/>
      <c r="BF425" s="55"/>
      <c r="BG425" s="53"/>
      <c r="BH425" s="53"/>
      <c r="BI425" s="53"/>
      <c r="BJ425" s="45"/>
      <c r="BK425" s="45"/>
      <c r="BL425" s="45"/>
      <c r="BM425" s="45"/>
      <c r="BN425" s="45"/>
      <c r="BO425" s="46"/>
    </row>
    <row r="426">
      <c r="A426" s="36" t="str">
        <f>IFERROR(__xludf.DUMMYFUNCTION("""COMPUTED_VALUE"""),"")</f>
        <v/>
      </c>
      <c r="B426" s="37"/>
      <c r="C426" s="38"/>
      <c r="D426" s="37"/>
      <c r="E426" s="37"/>
      <c r="F426" s="37"/>
      <c r="G426" s="39"/>
      <c r="H426" s="36"/>
      <c r="I426" s="40"/>
      <c r="J426" s="40"/>
      <c r="K426" s="40"/>
      <c r="L426" s="41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3"/>
      <c r="AC426" s="42"/>
      <c r="AD426" s="42"/>
      <c r="AE426" s="43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3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3"/>
      <c r="BD426" s="43"/>
      <c r="BE426" s="43"/>
      <c r="BF426" s="44"/>
      <c r="BG426" s="42"/>
      <c r="BH426" s="42"/>
      <c r="BI426" s="42"/>
      <c r="BJ426" s="45"/>
      <c r="BK426" s="45"/>
      <c r="BL426" s="45"/>
      <c r="BM426" s="45"/>
      <c r="BN426" s="45"/>
      <c r="BO426" s="46"/>
    </row>
    <row r="427">
      <c r="A427" s="47" t="str">
        <f>IFERROR(__xludf.DUMMYFUNCTION("""COMPUTED_VALUE"""),"")</f>
        <v/>
      </c>
      <c r="B427" s="48"/>
      <c r="C427" s="49"/>
      <c r="D427" s="48"/>
      <c r="E427" s="48"/>
      <c r="F427" s="48"/>
      <c r="G427" s="50"/>
      <c r="H427" s="47"/>
      <c r="I427" s="51"/>
      <c r="J427" s="51"/>
      <c r="K427" s="51"/>
      <c r="L427" s="52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4"/>
      <c r="AC427" s="53"/>
      <c r="AD427" s="53"/>
      <c r="AE427" s="54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4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4"/>
      <c r="BD427" s="54"/>
      <c r="BE427" s="54"/>
      <c r="BF427" s="55"/>
      <c r="BG427" s="53"/>
      <c r="BH427" s="53"/>
      <c r="BI427" s="53"/>
      <c r="BJ427" s="45"/>
      <c r="BK427" s="45"/>
      <c r="BL427" s="45"/>
      <c r="BM427" s="45"/>
      <c r="BN427" s="45"/>
      <c r="BO427" s="46"/>
    </row>
    <row r="428">
      <c r="A428" s="36" t="str">
        <f>IFERROR(__xludf.DUMMYFUNCTION("""COMPUTED_VALUE"""),"")</f>
        <v/>
      </c>
      <c r="B428" s="37"/>
      <c r="C428" s="38"/>
      <c r="D428" s="37"/>
      <c r="E428" s="37"/>
      <c r="F428" s="37"/>
      <c r="G428" s="38"/>
      <c r="H428" s="36"/>
      <c r="I428" s="40"/>
      <c r="J428" s="40"/>
      <c r="K428" s="40"/>
      <c r="L428" s="41"/>
      <c r="M428" s="43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3"/>
      <c r="AA428" s="43"/>
      <c r="AB428" s="43"/>
      <c r="AC428" s="43"/>
      <c r="AD428" s="43"/>
      <c r="AE428" s="43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3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3"/>
      <c r="BD428" s="43"/>
      <c r="BE428" s="43"/>
      <c r="BF428" s="44"/>
      <c r="BG428" s="42"/>
      <c r="BH428" s="42"/>
      <c r="BI428" s="42"/>
      <c r="BJ428" s="45"/>
      <c r="BK428" s="45"/>
      <c r="BL428" s="45"/>
      <c r="BM428" s="45"/>
      <c r="BN428" s="45"/>
      <c r="BO428" s="46"/>
    </row>
    <row r="429">
      <c r="A429" s="47" t="str">
        <f>IFERROR(__xludf.DUMMYFUNCTION("""COMPUTED_VALUE"""),"")</f>
        <v/>
      </c>
      <c r="B429" s="48"/>
      <c r="C429" s="49"/>
      <c r="D429" s="48"/>
      <c r="E429" s="48"/>
      <c r="F429" s="48"/>
      <c r="G429" s="50"/>
      <c r="H429" s="47"/>
      <c r="I429" s="51"/>
      <c r="J429" s="51"/>
      <c r="K429" s="51"/>
      <c r="L429" s="52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4"/>
      <c r="AC429" s="53"/>
      <c r="AD429" s="53"/>
      <c r="AE429" s="54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4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4"/>
      <c r="BD429" s="54"/>
      <c r="BE429" s="54"/>
      <c r="BF429" s="55"/>
      <c r="BG429" s="53"/>
      <c r="BH429" s="53"/>
      <c r="BI429" s="53"/>
      <c r="BJ429" s="45"/>
      <c r="BK429" s="45"/>
      <c r="BL429" s="45"/>
      <c r="BM429" s="45"/>
      <c r="BN429" s="45"/>
      <c r="BO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5"/>
      <c r="BK430" s="45"/>
      <c r="BL430" s="45"/>
      <c r="BM430" s="45"/>
      <c r="BN430" s="45"/>
      <c r="BO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45"/>
      <c r="BK431" s="45"/>
      <c r="BL431" s="45"/>
      <c r="BM431" s="45"/>
      <c r="BN431" s="45"/>
      <c r="BO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5"/>
      <c r="BK432" s="45"/>
      <c r="BL432" s="45"/>
      <c r="BM432" s="45"/>
      <c r="BN432" s="45"/>
      <c r="BO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45"/>
      <c r="BK433" s="45"/>
      <c r="BL433" s="45"/>
      <c r="BM433" s="45"/>
      <c r="BN433" s="45"/>
      <c r="BO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5"/>
      <c r="BK434" s="45"/>
      <c r="BL434" s="45"/>
      <c r="BM434" s="45"/>
      <c r="BN434" s="45"/>
      <c r="BO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45"/>
      <c r="BK435" s="45"/>
      <c r="BL435" s="45"/>
      <c r="BM435" s="45"/>
      <c r="BN435" s="45"/>
      <c r="BO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5"/>
      <c r="BK436" s="45"/>
      <c r="BL436" s="45"/>
      <c r="BM436" s="45"/>
      <c r="BN436" s="45"/>
      <c r="BO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45"/>
      <c r="BK437" s="45"/>
      <c r="BL437" s="45"/>
      <c r="BM437" s="45"/>
      <c r="BN437" s="45"/>
      <c r="BO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5"/>
      <c r="BK438" s="45"/>
      <c r="BL438" s="45"/>
      <c r="BM438" s="45"/>
      <c r="BN438" s="45"/>
      <c r="BO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45"/>
      <c r="BK439" s="45"/>
      <c r="BL439" s="45"/>
      <c r="BM439" s="45"/>
      <c r="BN439" s="45"/>
      <c r="BO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5"/>
      <c r="BK440" s="45"/>
      <c r="BL440" s="45"/>
      <c r="BM440" s="45"/>
      <c r="BN440" s="45"/>
      <c r="BO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45"/>
      <c r="BK441" s="45"/>
      <c r="BL441" s="45"/>
      <c r="BM441" s="45"/>
      <c r="BN441" s="45"/>
      <c r="BO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5"/>
      <c r="BK442" s="45"/>
      <c r="BL442" s="45"/>
      <c r="BM442" s="45"/>
      <c r="BN442" s="45"/>
      <c r="BO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45"/>
      <c r="BK443" s="45"/>
      <c r="BL443" s="45"/>
      <c r="BM443" s="45"/>
      <c r="BN443" s="45"/>
      <c r="BO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5"/>
      <c r="BK444" s="45"/>
      <c r="BL444" s="45"/>
      <c r="BM444" s="45"/>
      <c r="BN444" s="45"/>
      <c r="BO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6"/>
    </row>
    <row r="757">
      <c r="A757" s="46"/>
      <c r="B757" s="63">
        <v>1.0</v>
      </c>
      <c r="C757" s="63">
        <v>2.0</v>
      </c>
      <c r="D757" s="64">
        <v>3.0</v>
      </c>
      <c r="E757" s="64">
        <v>4.0</v>
      </c>
      <c r="F757" s="64">
        <v>5.0</v>
      </c>
      <c r="G757" s="63">
        <v>6.0</v>
      </c>
      <c r="H757" s="65">
        <v>7.0</v>
      </c>
      <c r="I757" s="65">
        <v>8.0</v>
      </c>
      <c r="J757" s="65">
        <v>9.0</v>
      </c>
      <c r="K757" s="65">
        <v>10.0</v>
      </c>
      <c r="L757" s="66" t="s">
        <v>0</v>
      </c>
      <c r="M757" s="67">
        <v>12.0</v>
      </c>
      <c r="N757" s="67">
        <v>13.0</v>
      </c>
      <c r="O757" s="67">
        <v>14.0</v>
      </c>
      <c r="P757" s="67">
        <v>15.0</v>
      </c>
      <c r="Q757" s="67">
        <v>16.0</v>
      </c>
      <c r="R757" s="67">
        <v>17.0</v>
      </c>
      <c r="S757" s="67">
        <v>18.0</v>
      </c>
      <c r="T757" s="67">
        <v>19.0</v>
      </c>
      <c r="U757" s="67">
        <v>20.0</v>
      </c>
      <c r="V757" s="67">
        <v>21.0</v>
      </c>
      <c r="W757" s="67">
        <v>22.0</v>
      </c>
      <c r="X757" s="67">
        <v>23.0</v>
      </c>
      <c r="Y757" s="67">
        <v>24.0</v>
      </c>
      <c r="Z757" s="67">
        <v>25.0</v>
      </c>
      <c r="AA757" s="67">
        <v>26.0</v>
      </c>
      <c r="AB757" s="67">
        <v>27.0</v>
      </c>
      <c r="AC757" s="67">
        <v>28.0</v>
      </c>
      <c r="AD757" s="67">
        <v>29.0</v>
      </c>
      <c r="AE757" s="67">
        <v>30.0</v>
      </c>
      <c r="AF757" s="67">
        <v>31.0</v>
      </c>
      <c r="AG757" s="67">
        <v>32.0</v>
      </c>
      <c r="AH757" s="67">
        <v>33.0</v>
      </c>
      <c r="AI757" s="67">
        <v>34.0</v>
      </c>
      <c r="AJ757" s="67">
        <v>35.0</v>
      </c>
      <c r="AK757" s="67">
        <v>36.0</v>
      </c>
      <c r="AL757" s="67">
        <v>37.0</v>
      </c>
      <c r="AM757" s="67">
        <v>38.0</v>
      </c>
      <c r="AN757" s="67">
        <v>39.0</v>
      </c>
      <c r="AO757" s="67">
        <v>40.0</v>
      </c>
      <c r="AP757" s="67">
        <v>41.0</v>
      </c>
      <c r="AQ757" s="67">
        <v>42.0</v>
      </c>
      <c r="AR757" s="67">
        <v>43.0</v>
      </c>
      <c r="AS757" s="67">
        <v>44.0</v>
      </c>
      <c r="AT757" s="67">
        <v>45.0</v>
      </c>
      <c r="AU757" s="67">
        <v>46.0</v>
      </c>
      <c r="AV757" s="67">
        <v>47.0</v>
      </c>
      <c r="AW757" s="67">
        <v>48.0</v>
      </c>
      <c r="AX757" s="67">
        <v>49.0</v>
      </c>
      <c r="AY757" s="67">
        <v>50.0</v>
      </c>
      <c r="AZ757" s="67">
        <v>51.0</v>
      </c>
      <c r="BA757" s="67">
        <v>52.0</v>
      </c>
      <c r="BB757" s="67">
        <v>53.0</v>
      </c>
      <c r="BC757" s="67">
        <v>54.0</v>
      </c>
      <c r="BD757" s="67">
        <v>55.0</v>
      </c>
      <c r="BE757" s="67">
        <v>56.0</v>
      </c>
      <c r="BF757" s="45"/>
      <c r="BG757" s="45"/>
      <c r="BH757" s="45"/>
      <c r="BI757" s="45"/>
      <c r="BJ757" s="45"/>
      <c r="BK757" s="45"/>
      <c r="BL757" s="45"/>
      <c r="BM757" s="45"/>
      <c r="BN757" s="45"/>
      <c r="BO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13"/>
    <col customWidth="1" min="4" max="4" width="24.13"/>
    <col customWidth="1" min="5" max="5" width="23.13"/>
    <col customWidth="1" min="6" max="6" width="67.0"/>
    <col customWidth="1" min="7" max="7" width="12.0"/>
    <col customWidth="1" min="8" max="8" width="7.25"/>
    <col customWidth="1" min="9" max="9" width="6.38"/>
    <col customWidth="1" min="10" max="10" width="7.0"/>
    <col customWidth="1" min="11" max="11" width="14.25"/>
    <col customWidth="1" min="12" max="12" width="13.63"/>
    <col customWidth="1" min="13" max="40" width="7.0"/>
    <col customWidth="1" min="41" max="41" width="2.13"/>
    <col customWidth="1" min="42" max="42" width="7.0"/>
    <col customWidth="1" min="43" max="45" width="1.88"/>
    <col customWidth="1" min="46" max="48" width="2.75"/>
    <col customWidth="1" min="49" max="54" width="1.88"/>
    <col customWidth="1" min="55" max="55" width="15.0"/>
    <col customWidth="1" min="56" max="56" width="12.88"/>
    <col customWidth="1" min="57" max="57" width="18.0"/>
    <col customWidth="1" min="58" max="58" width="11.88"/>
  </cols>
  <sheetData>
    <row r="1" ht="33.75" customHeight="1">
      <c r="A1" s="1" t="str">
        <f>IFERROR(__xludf.DUMMYFUNCTION("IMPORTRANGE(""1r--qa2i5jCx8YeQ_mLlUrqLRTQh7y-fik2wTdRKBimk/edit?gid=700634828#gid=700634828"",""KELAS III!A2:BF750"")"),"NO")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68" t="str">
        <f>IFERROR(__xludf.DUMMYFUNCTION("""COMPUTED_VALUE"""),"JUMLAH TOTAL TUNGGAKAN")</f>
        <v>JUMLAH TOTAL TUNGGAKAN</v>
      </c>
      <c r="BG1" s="68"/>
      <c r="BH1" s="68"/>
      <c r="BI1" s="68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</row>
    <row r="2">
      <c r="A2" s="36">
        <f>IFERROR(__xludf.DUMMYFUNCTION("""COMPUTED_VALUE"""),1.0)</f>
        <v>1</v>
      </c>
      <c r="B2" s="37" t="str">
        <f>IFERROR(__xludf.DUMMYFUNCTION("""COMPUTED_VALUE"""),"AHMAD AZKA ALFIKRI")</f>
        <v>AHMAD AZKA ALFIKRI</v>
      </c>
      <c r="C2" s="38">
        <f>IFERROR(__xludf.DUMMYFUNCTION("""COMPUTED_VALUE"""),2.024070554E9)</f>
        <v>2024070554</v>
      </c>
      <c r="D2" s="37" t="str">
        <f>IFERROR(__xludf.DUMMYFUNCTION("""COMPUTED_VALUE"""),"AGUS DIDIK ERMANU")</f>
        <v>AGUS DIDIK ERMANU</v>
      </c>
      <c r="E2" s="37" t="str">
        <f>IFERROR(__xludf.DUMMYFUNCTION("""COMPUTED_VALUE"""),"MASRUAH")</f>
        <v>MASRUAH</v>
      </c>
      <c r="F2" s="37" t="str">
        <f>IFERROR(__xludf.DUMMYFUNCTION("""COMPUTED_VALUE"""),"LASEM RT 001 RW 001 SIDAYU GRESIK")</f>
        <v>LASEM RT 001 RW 001 SIDAYU GRESIK</v>
      </c>
      <c r="G2" s="39" t="str">
        <f>IFERROR(__xludf.DUMMYFUNCTION("""COMPUTED_VALUE"""),"MTS-9 E")</f>
        <v>MTS-9 E</v>
      </c>
      <c r="H2" s="36" t="str">
        <f>IFERROR(__xludf.DUMMYFUNCTION("""COMPUTED_VALUE"""),"A")</f>
        <v>A</v>
      </c>
      <c r="I2" s="40" t="str">
        <f>IFERROR(__xludf.DUMMYFUNCTION("""COMPUTED_VALUE"""),"A-7")</f>
        <v>A-7</v>
      </c>
      <c r="J2" s="40">
        <f>IFERROR(__xludf.DUMMYFUNCTION("""COMPUTED_VALUE"""),3.0)</f>
        <v>3</v>
      </c>
      <c r="K2" s="40" t="str">
        <f>IFERROR(__xludf.DUMMYFUNCTION("""COMPUTED_VALUE"""),"3 ULA B PUTRA")</f>
        <v>3 ULA B PUTRA</v>
      </c>
      <c r="L2" s="39" t="str">
        <f>IFERROR(__xludf.DUMMYFUNCTION("""COMPUTED_VALUE"""),"6285645389910")</f>
        <v>6285645389910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IFERROR(__xludf.DUMMYFUNCTION("""COMPUTED_VALUE"""),0.0)</f>
        <v>0</v>
      </c>
      <c r="BE2" s="43">
        <f>IFERROR(__xludf.DUMMYFUNCTION("""COMPUTED_VALUE"""),0.0)</f>
        <v>0</v>
      </c>
      <c r="BF2" s="44">
        <f>IFERROR(__xludf.DUMMYFUNCTION("""COMPUTED_VALUE"""),0.0)</f>
        <v>0</v>
      </c>
      <c r="BG2" s="56"/>
      <c r="BH2" s="56"/>
      <c r="BI2" s="5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</row>
    <row r="3">
      <c r="A3" s="47">
        <f>IFERROR(__xludf.DUMMYFUNCTION("""COMPUTED_VALUE"""),2.0)</f>
        <v>2</v>
      </c>
      <c r="B3" s="48" t="str">
        <f>IFERROR(__xludf.DUMMYFUNCTION("""COMPUTED_VALUE"""),"AHMAD BAHRUL FITRONI")</f>
        <v>AHMAD BAHRUL FITRONI</v>
      </c>
      <c r="C3" s="49">
        <f>IFERROR(__xludf.DUMMYFUNCTION("""COMPUTED_VALUE"""),2.024070534E9)</f>
        <v>2024070534</v>
      </c>
      <c r="D3" s="48" t="str">
        <f>IFERROR(__xludf.DUMMYFUNCTION("""COMPUTED_VALUE"""),"ILYAS")</f>
        <v>ILYAS</v>
      </c>
      <c r="E3" s="48" t="str">
        <f>IFERROR(__xludf.DUMMYFUNCTION("""COMPUTED_VALUE"""),"SRI MULYATI")</f>
        <v>SRI MULYATI</v>
      </c>
      <c r="F3" s="48" t="str">
        <f>IFERROR(__xludf.DUMMYFUNCTION("""COMPUTED_VALUE"""),"KEBET RT 005 RW 001 LAMONGAN LAMONGAN")</f>
        <v>KEBET RT 005 RW 001 LAMONGAN LAMONGAN</v>
      </c>
      <c r="G3" s="50" t="str">
        <f>IFERROR(__xludf.DUMMYFUNCTION("""COMPUTED_VALUE"""),"MTS-9 E")</f>
        <v>MTS-9 E</v>
      </c>
      <c r="H3" s="47" t="str">
        <f>IFERROR(__xludf.DUMMYFUNCTION("""COMPUTED_VALUE"""),"A")</f>
        <v>A</v>
      </c>
      <c r="I3" s="53" t="str">
        <f>IFERROR(__xludf.DUMMYFUNCTION("""COMPUTED_VALUE"""),"A-8")</f>
        <v>A-8</v>
      </c>
      <c r="J3" s="51">
        <f>IFERROR(__xludf.DUMMYFUNCTION("""COMPUTED_VALUE"""),3.0)</f>
        <v>3</v>
      </c>
      <c r="K3" s="51" t="str">
        <f>IFERROR(__xludf.DUMMYFUNCTION("""COMPUTED_VALUE"""),"3 ULA B PUTRA")</f>
        <v>3 ULA B PUTRA</v>
      </c>
      <c r="L3" s="50" t="str">
        <f>IFERROR(__xludf.DUMMYFUNCTION("""COMPUTED_VALUE"""),"6285812677937")</f>
        <v>6285812677937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>
        <f>IFERROR(__xludf.DUMMYFUNCTION("""COMPUTED_VALUE"""),500000.0)</f>
        <v>500000</v>
      </c>
      <c r="AQ3" s="54"/>
      <c r="AR3" s="54"/>
      <c r="AS3" s="54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7"/>
      <c r="BH3" s="57"/>
      <c r="BI3" s="57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</row>
    <row r="4">
      <c r="A4" s="36">
        <f>IFERROR(__xludf.DUMMYFUNCTION("""COMPUTED_VALUE"""),3.0)</f>
        <v>3</v>
      </c>
      <c r="B4" s="37" t="str">
        <f>IFERROR(__xludf.DUMMYFUNCTION("""COMPUTED_VALUE"""),"AHMAD BAKER ADLAN")</f>
        <v>AHMAD BAKER ADLAN</v>
      </c>
      <c r="C4" s="38">
        <f>IFERROR(__xludf.DUMMYFUNCTION("""COMPUTED_VALUE"""),2.02407065E9)</f>
        <v>2024070650</v>
      </c>
      <c r="D4" s="37" t="str">
        <f>IFERROR(__xludf.DUMMYFUNCTION("""COMPUTED_VALUE"""),"EKO MIFTAHUL ANAM")</f>
        <v>EKO MIFTAHUL ANAM</v>
      </c>
      <c r="E4" s="37" t="str">
        <f>IFERROR(__xludf.DUMMYFUNCTION("""COMPUTED_VALUE"""),"NOVRI YANTI")</f>
        <v>NOVRI YANTI</v>
      </c>
      <c r="F4" s="37" t="str">
        <f>IFERROR(__xludf.DUMMYFUNCTION("""COMPUTED_VALUE"""),"DAGAN RT 003 RW 003 SOLOKURO LAMONGAN")</f>
        <v>DAGAN RT 003 RW 003 SOLOKURO LAMONGAN</v>
      </c>
      <c r="G4" s="39" t="str">
        <f>IFERROR(__xludf.DUMMYFUNCTION("""COMPUTED_VALUE"""),"MTS-9 B")</f>
        <v>MTS-9 B</v>
      </c>
      <c r="H4" s="36" t="str">
        <f>IFERROR(__xludf.DUMMYFUNCTION("""COMPUTED_VALUE"""),"A")</f>
        <v>A</v>
      </c>
      <c r="I4" s="40" t="str">
        <f>IFERROR(__xludf.DUMMYFUNCTION("""COMPUTED_VALUE"""),"A-7")</f>
        <v>A-7</v>
      </c>
      <c r="J4" s="40">
        <f>IFERROR(__xludf.DUMMYFUNCTION("""COMPUTED_VALUE"""),3.0)</f>
        <v>3</v>
      </c>
      <c r="K4" s="40" t="str">
        <f>IFERROR(__xludf.DUMMYFUNCTION("""COMPUTED_VALUE"""),"3 ULA A PUTRA")</f>
        <v>3 ULA A PUTRA</v>
      </c>
      <c r="L4" s="39" t="str">
        <f>IFERROR(__xludf.DUMMYFUNCTION("""COMPUTED_VALUE"""),"6285765987279")</f>
        <v>6285765987279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>
        <f>IFERROR(__xludf.DUMMYFUNCTION("""COMPUTED_VALUE"""),500000.0)</f>
        <v>500000</v>
      </c>
      <c r="AC4" s="42"/>
      <c r="AD4" s="42">
        <f>IFERROR(__xludf.DUMMYFUNCTION("""COMPUTED_VALUE"""),450000.0)</f>
        <v>450000</v>
      </c>
      <c r="AE4" s="42">
        <f>IFERROR(__xludf.DUMMYFUNCTION("""COMPUTED_VALUE"""),450000.0)</f>
        <v>450000</v>
      </c>
      <c r="AF4" s="42">
        <f>IFERROR(__xludf.DUMMYFUNCTION("""COMPUTED_VALUE"""),450000.0)</f>
        <v>450000</v>
      </c>
      <c r="AG4" s="42">
        <f>IFERROR(__xludf.DUMMYFUNCTION("""COMPUTED_VALUE"""),450000.0)</f>
        <v>450000</v>
      </c>
      <c r="AH4" s="42">
        <f>IFERROR(__xludf.DUMMYFUNCTION("""COMPUTED_VALUE"""),450000.0)</f>
        <v>450000</v>
      </c>
      <c r="AI4" s="42">
        <f>IFERROR(__xludf.DUMMYFUNCTION("""COMPUTED_VALUE"""),450000.0)</f>
        <v>450000</v>
      </c>
      <c r="AJ4" s="42">
        <f>IFERROR(__xludf.DUMMYFUNCTION("""COMPUTED_VALUE"""),450000.0)</f>
        <v>450000</v>
      </c>
      <c r="AK4" s="42">
        <f>IFERROR(__xludf.DUMMYFUNCTION("""COMPUTED_VALUE"""),450000.0)</f>
        <v>450000</v>
      </c>
      <c r="AL4" s="42">
        <f>IFERROR(__xludf.DUMMYFUNCTION("""COMPUTED_VALUE"""),450000.0)</f>
        <v>450000</v>
      </c>
      <c r="AM4" s="42">
        <f>IFERROR(__xludf.DUMMYFUNCTION("""COMPUTED_VALUE"""),450000.0)</f>
        <v>450000</v>
      </c>
      <c r="AN4" s="42">
        <f>IFERROR(__xludf.DUMMYFUNCTION("""COMPUTED_VALUE"""),450000.0)</f>
        <v>450000</v>
      </c>
      <c r="AO4" s="42"/>
      <c r="AP4" s="42">
        <f>IFERROR(__xludf.DUMMYFUNCTION("""COMPUTED_VALUE"""),500000.0)</f>
        <v>500000</v>
      </c>
      <c r="AQ4" s="42"/>
      <c r="AR4" s="42"/>
      <c r="AS4" s="43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IFERROR(__xludf.DUMMYFUNCTION("""COMPUTED_VALUE"""),4950000.0)</f>
        <v>4950000</v>
      </c>
      <c r="BD4" s="43">
        <f>IFERROR(__xludf.DUMMYFUNCTION("""COMPUTED_VALUE"""),1000000.0)</f>
        <v>1000000</v>
      </c>
      <c r="BE4" s="43">
        <f>IFERROR(__xludf.DUMMYFUNCTION("""COMPUTED_VALUE"""),0.0)</f>
        <v>0</v>
      </c>
      <c r="BF4" s="44">
        <f>IFERROR(__xludf.DUMMYFUNCTION("""COMPUTED_VALUE"""),5950000.0)</f>
        <v>5950000</v>
      </c>
      <c r="BG4" s="56"/>
      <c r="BH4" s="56"/>
      <c r="BI4" s="5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</row>
    <row r="5">
      <c r="A5" s="47">
        <f>IFERROR(__xludf.DUMMYFUNCTION("""COMPUTED_VALUE"""),4.0)</f>
        <v>4</v>
      </c>
      <c r="B5" s="48" t="str">
        <f>IFERROR(__xludf.DUMMYFUNCTION("""COMPUTED_VALUE"""),"AHMAD HAFIDZ RIZKI AL ZAMZAMI")</f>
        <v>AHMAD HAFIDZ RIZKI AL ZAMZAMI</v>
      </c>
      <c r="C5" s="49">
        <f>IFERROR(__xludf.DUMMYFUNCTION("""COMPUTED_VALUE"""),2.024070615E9)</f>
        <v>2024070615</v>
      </c>
      <c r="D5" s="48" t="str">
        <f>IFERROR(__xludf.DUMMYFUNCTION("""COMPUTED_VALUE"""),"MUJIONO")</f>
        <v>MUJIONO</v>
      </c>
      <c r="E5" s="48" t="str">
        <f>IFERROR(__xludf.DUMMYFUNCTION("""COMPUTED_VALUE"""),"SITI ZUMAROH")</f>
        <v>SITI ZUMAROH</v>
      </c>
      <c r="F5" s="48" t="str">
        <f>IFERROR(__xludf.DUMMYFUNCTION("""COMPUTED_VALUE"""),"GLUMO JELAKCATUR RT 003 RW 005 KALITENGAH LAMONGAN")</f>
        <v>GLUMO JELAKCATUR RT 003 RW 005 KALITENGAH LAMONGAN</v>
      </c>
      <c r="G5" s="50" t="str">
        <f>IFERROR(__xludf.DUMMYFUNCTION("""COMPUTED_VALUE"""),"MTS-9 E")</f>
        <v>MTS-9 E</v>
      </c>
      <c r="H5" s="47" t="str">
        <f>IFERROR(__xludf.DUMMYFUNCTION("""COMPUTED_VALUE"""),"A")</f>
        <v>A</v>
      </c>
      <c r="I5" s="53" t="str">
        <f>IFERROR(__xludf.DUMMYFUNCTION("""COMPUTED_VALUE"""),"A-7")</f>
        <v>A-7</v>
      </c>
      <c r="J5" s="51">
        <f>IFERROR(__xludf.DUMMYFUNCTION("""COMPUTED_VALUE"""),3.0)</f>
        <v>3</v>
      </c>
      <c r="K5" s="51" t="str">
        <f>IFERROR(__xludf.DUMMYFUNCTION("""COMPUTED_VALUE"""),"3 ULA B PUTRA")</f>
        <v>3 ULA B PUTRA</v>
      </c>
      <c r="L5" s="50" t="str">
        <f>IFERROR(__xludf.DUMMYFUNCTION("""COMPUTED_VALUE"""),"6285759930572")</f>
        <v>6285759930572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4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4"/>
      <c r="AP5" s="54"/>
      <c r="AQ5" s="54"/>
      <c r="AR5" s="54"/>
      <c r="AS5" s="54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IFERROR(__xludf.DUMMYFUNCTION("""COMPUTED_VALUE"""),0.0)</f>
        <v>0</v>
      </c>
      <c r="BE5" s="54">
        <f>IFERROR(__xludf.DUMMYFUNCTION("""COMPUTED_VALUE"""),0.0)</f>
        <v>0</v>
      </c>
      <c r="BF5" s="55">
        <f>IFERROR(__xludf.DUMMYFUNCTION("""COMPUTED_VALUE"""),0.0)</f>
        <v>0</v>
      </c>
      <c r="BG5" s="57"/>
      <c r="BH5" s="57"/>
      <c r="BI5" s="57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</row>
    <row r="6">
      <c r="A6" s="36">
        <f>IFERROR(__xludf.DUMMYFUNCTION("""COMPUTED_VALUE"""),5.0)</f>
        <v>5</v>
      </c>
      <c r="B6" s="37" t="str">
        <f>IFERROR(__xludf.DUMMYFUNCTION("""COMPUTED_VALUE"""),"AHMAD MUZAKKI")</f>
        <v>AHMAD MUZAKKI</v>
      </c>
      <c r="C6" s="38">
        <f>IFERROR(__xludf.DUMMYFUNCTION("""COMPUTED_VALUE"""),2.024070502E9)</f>
        <v>2024070502</v>
      </c>
      <c r="D6" s="37" t="str">
        <f>IFERROR(__xludf.DUMMYFUNCTION("""COMPUTED_VALUE"""),"MOCH. SAIFUL")</f>
        <v>MOCH. SAIFUL</v>
      </c>
      <c r="E6" s="37" t="str">
        <f>IFERROR(__xludf.DUMMYFUNCTION("""COMPUTED_VALUE"""),"FITRIATUN NADHIROH")</f>
        <v>FITRIATUN NADHIROH</v>
      </c>
      <c r="F6" s="37" t="str">
        <f>IFERROR(__xludf.DUMMYFUNCTION("""COMPUTED_VALUE"""),"JUBAK NGUWOK RT 014 RW 006 MODO LAMONGAN")</f>
        <v>JUBAK NGUWOK RT 014 RW 006 MODO LAMONGAN</v>
      </c>
      <c r="G6" s="39" t="str">
        <f>IFERROR(__xludf.DUMMYFUNCTION("""COMPUTED_VALUE"""),"MTS-9 E")</f>
        <v>MTS-9 E</v>
      </c>
      <c r="H6" s="36" t="str">
        <f>IFERROR(__xludf.DUMMYFUNCTION("""COMPUTED_VALUE"""),"A")</f>
        <v>A</v>
      </c>
      <c r="I6" s="40" t="str">
        <f>IFERROR(__xludf.DUMMYFUNCTION("""COMPUTED_VALUE"""),"A-8")</f>
        <v>A-8</v>
      </c>
      <c r="J6" s="40">
        <f>IFERROR(__xludf.DUMMYFUNCTION("""COMPUTED_VALUE"""),3.0)</f>
        <v>3</v>
      </c>
      <c r="K6" s="40" t="str">
        <f>IFERROR(__xludf.DUMMYFUNCTION("""COMPUTED_VALUE"""),"3 ULA A PUTRA")</f>
        <v>3 ULA A PUTRA</v>
      </c>
      <c r="L6" s="39" t="str">
        <f>IFERROR(__xludf.DUMMYFUNCTION("""COMPUTED_VALUE"""),"6285230826998")</f>
        <v>6285230826998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3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IFERROR(__xludf.DUMMYFUNCTION("""COMPUTED_VALUE"""),0.0)</f>
        <v>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IFERROR(__xludf.DUMMYFUNCTION("""COMPUTED_VALUE"""),0.0)</f>
        <v>0</v>
      </c>
      <c r="BG6" s="56"/>
      <c r="BH6" s="56"/>
      <c r="BI6" s="5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</row>
    <row r="7">
      <c r="A7" s="47">
        <f>IFERROR(__xludf.DUMMYFUNCTION("""COMPUTED_VALUE"""),6.0)</f>
        <v>6</v>
      </c>
      <c r="B7" s="48" t="str">
        <f>IFERROR(__xludf.DUMMYFUNCTION("""COMPUTED_VALUE"""),"AHMAD SUSETO ANGGA SUKMA")</f>
        <v>AHMAD SUSETO ANGGA SUKMA</v>
      </c>
      <c r="C7" s="49">
        <f>IFERROR(__xludf.DUMMYFUNCTION("""COMPUTED_VALUE"""),2.024070601E9)</f>
        <v>2024070601</v>
      </c>
      <c r="D7" s="48" t="str">
        <f>IFERROR(__xludf.DUMMYFUNCTION("""COMPUTED_VALUE"""),"SLAMET RATMINTO")</f>
        <v>SLAMET RATMINTO</v>
      </c>
      <c r="E7" s="48" t="str">
        <f>IFERROR(__xludf.DUMMYFUNCTION("""COMPUTED_VALUE"""),"MUSYAFAAH")</f>
        <v>MUSYAFAAH</v>
      </c>
      <c r="F7" s="48" t="str">
        <f>IFERROR(__xludf.DUMMYFUNCTION("""COMPUTED_VALUE"""),"WEDENG SUKOREJO RT 001 RW 003 KARANGBINANGUN LAMONGAN")</f>
        <v>WEDENG SUKOREJO RT 001 RW 003 KARANGBINANGUN LAMONGAN</v>
      </c>
      <c r="G7" s="50" t="str">
        <f>IFERROR(__xludf.DUMMYFUNCTION("""COMPUTED_VALUE"""),"MTS-9 E")</f>
        <v>MTS-9 E</v>
      </c>
      <c r="H7" s="47" t="str">
        <f>IFERROR(__xludf.DUMMYFUNCTION("""COMPUTED_VALUE"""),"A")</f>
        <v>A</v>
      </c>
      <c r="I7" s="51" t="str">
        <f>IFERROR(__xludf.DUMMYFUNCTION("""COMPUTED_VALUE"""),"A-7")</f>
        <v>A-7</v>
      </c>
      <c r="J7" s="51">
        <f>IFERROR(__xludf.DUMMYFUNCTION("""COMPUTED_VALUE"""),3.0)</f>
        <v>3</v>
      </c>
      <c r="K7" s="51" t="str">
        <f>IFERROR(__xludf.DUMMYFUNCTION("""COMPUTED_VALUE"""),"3 ULA B PUTRA")</f>
        <v>3 ULA B PUTRA</v>
      </c>
      <c r="L7" s="50" t="str">
        <f>IFERROR(__xludf.DUMMYFUNCTION("""COMPUTED_VALUE"""),"6281330117049")</f>
        <v>6281330117049</v>
      </c>
      <c r="M7" s="54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>
        <f>IFERROR(__xludf.DUMMYFUNCTION("""COMPUTED_VALUE"""),450000.0)</f>
        <v>450000</v>
      </c>
      <c r="AO7" s="53"/>
      <c r="AP7" s="54"/>
      <c r="AQ7" s="53"/>
      <c r="AR7" s="53"/>
      <c r="AS7" s="54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IFERROR(__xludf.DUMMYFUNCTION("""COMPUTED_VALUE"""),450000.0)</f>
        <v>450000</v>
      </c>
      <c r="BD7" s="54">
        <f>IFERROR(__xludf.DUMMYFUNCTION("""COMPUTED_VALUE"""),0.0)</f>
        <v>0</v>
      </c>
      <c r="BE7" s="54">
        <f>IFERROR(__xludf.DUMMYFUNCTION("""COMPUTED_VALUE"""),0.0)</f>
        <v>0</v>
      </c>
      <c r="BF7" s="55">
        <f>IFERROR(__xludf.DUMMYFUNCTION("""COMPUTED_VALUE"""),450000.0)</f>
        <v>450000</v>
      </c>
      <c r="BG7" s="57"/>
      <c r="BH7" s="57"/>
      <c r="BI7" s="57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</row>
    <row r="8">
      <c r="A8" s="36">
        <f>IFERROR(__xludf.DUMMYFUNCTION("""COMPUTED_VALUE"""),7.0)</f>
        <v>7</v>
      </c>
      <c r="B8" s="37" t="str">
        <f>IFERROR(__xludf.DUMMYFUNCTION("""COMPUTED_VALUE"""),"ALFIYAN NADA FIRDAUS")</f>
        <v>ALFIYAN NADA FIRDAUS</v>
      </c>
      <c r="C8" s="38">
        <f>IFERROR(__xludf.DUMMYFUNCTION("""COMPUTED_VALUE"""),2.024070566E9)</f>
        <v>2024070566</v>
      </c>
      <c r="D8" s="37" t="str">
        <f>IFERROR(__xludf.DUMMYFUNCTION("""COMPUTED_VALUE"""),"SUTOMO")</f>
        <v>SUTOMO</v>
      </c>
      <c r="E8" s="37" t="str">
        <f>IFERROR(__xludf.DUMMYFUNCTION("""COMPUTED_VALUE"""),"KHUSNIYAH")</f>
        <v>KHUSNIYAH</v>
      </c>
      <c r="F8" s="37" t="str">
        <f>IFERROR(__xludf.DUMMYFUNCTION("""COMPUTED_VALUE"""),"BANGO PAYAMAN RT 004 RW 015 SOLOKURO LAMONGAN")</f>
        <v>BANGO PAYAMAN RT 004 RW 015 SOLOKURO LAMONGAN</v>
      </c>
      <c r="G8" s="39" t="str">
        <f>IFERROR(__xludf.DUMMYFUNCTION("""COMPUTED_VALUE"""),"MTS-9 A")</f>
        <v>MTS-9 A</v>
      </c>
      <c r="H8" s="36" t="str">
        <f>IFERROR(__xludf.DUMMYFUNCTION("""COMPUTED_VALUE"""),"A")</f>
        <v>A</v>
      </c>
      <c r="I8" s="42" t="str">
        <f>IFERROR(__xludf.DUMMYFUNCTION("""COMPUTED_VALUE"""),"A-13")</f>
        <v>A-13</v>
      </c>
      <c r="J8" s="40">
        <f>IFERROR(__xludf.DUMMYFUNCTION("""COMPUTED_VALUE"""),3.0)</f>
        <v>3</v>
      </c>
      <c r="K8" s="40" t="str">
        <f>IFERROR(__xludf.DUMMYFUNCTION("""COMPUTED_VALUE"""),"")</f>
        <v/>
      </c>
      <c r="L8" s="39" t="str">
        <f>IFERROR(__xludf.DUMMYFUNCTION("""COMPUTED_VALUE"""),"6285733111734")</f>
        <v>6285733111734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3"/>
      <c r="AN8" s="43">
        <f>IFERROR(__xludf.DUMMYFUNCTION("""COMPUTED_VALUE"""),410000.0)</f>
        <v>410000</v>
      </c>
      <c r="AO8" s="43"/>
      <c r="AP8" s="42">
        <f>IFERROR(__xludf.DUMMYFUNCTION("""COMPUTED_VALUE"""),500000.0)</f>
        <v>500000</v>
      </c>
      <c r="AQ8" s="43"/>
      <c r="AR8" s="43"/>
      <c r="AS8" s="43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IFERROR(__xludf.DUMMYFUNCTION("""COMPUTED_VALUE"""),410000.0)</f>
        <v>410000</v>
      </c>
      <c r="BD8" s="43">
        <f>IFERROR(__xludf.DUMMYFUNCTION("""COMPUTED_VALUE"""),500000.0)</f>
        <v>500000</v>
      </c>
      <c r="BE8" s="43">
        <f>IFERROR(__xludf.DUMMYFUNCTION("""COMPUTED_VALUE"""),0.0)</f>
        <v>0</v>
      </c>
      <c r="BF8" s="44">
        <f>IFERROR(__xludf.DUMMYFUNCTION("""COMPUTED_VALUE"""),910000.0)</f>
        <v>910000</v>
      </c>
      <c r="BG8" s="56"/>
      <c r="BH8" s="56"/>
      <c r="BI8" s="5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</row>
    <row r="9">
      <c r="A9" s="47">
        <f>IFERROR(__xludf.DUMMYFUNCTION("""COMPUTED_VALUE"""),8.0)</f>
        <v>8</v>
      </c>
      <c r="B9" s="48" t="str">
        <f>IFERROR(__xludf.DUMMYFUNCTION("""COMPUTED_VALUE"""),"ALMAIR FADHIL ABID ALHAQ")</f>
        <v>ALMAIR FADHIL ABID ALHAQ</v>
      </c>
      <c r="C9" s="49">
        <f>IFERROR(__xludf.DUMMYFUNCTION("""COMPUTED_VALUE"""),2.024070508E9)</f>
        <v>2024070508</v>
      </c>
      <c r="D9" s="48" t="str">
        <f>IFERROR(__xludf.DUMMYFUNCTION("""COMPUTED_VALUE"""),"MOHAMAD KHOLIS LUTFI")</f>
        <v>MOHAMAD KHOLIS LUTFI</v>
      </c>
      <c r="E9" s="48" t="str">
        <f>IFERROR(__xludf.DUMMYFUNCTION("""COMPUTED_VALUE"""),"IIN UMAYYAH")</f>
        <v>IIN UMAYYAH</v>
      </c>
      <c r="F9" s="48" t="str">
        <f>IFERROR(__xludf.DUMMYFUNCTION("""COMPUTED_VALUE"""),"JL. PENDIDIKAN 20 B RT 001 RW 005 BABAT LAMONGAN")</f>
        <v>JL. PENDIDIKAN 20 B RT 001 RW 005 BABAT LAMONGAN</v>
      </c>
      <c r="G9" s="50" t="str">
        <f>IFERROR(__xludf.DUMMYFUNCTION("""COMPUTED_VALUE"""),"MTS-9 C")</f>
        <v>MTS-9 C</v>
      </c>
      <c r="H9" s="47" t="str">
        <f>IFERROR(__xludf.DUMMYFUNCTION("""COMPUTED_VALUE"""),"A")</f>
        <v>A</v>
      </c>
      <c r="I9" s="51" t="str">
        <f>IFERROR(__xludf.DUMMYFUNCTION("""COMPUTED_VALUE"""),"A-7")</f>
        <v>A-7</v>
      </c>
      <c r="J9" s="51">
        <f>IFERROR(__xludf.DUMMYFUNCTION("""COMPUTED_VALUE"""),3.0)</f>
        <v>3</v>
      </c>
      <c r="K9" s="51" t="str">
        <f>IFERROR(__xludf.DUMMYFUNCTION("""COMPUTED_VALUE"""),"3 ULA A PUTRA")</f>
        <v>3 ULA A PUTRA</v>
      </c>
      <c r="L9" s="50" t="str">
        <f>IFERROR(__xludf.DUMMYFUNCTION("""COMPUTED_VALUE"""),"6285230844686")</f>
        <v>6285230844686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>
        <f>IFERROR(__xludf.DUMMYFUNCTION("""COMPUTED_VALUE"""),450000.0)</f>
        <v>450000</v>
      </c>
      <c r="AO9" s="54"/>
      <c r="AP9" s="54">
        <f>IFERROR(__xludf.DUMMYFUNCTION("""COMPUTED_VALUE"""),500000.0)</f>
        <v>500000</v>
      </c>
      <c r="AQ9" s="53"/>
      <c r="AR9" s="53"/>
      <c r="AS9" s="54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IFERROR(__xludf.DUMMYFUNCTION("""COMPUTED_VALUE"""),450000.0)</f>
        <v>450000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IFERROR(__xludf.DUMMYFUNCTION("""COMPUTED_VALUE"""),1450000.0)</f>
        <v>1450000</v>
      </c>
      <c r="BG9" s="57"/>
      <c r="BH9" s="57"/>
      <c r="BI9" s="57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</row>
    <row r="10">
      <c r="A10" s="36">
        <f>IFERROR(__xludf.DUMMYFUNCTION("""COMPUTED_VALUE"""),9.0)</f>
        <v>9</v>
      </c>
      <c r="B10" s="37" t="str">
        <f>IFERROR(__xludf.DUMMYFUNCTION("""COMPUTED_VALUE"""),"ANDIKA CAHYO BUDI LAKSONO")</f>
        <v>ANDIKA CAHYO BUDI LAKSONO</v>
      </c>
      <c r="C10" s="38">
        <f>IFERROR(__xludf.DUMMYFUNCTION("""COMPUTED_VALUE"""),2.024070654E9)</f>
        <v>2024070654</v>
      </c>
      <c r="D10" s="37" t="str">
        <f>IFERROR(__xludf.DUMMYFUNCTION("""COMPUTED_VALUE"""),"KARIMAN")</f>
        <v>KARIMAN</v>
      </c>
      <c r="E10" s="37" t="str">
        <f>IFERROR(__xludf.DUMMYFUNCTION("""COMPUTED_VALUE"""),"USWATUN HASANAH")</f>
        <v>USWATUN HASANAH</v>
      </c>
      <c r="F10" s="37" t="str">
        <f>IFERROR(__xludf.DUMMYFUNCTION("""COMPUTED_VALUE"""),"KEMLAGIGEDE RT 007 RW 002 TURI LAMONGAN")</f>
        <v>KEMLAGIGEDE RT 007 RW 002 TURI LAMONGAN</v>
      </c>
      <c r="G10" s="39" t="str">
        <f>IFERROR(__xludf.DUMMYFUNCTION("""COMPUTED_VALUE"""),"MTS-9 F")</f>
        <v>MTS-9 F</v>
      </c>
      <c r="H10" s="36" t="str">
        <f>IFERROR(__xludf.DUMMYFUNCTION("""COMPUTED_VALUE"""),"A")</f>
        <v>A</v>
      </c>
      <c r="I10" s="40" t="str">
        <f>IFERROR(__xludf.DUMMYFUNCTION("""COMPUTED_VALUE"""),"A-7")</f>
        <v>A-7</v>
      </c>
      <c r="J10" s="40">
        <f>IFERROR(__xludf.DUMMYFUNCTION("""COMPUTED_VALUE"""),3.0)</f>
        <v>3</v>
      </c>
      <c r="K10" s="40" t="str">
        <f>IFERROR(__xludf.DUMMYFUNCTION("""COMPUTED_VALUE"""),"3 ULA A PUTRA")</f>
        <v>3 ULA A PUTRA</v>
      </c>
      <c r="L10" s="39" t="str">
        <f>IFERROR(__xludf.DUMMYFUNCTION("""COMPUTED_VALUE"""),"628579002358")</f>
        <v>628579002358</v>
      </c>
      <c r="M10" s="43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3">
        <f>IFERROR(__xludf.DUMMYFUNCTION("""COMPUTED_VALUE"""),500000.0)</f>
        <v>500000</v>
      </c>
      <c r="AC10" s="42"/>
      <c r="AD10" s="42">
        <f>IFERROR(__xludf.DUMMYFUNCTION("""COMPUTED_VALUE"""),450000.0)</f>
        <v>450000</v>
      </c>
      <c r="AE10" s="42">
        <f>IFERROR(__xludf.DUMMYFUNCTION("""COMPUTED_VALUE"""),450000.0)</f>
        <v>450000</v>
      </c>
      <c r="AF10" s="42">
        <f>IFERROR(__xludf.DUMMYFUNCTION("""COMPUTED_VALUE"""),450000.0)</f>
        <v>450000</v>
      </c>
      <c r="AG10" s="43">
        <f>IFERROR(__xludf.DUMMYFUNCTION("""COMPUTED_VALUE"""),450000.0)</f>
        <v>450000</v>
      </c>
      <c r="AH10" s="43">
        <f>IFERROR(__xludf.DUMMYFUNCTION("""COMPUTED_VALUE"""),450000.0)</f>
        <v>450000</v>
      </c>
      <c r="AI10" s="43">
        <f>IFERROR(__xludf.DUMMYFUNCTION("""COMPUTED_VALUE"""),450000.0)</f>
        <v>450000</v>
      </c>
      <c r="AJ10" s="43">
        <f>IFERROR(__xludf.DUMMYFUNCTION("""COMPUTED_VALUE"""),450000.0)</f>
        <v>450000</v>
      </c>
      <c r="AK10" s="43">
        <f>IFERROR(__xludf.DUMMYFUNCTION("""COMPUTED_VALUE"""),450000.0)</f>
        <v>450000</v>
      </c>
      <c r="AL10" s="43">
        <f>IFERROR(__xludf.DUMMYFUNCTION("""COMPUTED_VALUE"""),450000.0)</f>
        <v>450000</v>
      </c>
      <c r="AM10" s="43">
        <f>IFERROR(__xludf.DUMMYFUNCTION("""COMPUTED_VALUE"""),450000.0)</f>
        <v>450000</v>
      </c>
      <c r="AN10" s="43">
        <f>IFERROR(__xludf.DUMMYFUNCTION("""COMPUTED_VALUE"""),450000.0)</f>
        <v>450000</v>
      </c>
      <c r="AO10" s="43"/>
      <c r="AP10" s="43">
        <f>IFERROR(__xludf.DUMMYFUNCTION("""COMPUTED_VALUE"""),500000.0)</f>
        <v>500000</v>
      </c>
      <c r="AQ10" s="43"/>
      <c r="AR10" s="43"/>
      <c r="AS10" s="43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IFERROR(__xludf.DUMMYFUNCTION("""COMPUTED_VALUE"""),4950000.0)</f>
        <v>4950000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IFERROR(__xludf.DUMMYFUNCTION("""COMPUTED_VALUE"""),5950000.0)</f>
        <v>5950000</v>
      </c>
      <c r="BG10" s="56"/>
      <c r="BH10" s="56"/>
      <c r="BI10" s="5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</row>
    <row r="11">
      <c r="A11" s="47">
        <f>IFERROR(__xludf.DUMMYFUNCTION("""COMPUTED_VALUE"""),10.0)</f>
        <v>10</v>
      </c>
      <c r="B11" s="48" t="str">
        <f>IFERROR(__xludf.DUMMYFUNCTION("""COMPUTED_VALUE"""),"ARVEL ALIF SYAIFULLAH")</f>
        <v>ARVEL ALIF SYAIFULLAH</v>
      </c>
      <c r="C11" s="49">
        <f>IFERROR(__xludf.DUMMYFUNCTION("""COMPUTED_VALUE"""),2.024070652E9)</f>
        <v>2024070652</v>
      </c>
      <c r="D11" s="48" t="str">
        <f>IFERROR(__xludf.DUMMYFUNCTION("""COMPUTED_VALUE"""),"AMRI")</f>
        <v>AMRI</v>
      </c>
      <c r="E11" s="48" t="str">
        <f>IFERROR(__xludf.DUMMYFUNCTION("""COMPUTED_VALUE"""),"DEWI IRMAWATI")</f>
        <v>DEWI IRMAWATI</v>
      </c>
      <c r="F11" s="48" t="str">
        <f>IFERROR(__xludf.DUMMYFUNCTION("""COMPUTED_VALUE"""),"DUKUH GEMPOL PENDOWO RT 004 RW 002 GLAGAH LAMONGAN")</f>
        <v>DUKUH GEMPOL PENDOWO RT 004 RW 002 GLAGAH LAMONGAN</v>
      </c>
      <c r="G11" s="50" t="str">
        <f>IFERROR(__xludf.DUMMYFUNCTION("""COMPUTED_VALUE"""),"MTS-9 F")</f>
        <v>MTS-9 F</v>
      </c>
      <c r="H11" s="47" t="str">
        <f>IFERROR(__xludf.DUMMYFUNCTION("""COMPUTED_VALUE"""),"A")</f>
        <v>A</v>
      </c>
      <c r="I11" s="51" t="str">
        <f>IFERROR(__xludf.DUMMYFUNCTION("""COMPUTED_VALUE"""),"A-7")</f>
        <v>A-7</v>
      </c>
      <c r="J11" s="51">
        <f>IFERROR(__xludf.DUMMYFUNCTION("""COMPUTED_VALUE"""),3.0)</f>
        <v>3</v>
      </c>
      <c r="K11" s="51" t="str">
        <f>IFERROR(__xludf.DUMMYFUNCTION("""COMPUTED_VALUE"""),"3 ULA A PUTRA")</f>
        <v>3 ULA A PUTRA</v>
      </c>
      <c r="L11" s="50" t="str">
        <f>IFERROR(__xludf.DUMMYFUNCTION("""COMPUTED_VALUE"""),"6282139016910")</f>
        <v>6282139016910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>
        <f>IFERROR(__xludf.DUMMYFUNCTION("""COMPUTED_VALUE"""),450000.0)</f>
        <v>450000</v>
      </c>
      <c r="AN11" s="53">
        <f>IFERROR(__xludf.DUMMYFUNCTION("""COMPUTED_VALUE"""),450000.0)</f>
        <v>450000</v>
      </c>
      <c r="AO11" s="53"/>
      <c r="AP11" s="54">
        <f>IFERROR(__xludf.DUMMYFUNCTION("""COMPUTED_VALUE"""),500000.0)</f>
        <v>500000</v>
      </c>
      <c r="AQ11" s="53"/>
      <c r="AR11" s="54"/>
      <c r="AS11" s="54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IFERROR(__xludf.DUMMYFUNCTION("""COMPUTED_VALUE"""),900000.0)</f>
        <v>900000</v>
      </c>
      <c r="BD11" s="54">
        <f>IFERROR(__xludf.DUMMYFUNCTION("""COMPUTED_VALUE"""),500000.0)</f>
        <v>500000</v>
      </c>
      <c r="BE11" s="54">
        <f>IFERROR(__xludf.DUMMYFUNCTION("""COMPUTED_VALUE"""),0.0)</f>
        <v>0</v>
      </c>
      <c r="BF11" s="55">
        <f>IFERROR(__xludf.DUMMYFUNCTION("""COMPUTED_VALUE"""),1400000.0)</f>
        <v>1400000</v>
      </c>
      <c r="BG11" s="57"/>
      <c r="BH11" s="57"/>
      <c r="BI11" s="57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</row>
    <row r="12">
      <c r="A12" s="36">
        <f>IFERROR(__xludf.DUMMYFUNCTION("""COMPUTED_VALUE"""),11.0)</f>
        <v>11</v>
      </c>
      <c r="B12" s="37" t="str">
        <f>IFERROR(__xludf.DUMMYFUNCTION("""COMPUTED_VALUE"""),"AZZA IBNU ARJUN")</f>
        <v>AZZA IBNU ARJUN</v>
      </c>
      <c r="C12" s="38">
        <f>IFERROR(__xludf.DUMMYFUNCTION("""COMPUTED_VALUE"""),2.024090771E9)</f>
        <v>2024090771</v>
      </c>
      <c r="D12" s="37" t="str">
        <f>IFERROR(__xludf.DUMMYFUNCTION("""COMPUTED_VALUE"""),"EDI SUCIPTO")</f>
        <v>EDI SUCIPTO</v>
      </c>
      <c r="E12" s="37" t="str">
        <f>IFERROR(__xludf.DUMMYFUNCTION("""COMPUTED_VALUE"""),"IKA NUR KHOLIFAH")</f>
        <v>IKA NUR KHOLIFAH</v>
      </c>
      <c r="F12" s="37" t="str">
        <f>IFERROR(__xludf.DUMMYFUNCTION("""COMPUTED_VALUE"""),"MALINAU HULU RT 009 RW 000 MALINAU KOTA MALINAU")</f>
        <v>MALINAU HULU RT 009 RW 000 MALINAU KOTA MALINAU</v>
      </c>
      <c r="G12" s="39" t="str">
        <f>IFERROR(__xludf.DUMMYFUNCTION("""COMPUTED_VALUE"""),"SMP-IX A")</f>
        <v>SMP-IX A</v>
      </c>
      <c r="H12" s="36" t="str">
        <f>IFERROR(__xludf.DUMMYFUNCTION("""COMPUTED_VALUE"""),"A")</f>
        <v>A</v>
      </c>
      <c r="I12" s="40" t="str">
        <f>IFERROR(__xludf.DUMMYFUNCTION("""COMPUTED_VALUE"""),"A-8")</f>
        <v>A-8</v>
      </c>
      <c r="J12" s="40">
        <f>IFERROR(__xludf.DUMMYFUNCTION("""COMPUTED_VALUE"""),3.0)</f>
        <v>3</v>
      </c>
      <c r="K12" s="40" t="str">
        <f>IFERROR(__xludf.DUMMYFUNCTION("""COMPUTED_VALUE"""),"3 ULA A PUTRA")</f>
        <v>3 ULA A PUTRA</v>
      </c>
      <c r="L12" s="39" t="str">
        <f>IFERROR(__xludf.DUMMYFUNCTION("""COMPUTED_VALUE"""),"6282234721856")</f>
        <v>6282234721856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>
        <f>IFERROR(__xludf.DUMMYFUNCTION("""COMPUTED_VALUE"""),450000.0)</f>
        <v>450000</v>
      </c>
      <c r="AO12" s="42"/>
      <c r="AP12" s="42"/>
      <c r="AQ12" s="42"/>
      <c r="AR12" s="42"/>
      <c r="AS12" s="43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IFERROR(__xludf.DUMMYFUNCTION("""COMPUTED_VALUE"""),450000.0)</f>
        <v>450000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IFERROR(__xludf.DUMMYFUNCTION("""COMPUTED_VALUE"""),450000.0)</f>
        <v>450000</v>
      </c>
      <c r="BG12" s="56"/>
      <c r="BH12" s="56"/>
      <c r="BI12" s="5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</row>
    <row r="13">
      <c r="A13" s="47">
        <f>IFERROR(__xludf.DUMMYFUNCTION("""COMPUTED_VALUE"""),12.0)</f>
        <v>12</v>
      </c>
      <c r="B13" s="48" t="str">
        <f>IFERROR(__xludf.DUMMYFUNCTION("""COMPUTED_VALUE"""),"AZZAM ABDILLAH SAPTA")</f>
        <v>AZZAM ABDILLAH SAPTA</v>
      </c>
      <c r="C13" s="49">
        <f>IFERROR(__xludf.DUMMYFUNCTION("""COMPUTED_VALUE"""),2.02407059E9)</f>
        <v>2024070590</v>
      </c>
      <c r="D13" s="48" t="str">
        <f>IFERROR(__xludf.DUMMYFUNCTION("""COMPUTED_VALUE"""),"CHOIRUL ZANIB")</f>
        <v>CHOIRUL ZANIB</v>
      </c>
      <c r="E13" s="48" t="str">
        <f>IFERROR(__xludf.DUMMYFUNCTION("""COMPUTED_VALUE"""),"MUIYATI")</f>
        <v>MUIYATI</v>
      </c>
      <c r="F13" s="48" t="str">
        <f>IFERROR(__xludf.DUMMYFUNCTION("""COMPUTED_VALUE"""),"NGAYUNG RT 005 RW 002 MADURAN LAMONGAN")</f>
        <v>NGAYUNG RT 005 RW 002 MADURAN LAMONGAN</v>
      </c>
      <c r="G13" s="50" t="str">
        <f>IFERROR(__xludf.DUMMYFUNCTION("""COMPUTED_VALUE"""),"MTS-9 D")</f>
        <v>MTS-9 D</v>
      </c>
      <c r="H13" s="47" t="str">
        <f>IFERROR(__xludf.DUMMYFUNCTION("""COMPUTED_VALUE"""),"A")</f>
        <v>A</v>
      </c>
      <c r="I13" s="51" t="str">
        <f>IFERROR(__xludf.DUMMYFUNCTION("""COMPUTED_VALUE"""),"A-8")</f>
        <v>A-8</v>
      </c>
      <c r="J13" s="51">
        <f>IFERROR(__xludf.DUMMYFUNCTION("""COMPUTED_VALUE"""),3.0)</f>
        <v>3</v>
      </c>
      <c r="K13" s="51" t="str">
        <f>IFERROR(__xludf.DUMMYFUNCTION("""COMPUTED_VALUE"""),"3 ULA B PUTRA")</f>
        <v>3 ULA B PUTRA</v>
      </c>
      <c r="L13" s="50" t="str">
        <f>IFERROR(__xludf.DUMMYFUNCTION("""COMPUTED_VALUE"""),"6282143068892")</f>
        <v>6282143068892</v>
      </c>
      <c r="M13" s="54"/>
      <c r="N13" s="53"/>
      <c r="O13" s="53"/>
      <c r="P13" s="53"/>
      <c r="Q13" s="53"/>
      <c r="R13" s="53"/>
      <c r="S13" s="53"/>
      <c r="T13" s="53"/>
      <c r="U13" s="53"/>
      <c r="V13" s="53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>
        <f>IFERROR(__xludf.DUMMYFUNCTION("""COMPUTED_VALUE"""),500000.0)</f>
        <v>500000</v>
      </c>
      <c r="AQ13" s="54"/>
      <c r="AR13" s="54"/>
      <c r="AS13" s="54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IFERROR(__xludf.DUMMYFUNCTION("""COMPUTED_VALUE"""),500000.0)</f>
        <v>500000</v>
      </c>
      <c r="BE13" s="54">
        <f>IFERROR(__xludf.DUMMYFUNCTION("""COMPUTED_VALUE"""),0.0)</f>
        <v>0</v>
      </c>
      <c r="BF13" s="55">
        <f>IFERROR(__xludf.DUMMYFUNCTION("""COMPUTED_VALUE"""),500000.0)</f>
        <v>500000</v>
      </c>
      <c r="BG13" s="57"/>
      <c r="BH13" s="57"/>
      <c r="BI13" s="57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</row>
    <row r="14">
      <c r="A14" s="36">
        <f>IFERROR(__xludf.DUMMYFUNCTION("""COMPUTED_VALUE"""),13.0)</f>
        <v>13</v>
      </c>
      <c r="B14" s="37" t="str">
        <f>IFERROR(__xludf.DUMMYFUNCTION("""COMPUTED_VALUE"""),"BAGAS KHOIRUL AZAM")</f>
        <v>BAGAS KHOIRUL AZAM</v>
      </c>
      <c r="C14" s="38">
        <f>IFERROR(__xludf.DUMMYFUNCTION("""COMPUTED_VALUE"""),2.024070452E9)</f>
        <v>2024070452</v>
      </c>
      <c r="D14" s="37" t="str">
        <f>IFERROR(__xludf.DUMMYFUNCTION("""COMPUTED_VALUE"""),"SUBAKIR")</f>
        <v>SUBAKIR</v>
      </c>
      <c r="E14" s="37" t="str">
        <f>IFERROR(__xludf.DUMMYFUNCTION("""COMPUTED_VALUE"""),"SUKANI")</f>
        <v>SUKANI</v>
      </c>
      <c r="F14" s="37" t="str">
        <f>IFERROR(__xludf.DUMMYFUNCTION("""COMPUTED_VALUE"""),"WONOSARI MULYO 5/37 WONOKUSUMO RT 017 RW 007 SEMAMPIR SURABAYA")</f>
        <v>WONOSARI MULYO 5/37 WONOKUSUMO RT 017 RW 007 SEMAMPIR SURABAYA</v>
      </c>
      <c r="G14" s="39" t="str">
        <f>IFERROR(__xludf.DUMMYFUNCTION("""COMPUTED_VALUE"""),"MTS-9 D")</f>
        <v>MTS-9 D</v>
      </c>
      <c r="H14" s="36" t="str">
        <f>IFERROR(__xludf.DUMMYFUNCTION("""COMPUTED_VALUE"""),"A")</f>
        <v>A</v>
      </c>
      <c r="I14" s="40" t="str">
        <f>IFERROR(__xludf.DUMMYFUNCTION("""COMPUTED_VALUE"""),"A-8")</f>
        <v>A-8</v>
      </c>
      <c r="J14" s="40">
        <f>IFERROR(__xludf.DUMMYFUNCTION("""COMPUTED_VALUE"""),3.0)</f>
        <v>3</v>
      </c>
      <c r="K14" s="40" t="str">
        <f>IFERROR(__xludf.DUMMYFUNCTION("""COMPUTED_VALUE"""),"3 ULA A PUTRA")</f>
        <v>3 ULA A PUTRA</v>
      </c>
      <c r="L14" s="39" t="str">
        <f>IFERROR(__xludf.DUMMYFUNCTION("""COMPUTED_VALUE"""),"6285738565150")</f>
        <v>6285738565150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>
        <f>IFERROR(__xludf.DUMMYFUNCTION("""COMPUTED_VALUE"""),500000.0)</f>
        <v>500000</v>
      </c>
      <c r="AQ14" s="42"/>
      <c r="AR14" s="42"/>
      <c r="AS14" s="43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IFERROR(__xludf.DUMMYFUNCTION("""COMPUTED_VALUE"""),0.0)</f>
        <v>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IFERROR(__xludf.DUMMYFUNCTION("""COMPUTED_VALUE"""),500000.0)</f>
        <v>500000</v>
      </c>
      <c r="BG14" s="56"/>
      <c r="BH14" s="56"/>
      <c r="BI14" s="5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</row>
    <row r="15">
      <c r="A15" s="47">
        <f>IFERROR(__xludf.DUMMYFUNCTION("""COMPUTED_VALUE"""),14.0)</f>
        <v>14</v>
      </c>
      <c r="B15" s="48" t="str">
        <f>IFERROR(__xludf.DUMMYFUNCTION("""COMPUTED_VALUE"""),"BENY OCKTA")</f>
        <v>BENY OCKTA</v>
      </c>
      <c r="C15" s="49">
        <f>IFERROR(__xludf.DUMMYFUNCTION("""COMPUTED_VALUE"""),2.024070602E9)</f>
        <v>2024070602</v>
      </c>
      <c r="D15" s="48" t="str">
        <f>IFERROR(__xludf.DUMMYFUNCTION("""COMPUTED_VALUE"""),"CECEP FIRDAUS")</f>
        <v>CECEP FIRDAUS</v>
      </c>
      <c r="E15" s="48" t="str">
        <f>IFERROR(__xludf.DUMMYFUNCTION("""COMPUTED_VALUE"""),"SUSANTI")</f>
        <v>SUSANTI</v>
      </c>
      <c r="F15" s="48" t="str">
        <f>IFERROR(__xludf.DUMMYFUNCTION("""COMPUTED_VALUE"""),"WEDENG SUKOREJO RT 001 RW 003 KARANGBINANGUN LAMONGAN")</f>
        <v>WEDENG SUKOREJO RT 001 RW 003 KARANGBINANGUN LAMONGAN</v>
      </c>
      <c r="G15" s="50" t="str">
        <f>IFERROR(__xludf.DUMMYFUNCTION("""COMPUTED_VALUE"""),"MTS-9 F")</f>
        <v>MTS-9 F</v>
      </c>
      <c r="H15" s="47" t="str">
        <f>IFERROR(__xludf.DUMMYFUNCTION("""COMPUTED_VALUE"""),"A")</f>
        <v>A</v>
      </c>
      <c r="I15" s="51" t="str">
        <f>IFERROR(__xludf.DUMMYFUNCTION("""COMPUTED_VALUE"""),"A-7")</f>
        <v>A-7</v>
      </c>
      <c r="J15" s="51">
        <f>IFERROR(__xludf.DUMMYFUNCTION("""COMPUTED_VALUE"""),3.0)</f>
        <v>3</v>
      </c>
      <c r="K15" s="51" t="str">
        <f>IFERROR(__xludf.DUMMYFUNCTION("""COMPUTED_VALUE"""),"3 ULA B PUTRA")</f>
        <v>3 ULA B PUTRA</v>
      </c>
      <c r="L15" s="50" t="str">
        <f>IFERROR(__xludf.DUMMYFUNCTION("""COMPUTED_VALUE"""),"6285252386649")</f>
        <v>6285252386649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>
        <f>IFERROR(__xludf.DUMMYFUNCTION("""COMPUTED_VALUE"""),250000.0)</f>
        <v>250000</v>
      </c>
      <c r="AB15" s="53">
        <f>IFERROR(__xludf.DUMMYFUNCTION("""COMPUTED_VALUE"""),500000.0)</f>
        <v>500000</v>
      </c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>
        <f>IFERROR(__xludf.DUMMYFUNCTION("""COMPUTED_VALUE"""),500000.0)</f>
        <v>500000</v>
      </c>
      <c r="AQ15" s="53"/>
      <c r="AR15" s="53"/>
      <c r="AS15" s="54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IFERROR(__xludf.DUMMYFUNCTION("""COMPUTED_VALUE"""),1000000.0)</f>
        <v>1000000</v>
      </c>
      <c r="BE15" s="54">
        <f>IFERROR(__xludf.DUMMYFUNCTION("""COMPUTED_VALUE"""),250000.0)</f>
        <v>250000</v>
      </c>
      <c r="BF15" s="55">
        <f>IFERROR(__xludf.DUMMYFUNCTION("""COMPUTED_VALUE"""),1250000.0)</f>
        <v>1250000</v>
      </c>
      <c r="BG15" s="57"/>
      <c r="BH15" s="57"/>
      <c r="BI15" s="57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</row>
    <row r="16">
      <c r="A16" s="36">
        <f>IFERROR(__xludf.DUMMYFUNCTION("""COMPUTED_VALUE"""),15.0)</f>
        <v>15</v>
      </c>
      <c r="B16" s="37" t="str">
        <f>IFERROR(__xludf.DUMMYFUNCTION("""COMPUTED_VALUE"""),"BINTANG FARSYA HUSBANA")</f>
        <v>BINTANG FARSYA HUSBANA</v>
      </c>
      <c r="C16" s="38">
        <f>IFERROR(__xludf.DUMMYFUNCTION("""COMPUTED_VALUE"""),2.024070646E9)</f>
        <v>2024070646</v>
      </c>
      <c r="D16" s="37" t="str">
        <f>IFERROR(__xludf.DUMMYFUNCTION("""COMPUTED_VALUE"""),"YOYOK")</f>
        <v>YOYOK</v>
      </c>
      <c r="E16" s="37" t="str">
        <f>IFERROR(__xludf.DUMMYFUNCTION("""COMPUTED_VALUE"""),"SITI MUNFARIDA")</f>
        <v>SITI MUNFARIDA</v>
      </c>
      <c r="F16" s="37" t="str">
        <f>IFERROR(__xludf.DUMMYFUNCTION("""COMPUTED_VALUE"""),"SEREN JATIPANDAK RT 007 RW 003 SAMBENG LAMONGAN")</f>
        <v>SEREN JATIPANDAK RT 007 RW 003 SAMBENG LAMONGAN</v>
      </c>
      <c r="G16" s="39" t="str">
        <f>IFERROR(__xludf.DUMMYFUNCTION("""COMPUTED_VALUE"""),"MTS-9 F")</f>
        <v>MTS-9 F</v>
      </c>
      <c r="H16" s="36" t="str">
        <f>IFERROR(__xludf.DUMMYFUNCTION("""COMPUTED_VALUE"""),"A")</f>
        <v>A</v>
      </c>
      <c r="I16" s="40" t="str">
        <f>IFERROR(__xludf.DUMMYFUNCTION("""COMPUTED_VALUE"""),"A-7")</f>
        <v>A-7</v>
      </c>
      <c r="J16" s="40">
        <f>IFERROR(__xludf.DUMMYFUNCTION("""COMPUTED_VALUE"""),3.0)</f>
        <v>3</v>
      </c>
      <c r="K16" s="40" t="str">
        <f>IFERROR(__xludf.DUMMYFUNCTION("""COMPUTED_VALUE"""),"3 ULA A PUTRA")</f>
        <v>3 ULA A PUTRA</v>
      </c>
      <c r="L16" s="39" t="str">
        <f>IFERROR(__xludf.DUMMYFUNCTION("""COMPUTED_VALUE"""),"6285851833747")</f>
        <v>6285851833747</v>
      </c>
      <c r="M16" s="43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>
        <f>IFERROR(__xludf.DUMMYFUNCTION("""COMPUTED_VALUE"""),450000.0)</f>
        <v>450000</v>
      </c>
      <c r="AO16" s="42"/>
      <c r="AP16" s="43"/>
      <c r="AQ16" s="42"/>
      <c r="AR16" s="42"/>
      <c r="AS16" s="43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IFERROR(__xludf.DUMMYFUNCTION("""COMPUTED_VALUE"""),450000.0)</f>
        <v>450000</v>
      </c>
      <c r="BD16" s="43">
        <f>IFERROR(__xludf.DUMMYFUNCTION("""COMPUTED_VALUE"""),0.0)</f>
        <v>0</v>
      </c>
      <c r="BE16" s="43">
        <f>IFERROR(__xludf.DUMMYFUNCTION("""COMPUTED_VALUE"""),0.0)</f>
        <v>0</v>
      </c>
      <c r="BF16" s="44">
        <f>IFERROR(__xludf.DUMMYFUNCTION("""COMPUTED_VALUE"""),450000.0)</f>
        <v>450000</v>
      </c>
      <c r="BG16" s="56"/>
      <c r="BH16" s="56"/>
      <c r="BI16" s="5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</row>
    <row r="17">
      <c r="A17" s="47">
        <f>IFERROR(__xludf.DUMMYFUNCTION("""COMPUTED_VALUE"""),16.0)</f>
        <v>16</v>
      </c>
      <c r="B17" s="48" t="str">
        <f>IFERROR(__xludf.DUMMYFUNCTION("""COMPUTED_VALUE"""),"DIMAS ALFIAN SAPUTRA")</f>
        <v>DIMAS ALFIAN SAPUTRA</v>
      </c>
      <c r="C17" s="49">
        <f>IFERROR(__xludf.DUMMYFUNCTION("""COMPUTED_VALUE"""),2.024070655E9)</f>
        <v>2024070655</v>
      </c>
      <c r="D17" s="48" t="str">
        <f>IFERROR(__xludf.DUMMYFUNCTION("""COMPUTED_VALUE"""),"MOH. MUFID")</f>
        <v>MOH. MUFID</v>
      </c>
      <c r="E17" s="48" t="str">
        <f>IFERROR(__xludf.DUMMYFUNCTION("""COMPUTED_VALUE"""),"MAHZUMAH")</f>
        <v>MAHZUMAH</v>
      </c>
      <c r="F17" s="48" t="str">
        <f>IFERROR(__xludf.DUMMYFUNCTION("""COMPUTED_VALUE"""),"WEDENG SUKOREJO RT 001 RW 002 KARANGBINANGUN LAMONGAN")</f>
        <v>WEDENG SUKOREJO RT 001 RW 002 KARANGBINANGUN LAMONGAN</v>
      </c>
      <c r="G17" s="50" t="str">
        <f>IFERROR(__xludf.DUMMYFUNCTION("""COMPUTED_VALUE"""),"MTS-9 F")</f>
        <v>MTS-9 F</v>
      </c>
      <c r="H17" s="47" t="str">
        <f>IFERROR(__xludf.DUMMYFUNCTION("""COMPUTED_VALUE"""),"A")</f>
        <v>A</v>
      </c>
      <c r="I17" s="51" t="str">
        <f>IFERROR(__xludf.DUMMYFUNCTION("""COMPUTED_VALUE"""),"A-7")</f>
        <v>A-7</v>
      </c>
      <c r="J17" s="51">
        <f>IFERROR(__xludf.DUMMYFUNCTION("""COMPUTED_VALUE"""),3.0)</f>
        <v>3</v>
      </c>
      <c r="K17" s="51" t="str">
        <f>IFERROR(__xludf.DUMMYFUNCTION("""COMPUTED_VALUE"""),"3 ULA A PUTRA")</f>
        <v>3 ULA A PUTRA</v>
      </c>
      <c r="L17" s="50" t="str">
        <f>IFERROR(__xludf.DUMMYFUNCTION("""COMPUTED_VALUE"""),"6285855732030")</f>
        <v>6285855732030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4"/>
      <c r="AS17" s="54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IFERROR(__xludf.DUMMYFUNCTION("""COMPUTED_VALUE"""),0.0)</f>
        <v>0</v>
      </c>
      <c r="BE17" s="54">
        <f>IFERROR(__xludf.DUMMYFUNCTION("""COMPUTED_VALUE"""),0.0)</f>
        <v>0</v>
      </c>
      <c r="BF17" s="55">
        <f>IFERROR(__xludf.DUMMYFUNCTION("""COMPUTED_VALUE"""),0.0)</f>
        <v>0</v>
      </c>
      <c r="BG17" s="57"/>
      <c r="BH17" s="57"/>
      <c r="BI17" s="57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</row>
    <row r="18">
      <c r="A18" s="36">
        <f>IFERROR(__xludf.DUMMYFUNCTION("""COMPUTED_VALUE"""),17.0)</f>
        <v>17</v>
      </c>
      <c r="B18" s="37" t="str">
        <f>IFERROR(__xludf.DUMMYFUNCTION("""COMPUTED_VALUE"""),"DIMAS PRATAMA ARIYANTO")</f>
        <v>DIMAS PRATAMA ARIYANTO</v>
      </c>
      <c r="C18" s="38">
        <f>IFERROR(__xludf.DUMMYFUNCTION("""COMPUTED_VALUE"""),2.024070444E9)</f>
        <v>2024070444</v>
      </c>
      <c r="D18" s="37" t="str">
        <f>IFERROR(__xludf.DUMMYFUNCTION("""COMPUTED_VALUE"""),"AHMAD RIANTO")</f>
        <v>AHMAD RIANTO</v>
      </c>
      <c r="E18" s="37" t="str">
        <f>IFERROR(__xludf.DUMMYFUNCTION("""COMPUTED_VALUE"""),"YAYUK ERNAWATI")</f>
        <v>YAYUK ERNAWATI</v>
      </c>
      <c r="F18" s="37" t="str">
        <f>IFERROR(__xludf.DUMMYFUNCTION("""COMPUTED_VALUE"""),"SUKOWATI SUKOSONGO RT 017 RW 008 KEMBANGBAHU LAMONGAN")</f>
        <v>SUKOWATI SUKOSONGO RT 017 RW 008 KEMBANGBAHU LAMONGAN</v>
      </c>
      <c r="G18" s="39" t="str">
        <f>IFERROR(__xludf.DUMMYFUNCTION("""COMPUTED_VALUE"""),"MTS-9 E")</f>
        <v>MTS-9 E</v>
      </c>
      <c r="H18" s="36" t="str">
        <f>IFERROR(__xludf.DUMMYFUNCTION("""COMPUTED_VALUE"""),"A")</f>
        <v>A</v>
      </c>
      <c r="I18" s="40" t="str">
        <f>IFERROR(__xludf.DUMMYFUNCTION("""COMPUTED_VALUE"""),"A-8")</f>
        <v>A-8</v>
      </c>
      <c r="J18" s="40">
        <f>IFERROR(__xludf.DUMMYFUNCTION("""COMPUTED_VALUE"""),3.0)</f>
        <v>3</v>
      </c>
      <c r="K18" s="40" t="str">
        <f>IFERROR(__xludf.DUMMYFUNCTION("""COMPUTED_VALUE"""),"3 ULA A PUTRA")</f>
        <v>3 ULA A PUTRA</v>
      </c>
      <c r="L18" s="39" t="str">
        <f>IFERROR(__xludf.DUMMYFUNCTION("""COMPUTED_VALUE"""),"6281515026997")</f>
        <v>6281515026997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3"/>
      <c r="AS18" s="43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IFERROR(__xludf.DUMMYFUNCTION("""COMPUTED_VALUE"""),0.0)</f>
        <v>0</v>
      </c>
      <c r="BE18" s="43">
        <f>IFERROR(__xludf.DUMMYFUNCTION("""COMPUTED_VALUE"""),0.0)</f>
        <v>0</v>
      </c>
      <c r="BF18" s="44">
        <f>IFERROR(__xludf.DUMMYFUNCTION("""COMPUTED_VALUE"""),0.0)</f>
        <v>0</v>
      </c>
      <c r="BG18" s="56"/>
      <c r="BH18" s="56"/>
      <c r="BI18" s="5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</row>
    <row r="19">
      <c r="A19" s="47">
        <f>IFERROR(__xludf.DUMMYFUNCTION("""COMPUTED_VALUE"""),18.0)</f>
        <v>18</v>
      </c>
      <c r="B19" s="48" t="str">
        <f>IFERROR(__xludf.DUMMYFUNCTION("""COMPUTED_VALUE"""),"DZAKIR ZAMAHSARI EL GHIFARI ZEIN")</f>
        <v>DZAKIR ZAMAHSARI EL GHIFARI ZEIN</v>
      </c>
      <c r="C19" s="49">
        <f>IFERROR(__xludf.DUMMYFUNCTION("""COMPUTED_VALUE"""),2.024070624E9)</f>
        <v>2024070624</v>
      </c>
      <c r="D19" s="48" t="str">
        <f>IFERROR(__xludf.DUMMYFUNCTION("""COMPUTED_VALUE"""),"ZAINURI")</f>
        <v>ZAINURI</v>
      </c>
      <c r="E19" s="48" t="str">
        <f>IFERROR(__xludf.DUMMYFUNCTION("""COMPUTED_VALUE"""),"SITI ZUBAIDAH")</f>
        <v>SITI ZUBAIDAH</v>
      </c>
      <c r="F19" s="48" t="str">
        <f>IFERROR(__xludf.DUMMYFUNCTION("""COMPUTED_VALUE"""),"JL. MESDJID NO. 4 CIPULIR RT 011 RW 001 KEBAYORAN LAMA JAKARTA SELATAN")</f>
        <v>JL. MESDJID NO. 4 CIPULIR RT 011 RW 001 KEBAYORAN LAMA JAKARTA SELATAN</v>
      </c>
      <c r="G19" s="50" t="str">
        <f>IFERROR(__xludf.DUMMYFUNCTION("""COMPUTED_VALUE"""),"MTS-9 D")</f>
        <v>MTS-9 D</v>
      </c>
      <c r="H19" s="47" t="str">
        <f>IFERROR(__xludf.DUMMYFUNCTION("""COMPUTED_VALUE"""),"A")</f>
        <v>A</v>
      </c>
      <c r="I19" s="51" t="str">
        <f>IFERROR(__xludf.DUMMYFUNCTION("""COMPUTED_VALUE"""),"A-8")</f>
        <v>A-8</v>
      </c>
      <c r="J19" s="51">
        <f>IFERROR(__xludf.DUMMYFUNCTION("""COMPUTED_VALUE"""),3.0)</f>
        <v>3</v>
      </c>
      <c r="K19" s="51" t="str">
        <f>IFERROR(__xludf.DUMMYFUNCTION("""COMPUTED_VALUE"""),"3 ULA B PUTRA")</f>
        <v>3 ULA B PUTRA</v>
      </c>
      <c r="L19" s="50" t="str">
        <f>IFERROR(__xludf.DUMMYFUNCTION("""COMPUTED_VALUE"""),"6281779129473")</f>
        <v>6281779129473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>
        <f>IFERROR(__xludf.DUMMYFUNCTION("""COMPUTED_VALUE"""),450000.0)</f>
        <v>450000</v>
      </c>
      <c r="AL19" s="53">
        <f>IFERROR(__xludf.DUMMYFUNCTION("""COMPUTED_VALUE"""),450000.0)</f>
        <v>450000</v>
      </c>
      <c r="AM19" s="53">
        <f>IFERROR(__xludf.DUMMYFUNCTION("""COMPUTED_VALUE"""),450000.0)</f>
        <v>450000</v>
      </c>
      <c r="AN19" s="53">
        <f>IFERROR(__xludf.DUMMYFUNCTION("""COMPUTED_VALUE"""),450000.0)</f>
        <v>450000</v>
      </c>
      <c r="AO19" s="54"/>
      <c r="AP19" s="53"/>
      <c r="AQ19" s="54"/>
      <c r="AR19" s="54"/>
      <c r="AS19" s="54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IFERROR(__xludf.DUMMYFUNCTION("""COMPUTED_VALUE"""),1800000.0)</f>
        <v>1800000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IFERROR(__xludf.DUMMYFUNCTION("""COMPUTED_VALUE"""),1800000.0)</f>
        <v>1800000</v>
      </c>
      <c r="BG19" s="57"/>
      <c r="BH19" s="57"/>
      <c r="BI19" s="57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</row>
    <row r="20">
      <c r="A20" s="36">
        <f>IFERROR(__xludf.DUMMYFUNCTION("""COMPUTED_VALUE"""),19.0)</f>
        <v>19</v>
      </c>
      <c r="B20" s="37" t="str">
        <f>IFERROR(__xludf.DUMMYFUNCTION("""COMPUTED_VALUE"""),"EZZAR RADITYA PUTRA RAMADHAN")</f>
        <v>EZZAR RADITYA PUTRA RAMADHAN</v>
      </c>
      <c r="C20" s="38">
        <f>IFERROR(__xludf.DUMMYFUNCTION("""COMPUTED_VALUE"""),2.024070639E9)</f>
        <v>2024070639</v>
      </c>
      <c r="D20" s="37" t="str">
        <f>IFERROR(__xludf.DUMMYFUNCTION("""COMPUTED_VALUE"""),"SLAMET RIFA`I")</f>
        <v>SLAMET RIFA`I</v>
      </c>
      <c r="E20" s="37" t="str">
        <f>IFERROR(__xludf.DUMMYFUNCTION("""COMPUTED_VALUE"""),"NUR AINI")</f>
        <v>NUR AINI</v>
      </c>
      <c r="F20" s="37" t="str">
        <f>IFERROR(__xludf.DUMMYFUNCTION("""COMPUTED_VALUE"""),"PUCANGRO RT 002 RW 001 KALITENGAH LAMONGAN")</f>
        <v>PUCANGRO RT 002 RW 001 KALITENGAH LAMONGAN</v>
      </c>
      <c r="G20" s="39" t="str">
        <f>IFERROR(__xludf.DUMMYFUNCTION("""COMPUTED_VALUE"""),"MTS-9 B")</f>
        <v>MTS-9 B</v>
      </c>
      <c r="H20" s="36" t="str">
        <f>IFERROR(__xludf.DUMMYFUNCTION("""COMPUTED_VALUE"""),"A")</f>
        <v>A</v>
      </c>
      <c r="I20" s="40" t="str">
        <f>IFERROR(__xludf.DUMMYFUNCTION("""COMPUTED_VALUE"""),"A-8")</f>
        <v>A-8</v>
      </c>
      <c r="J20" s="40">
        <f>IFERROR(__xludf.DUMMYFUNCTION("""COMPUTED_VALUE"""),3.0)</f>
        <v>3</v>
      </c>
      <c r="K20" s="40" t="str">
        <f>IFERROR(__xludf.DUMMYFUNCTION("""COMPUTED_VALUE"""),"3 ULA A PUTRA")</f>
        <v>3 ULA A PUTRA</v>
      </c>
      <c r="L20" s="39" t="str">
        <f>IFERROR(__xludf.DUMMYFUNCTION("""COMPUTED_VALUE"""),"6285707124359")</f>
        <v>6285707124359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3"/>
      <c r="AS20" s="43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IFERROR(__xludf.DUMMYFUNCTION("""COMPUTED_VALUE"""),0.0)</f>
        <v>0</v>
      </c>
      <c r="BD20" s="43">
        <f>IFERROR(__xludf.DUMMYFUNCTION("""COMPUTED_VALUE"""),0.0)</f>
        <v>0</v>
      </c>
      <c r="BE20" s="43">
        <f>IFERROR(__xludf.DUMMYFUNCTION("""COMPUTED_VALUE"""),0.0)</f>
        <v>0</v>
      </c>
      <c r="BF20" s="44">
        <f>IFERROR(__xludf.DUMMYFUNCTION("""COMPUTED_VALUE"""),0.0)</f>
        <v>0</v>
      </c>
      <c r="BG20" s="56"/>
      <c r="BH20" s="56"/>
      <c r="BI20" s="5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</row>
    <row r="21">
      <c r="A21" s="47">
        <f>IFERROR(__xludf.DUMMYFUNCTION("""COMPUTED_VALUE"""),20.0)</f>
        <v>20</v>
      </c>
      <c r="B21" s="48" t="str">
        <f>IFERROR(__xludf.DUMMYFUNCTION("""COMPUTED_VALUE"""),"FAIRUZZABADI WAHYU MAHFUL")</f>
        <v>FAIRUZZABADI WAHYU MAHFUL</v>
      </c>
      <c r="C21" s="49">
        <f>IFERROR(__xludf.DUMMYFUNCTION("""COMPUTED_VALUE"""),2.024070458E9)</f>
        <v>2024070458</v>
      </c>
      <c r="D21" s="48" t="str">
        <f>IFERROR(__xludf.DUMMYFUNCTION("""COMPUTED_VALUE"""),"KUSWADIYANTO")</f>
        <v>KUSWADIYANTO</v>
      </c>
      <c r="E21" s="48" t="str">
        <f>IFERROR(__xludf.DUMMYFUNCTION("""COMPUTED_VALUE"""),"TRI UTAMI")</f>
        <v>TRI UTAMI</v>
      </c>
      <c r="F21" s="48" t="str">
        <f>IFERROR(__xludf.DUMMYFUNCTION("""COMPUTED_VALUE"""),"PAJANGAN RT 001 RW 002 SUKODADI LAMONGAN")</f>
        <v>PAJANGAN RT 001 RW 002 SUKODADI LAMONGAN</v>
      </c>
      <c r="G21" s="49" t="str">
        <f>IFERROR(__xludf.DUMMYFUNCTION("""COMPUTED_VALUE"""),"MTS-9 E")</f>
        <v>MTS-9 E</v>
      </c>
      <c r="H21" s="47" t="str">
        <f>IFERROR(__xludf.DUMMYFUNCTION("""COMPUTED_VALUE"""),"A")</f>
        <v>A</v>
      </c>
      <c r="I21" s="53" t="str">
        <f>IFERROR(__xludf.DUMMYFUNCTION("""COMPUTED_VALUE"""),"A-7")</f>
        <v>A-7</v>
      </c>
      <c r="J21" s="51">
        <f>IFERROR(__xludf.DUMMYFUNCTION("""COMPUTED_VALUE"""),3.0)</f>
        <v>3</v>
      </c>
      <c r="K21" s="51" t="str">
        <f>IFERROR(__xludf.DUMMYFUNCTION("""COMPUTED_VALUE"""),"3 ULA A PUTRA")</f>
        <v>3 ULA A PUTRA</v>
      </c>
      <c r="L21" s="50" t="str">
        <f>IFERROR(__xludf.DUMMYFUNCTION("""COMPUTED_VALUE"""),"6285730482785")</f>
        <v>6285730482785</v>
      </c>
      <c r="M21" s="54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  <c r="AB21" s="54"/>
      <c r="AC21" s="53"/>
      <c r="AD21" s="53"/>
      <c r="AE21" s="53"/>
      <c r="AF21" s="53"/>
      <c r="AG21" s="53"/>
      <c r="AH21" s="53"/>
      <c r="AI21" s="54"/>
      <c r="AJ21" s="54"/>
      <c r="AK21" s="54"/>
      <c r="AL21" s="54"/>
      <c r="AM21" s="54"/>
      <c r="AN21" s="54"/>
      <c r="AO21" s="54"/>
      <c r="AP21" s="54">
        <f>IFERROR(__xludf.DUMMYFUNCTION("""COMPUTED_VALUE"""),500000.0)</f>
        <v>500000</v>
      </c>
      <c r="AQ21" s="54"/>
      <c r="AR21" s="54"/>
      <c r="AS21" s="54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IFERROR(__xludf.DUMMYFUNCTION("""COMPUTED_VALUE"""),500000.0)</f>
        <v>500000</v>
      </c>
      <c r="BE21" s="54">
        <f>IFERROR(__xludf.DUMMYFUNCTION("""COMPUTED_VALUE"""),0.0)</f>
        <v>0</v>
      </c>
      <c r="BF21" s="55">
        <f>IFERROR(__xludf.DUMMYFUNCTION("""COMPUTED_VALUE"""),500000.0)</f>
        <v>500000</v>
      </c>
      <c r="BG21" s="57"/>
      <c r="BH21" s="57"/>
      <c r="BI21" s="57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</row>
    <row r="22">
      <c r="A22" s="36">
        <f>IFERROR(__xludf.DUMMYFUNCTION("""COMPUTED_VALUE"""),21.0)</f>
        <v>21</v>
      </c>
      <c r="B22" s="37" t="str">
        <f>IFERROR(__xludf.DUMMYFUNCTION("""COMPUTED_VALUE"""),"FAQUR ROZIQ MAULUDI")</f>
        <v>FAQUR ROZIQ MAULUDI</v>
      </c>
      <c r="C22" s="38">
        <f>IFERROR(__xludf.DUMMYFUNCTION("""COMPUTED_VALUE"""),2.024070556E9)</f>
        <v>2024070556</v>
      </c>
      <c r="D22" s="37" t="str">
        <f>IFERROR(__xludf.DUMMYFUNCTION("""COMPUTED_VALUE"""),"MIADI")</f>
        <v>MIADI</v>
      </c>
      <c r="E22" s="37" t="str">
        <f>IFERROR(__xludf.DUMMYFUNCTION("""COMPUTED_VALUE"""),"LASIANAH")</f>
        <v>LASIANAH</v>
      </c>
      <c r="F22" s="37" t="str">
        <f>IFERROR(__xludf.DUMMYFUNCTION("""COMPUTED_VALUE"""),"GANGIN JELAKCATUR RT 004 RW 003 KALITENGAH LAMONGAN")</f>
        <v>GANGIN JELAKCATUR RT 004 RW 003 KALITENGAH LAMONGAN</v>
      </c>
      <c r="G22" s="39" t="str">
        <f>IFERROR(__xludf.DUMMYFUNCTION("""COMPUTED_VALUE"""),"MTS-9 E")</f>
        <v>MTS-9 E</v>
      </c>
      <c r="H22" s="36" t="str">
        <f>IFERROR(__xludf.DUMMYFUNCTION("""COMPUTED_VALUE"""),"A")</f>
        <v>A</v>
      </c>
      <c r="I22" s="40" t="str">
        <f>IFERROR(__xludf.DUMMYFUNCTION("""COMPUTED_VALUE"""),"A-7")</f>
        <v>A-7</v>
      </c>
      <c r="J22" s="40">
        <f>IFERROR(__xludf.DUMMYFUNCTION("""COMPUTED_VALUE"""),3.0)</f>
        <v>3</v>
      </c>
      <c r="K22" s="40" t="str">
        <f>IFERROR(__xludf.DUMMYFUNCTION("""COMPUTED_VALUE"""),"3 ULA B PUTRA")</f>
        <v>3 ULA B PUTRA</v>
      </c>
      <c r="L22" s="39" t="str">
        <f>IFERROR(__xludf.DUMMYFUNCTION("""COMPUTED_VALUE"""),"6285871052078")</f>
        <v>6285871052078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>
        <f>IFERROR(__xludf.DUMMYFUNCTION("""COMPUTED_VALUE"""),500000.0)</f>
        <v>500000</v>
      </c>
      <c r="AC22" s="42"/>
      <c r="AD22" s="42"/>
      <c r="AE22" s="42"/>
      <c r="AF22" s="42"/>
      <c r="AG22" s="42"/>
      <c r="AH22" s="42"/>
      <c r="AI22" s="42"/>
      <c r="AJ22" s="42"/>
      <c r="AK22" s="42">
        <f>IFERROR(__xludf.DUMMYFUNCTION("""COMPUTED_VALUE"""),450000.0)</f>
        <v>450000</v>
      </c>
      <c r="AL22" s="42">
        <f>IFERROR(__xludf.DUMMYFUNCTION("""COMPUTED_VALUE"""),450000.0)</f>
        <v>450000</v>
      </c>
      <c r="AM22" s="42">
        <f>IFERROR(__xludf.DUMMYFUNCTION("""COMPUTED_VALUE"""),450000.0)</f>
        <v>450000</v>
      </c>
      <c r="AN22" s="42">
        <f>IFERROR(__xludf.DUMMYFUNCTION("""COMPUTED_VALUE"""),450000.0)</f>
        <v>450000</v>
      </c>
      <c r="AO22" s="42"/>
      <c r="AP22" s="42">
        <f>IFERROR(__xludf.DUMMYFUNCTION("""COMPUTED_VALUE"""),500000.0)</f>
        <v>500000</v>
      </c>
      <c r="AQ22" s="42"/>
      <c r="AR22" s="42"/>
      <c r="AS22" s="43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IFERROR(__xludf.DUMMYFUNCTION("""COMPUTED_VALUE"""),1800000.0)</f>
        <v>1800000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IFERROR(__xludf.DUMMYFUNCTION("""COMPUTED_VALUE"""),2800000.0)</f>
        <v>2800000</v>
      </c>
      <c r="BG22" s="56"/>
      <c r="BH22" s="56"/>
      <c r="BI22" s="5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</row>
    <row r="23">
      <c r="A23" s="47">
        <f>IFERROR(__xludf.DUMMYFUNCTION("""COMPUTED_VALUE"""),22.0)</f>
        <v>22</v>
      </c>
      <c r="B23" s="48" t="str">
        <f>IFERROR(__xludf.DUMMYFUNCTION("""COMPUTED_VALUE"""),"FATIR APRILIANT SYAH")</f>
        <v>FATIR APRILIANT SYAH</v>
      </c>
      <c r="C23" s="49">
        <f>IFERROR(__xludf.DUMMYFUNCTION("""COMPUTED_VALUE"""),2.02407066E9)</f>
        <v>2024070660</v>
      </c>
      <c r="D23" s="48" t="str">
        <f>IFERROR(__xludf.DUMMYFUNCTION("""COMPUTED_VALUE"""),"THOHA FADLI")</f>
        <v>THOHA FADLI</v>
      </c>
      <c r="E23" s="48" t="str">
        <f>IFERROR(__xludf.DUMMYFUNCTION("""COMPUTED_VALUE"""),"SUGIATI")</f>
        <v>SUGIATI</v>
      </c>
      <c r="F23" s="48" t="str">
        <f>IFERROR(__xludf.DUMMYFUNCTION("""COMPUTED_VALUE"""),"GANGIN JELAKCATUR RT 004 RW 003 KALITENGAH LAMONGAN")</f>
        <v>GANGIN JELAKCATUR RT 004 RW 003 KALITENGAH LAMONGAN</v>
      </c>
      <c r="G23" s="50" t="str">
        <f>IFERROR(__xludf.DUMMYFUNCTION("""COMPUTED_VALUE"""),"MTS-9 A")</f>
        <v>MTS-9 A</v>
      </c>
      <c r="H23" s="47" t="str">
        <f>IFERROR(__xludf.DUMMYFUNCTION("""COMPUTED_VALUE"""),"A")</f>
        <v>A</v>
      </c>
      <c r="I23" s="51" t="str">
        <f>IFERROR(__xludf.DUMMYFUNCTION("""COMPUTED_VALUE"""),"A-7")</f>
        <v>A-7</v>
      </c>
      <c r="J23" s="51">
        <f>IFERROR(__xludf.DUMMYFUNCTION("""COMPUTED_VALUE"""),3.0)</f>
        <v>3</v>
      </c>
      <c r="K23" s="51" t="str">
        <f>IFERROR(__xludf.DUMMYFUNCTION("""COMPUTED_VALUE"""),"3 ULA A PUTRA")</f>
        <v>3 ULA A PUTRA</v>
      </c>
      <c r="L23" s="50" t="str">
        <f>IFERROR(__xludf.DUMMYFUNCTION("""COMPUTED_VALUE"""),"6285853949817")</f>
        <v>6285853949817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>
        <f>IFERROR(__xludf.DUMMYFUNCTION("""COMPUTED_VALUE"""),410000.0)</f>
        <v>410000</v>
      </c>
      <c r="AM23" s="53">
        <f>IFERROR(__xludf.DUMMYFUNCTION("""COMPUTED_VALUE"""),410000.0)</f>
        <v>410000</v>
      </c>
      <c r="AN23" s="53">
        <f>IFERROR(__xludf.DUMMYFUNCTION("""COMPUTED_VALUE"""),410000.0)</f>
        <v>410000</v>
      </c>
      <c r="AO23" s="53"/>
      <c r="AP23" s="54">
        <f>IFERROR(__xludf.DUMMYFUNCTION("""COMPUTED_VALUE"""),500000.0)</f>
        <v>500000</v>
      </c>
      <c r="AQ23" s="53"/>
      <c r="AR23" s="53"/>
      <c r="AS23" s="54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IFERROR(__xludf.DUMMYFUNCTION("""COMPUTED_VALUE"""),1230000.0)</f>
        <v>1230000</v>
      </c>
      <c r="BD23" s="54">
        <f>IFERROR(__xludf.DUMMYFUNCTION("""COMPUTED_VALUE"""),500000.0)</f>
        <v>500000</v>
      </c>
      <c r="BE23" s="54">
        <f>IFERROR(__xludf.DUMMYFUNCTION("""COMPUTED_VALUE"""),0.0)</f>
        <v>0</v>
      </c>
      <c r="BF23" s="55">
        <f>IFERROR(__xludf.DUMMYFUNCTION("""COMPUTED_VALUE"""),1730000.0)</f>
        <v>1730000</v>
      </c>
      <c r="BG23" s="57"/>
      <c r="BH23" s="57"/>
      <c r="BI23" s="57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</row>
    <row r="24">
      <c r="A24" s="36">
        <f>IFERROR(__xludf.DUMMYFUNCTION("""COMPUTED_VALUE"""),23.0)</f>
        <v>23</v>
      </c>
      <c r="B24" s="37" t="str">
        <f>IFERROR(__xludf.DUMMYFUNCTION("""COMPUTED_VALUE"""),"GALANG SAPUTRA")</f>
        <v>GALANG SAPUTRA</v>
      </c>
      <c r="C24" s="38">
        <f>IFERROR(__xludf.DUMMYFUNCTION("""COMPUTED_VALUE"""),2.02407073E9)</f>
        <v>2024070730</v>
      </c>
      <c r="D24" s="37" t="str">
        <f>IFERROR(__xludf.DUMMYFUNCTION("""COMPUTED_VALUE"""),"WARTO")</f>
        <v>WARTO</v>
      </c>
      <c r="E24" s="37" t="str">
        <f>IFERROR(__xludf.DUMMYFUNCTION("""COMPUTED_VALUE"""),"SULIYATI")</f>
        <v>SULIYATI</v>
      </c>
      <c r="F24" s="37" t="str">
        <f>IFERROR(__xludf.DUMMYFUNCTION("""COMPUTED_VALUE"""),"DORO KARANGWEDORO RT 009 RW 003 TURI LAMONGAN")</f>
        <v>DORO KARANGWEDORO RT 009 RW 003 TURI LAMONGAN</v>
      </c>
      <c r="G24" s="39" t="str">
        <f>IFERROR(__xludf.DUMMYFUNCTION("""COMPUTED_VALUE"""),"SMP-IX A")</f>
        <v>SMP-IX A</v>
      </c>
      <c r="H24" s="36" t="str">
        <f>IFERROR(__xludf.DUMMYFUNCTION("""COMPUTED_VALUE"""),"A")</f>
        <v>A</v>
      </c>
      <c r="I24" s="40" t="str">
        <f>IFERROR(__xludf.DUMMYFUNCTION("""COMPUTED_VALUE"""),"A-8")</f>
        <v>A-8</v>
      </c>
      <c r="J24" s="40">
        <f>IFERROR(__xludf.DUMMYFUNCTION("""COMPUTED_VALUE"""),3.0)</f>
        <v>3</v>
      </c>
      <c r="K24" s="40" t="str">
        <f>IFERROR(__xludf.DUMMYFUNCTION("""COMPUTED_VALUE"""),"3 ULA A PUTRA")</f>
        <v>3 ULA A PUTRA</v>
      </c>
      <c r="L24" s="39" t="str">
        <f>IFERROR(__xludf.DUMMYFUNCTION("""COMPUTED_VALUE"""),"6285756513128")</f>
        <v>6285756513128</v>
      </c>
      <c r="M24" s="43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>
        <f>IFERROR(__xludf.DUMMYFUNCTION("""COMPUTED_VALUE"""),500000.0)</f>
        <v>500000</v>
      </c>
      <c r="AQ24" s="42"/>
      <c r="AR24" s="43"/>
      <c r="AS24" s="43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IFERROR(__xludf.DUMMYFUNCTION("""COMPUTED_VALUE"""),500000.0)</f>
        <v>500000</v>
      </c>
      <c r="BE24" s="43">
        <f>IFERROR(__xludf.DUMMYFUNCTION("""COMPUTED_VALUE"""),0.0)</f>
        <v>0</v>
      </c>
      <c r="BF24" s="44">
        <f>IFERROR(__xludf.DUMMYFUNCTION("""COMPUTED_VALUE"""),500000.0)</f>
        <v>500000</v>
      </c>
      <c r="BG24" s="56"/>
      <c r="BH24" s="56"/>
      <c r="BI24" s="5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</row>
    <row r="25">
      <c r="A25" s="47">
        <f>IFERROR(__xludf.DUMMYFUNCTION("""COMPUTED_VALUE"""),24.0)</f>
        <v>24</v>
      </c>
      <c r="B25" s="48" t="str">
        <f>IFERROR(__xludf.DUMMYFUNCTION("""COMPUTED_VALUE"""),"HAFIDZ ALFITO ZAEIN")</f>
        <v>HAFIDZ ALFITO ZAEIN</v>
      </c>
      <c r="C25" s="49">
        <f>IFERROR(__xludf.DUMMYFUNCTION("""COMPUTED_VALUE"""),2.024070619E9)</f>
        <v>2024070619</v>
      </c>
      <c r="D25" s="48" t="str">
        <f>IFERROR(__xludf.DUMMYFUNCTION("""COMPUTED_VALUE"""),"MOKHAMAD ZAINUL ARIFIN, S.AG")</f>
        <v>MOKHAMAD ZAINUL ARIFIN, S.AG</v>
      </c>
      <c r="E25" s="48" t="str">
        <f>IFERROR(__xludf.DUMMYFUNCTION("""COMPUTED_VALUE"""),"TAYEM")</f>
        <v>TAYEM</v>
      </c>
      <c r="F25" s="48" t="str">
        <f>IFERROR(__xludf.DUMMYFUNCTION("""COMPUTED_VALUE"""),"JELAKCATUR RT 001 RW 004 KALITENGAH LAMONGAN")</f>
        <v>JELAKCATUR RT 001 RW 004 KALITENGAH LAMONGAN</v>
      </c>
      <c r="G25" s="50" t="str">
        <f>IFERROR(__xludf.DUMMYFUNCTION("""COMPUTED_VALUE"""),"MTS-9 F")</f>
        <v>MTS-9 F</v>
      </c>
      <c r="H25" s="47" t="str">
        <f>IFERROR(__xludf.DUMMYFUNCTION("""COMPUTED_VALUE"""),"A")</f>
        <v>A</v>
      </c>
      <c r="I25" s="51" t="str">
        <f>IFERROR(__xludf.DUMMYFUNCTION("""COMPUTED_VALUE"""),"A-7")</f>
        <v>A-7</v>
      </c>
      <c r="J25" s="51">
        <f>IFERROR(__xludf.DUMMYFUNCTION("""COMPUTED_VALUE"""),3.0)</f>
        <v>3</v>
      </c>
      <c r="K25" s="51" t="str">
        <f>IFERROR(__xludf.DUMMYFUNCTION("""COMPUTED_VALUE"""),"3 ULA B PUTRA")</f>
        <v>3 ULA B PUTRA</v>
      </c>
      <c r="L25" s="50" t="str">
        <f>IFERROR(__xludf.DUMMYFUNCTION("""COMPUTED_VALUE"""),"628130372202")</f>
        <v>628130372202</v>
      </c>
      <c r="M25" s="53">
        <f>IFERROR(__xludf.DUMMYFUNCTION("""COMPUTED_VALUE"""),600000.0)</f>
        <v>600000</v>
      </c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>
        <f>IFERROR(__xludf.DUMMYFUNCTION("""COMPUTED_VALUE"""),500000.0)</f>
        <v>500000</v>
      </c>
      <c r="AC25" s="53"/>
      <c r="AD25" s="53"/>
      <c r="AE25" s="53"/>
      <c r="AF25" s="53">
        <f>IFERROR(__xludf.DUMMYFUNCTION("""COMPUTED_VALUE"""),450000.0)</f>
        <v>450000</v>
      </c>
      <c r="AG25" s="53">
        <f>IFERROR(__xludf.DUMMYFUNCTION("""COMPUTED_VALUE"""),450000.0)</f>
        <v>450000</v>
      </c>
      <c r="AH25" s="53">
        <f>IFERROR(__xludf.DUMMYFUNCTION("""COMPUTED_VALUE"""),450000.0)</f>
        <v>450000</v>
      </c>
      <c r="AI25" s="53">
        <f>IFERROR(__xludf.DUMMYFUNCTION("""COMPUTED_VALUE"""),450000.0)</f>
        <v>450000</v>
      </c>
      <c r="AJ25" s="53">
        <f>IFERROR(__xludf.DUMMYFUNCTION("""COMPUTED_VALUE"""),450000.0)</f>
        <v>450000</v>
      </c>
      <c r="AK25" s="53">
        <f>IFERROR(__xludf.DUMMYFUNCTION("""COMPUTED_VALUE"""),450000.0)</f>
        <v>450000</v>
      </c>
      <c r="AL25" s="53">
        <f>IFERROR(__xludf.DUMMYFUNCTION("""COMPUTED_VALUE"""),450000.0)</f>
        <v>450000</v>
      </c>
      <c r="AM25" s="53">
        <f>IFERROR(__xludf.DUMMYFUNCTION("""COMPUTED_VALUE"""),450000.0)</f>
        <v>450000</v>
      </c>
      <c r="AN25" s="53">
        <f>IFERROR(__xludf.DUMMYFUNCTION("""COMPUTED_VALUE"""),450000.0)</f>
        <v>450000</v>
      </c>
      <c r="AO25" s="53"/>
      <c r="AP25" s="53">
        <f>IFERROR(__xludf.DUMMYFUNCTION("""COMPUTED_VALUE"""),500000.0)</f>
        <v>500000</v>
      </c>
      <c r="AQ25" s="53"/>
      <c r="AR25" s="53"/>
      <c r="AS25" s="54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IFERROR(__xludf.DUMMYFUNCTION("""COMPUTED_VALUE"""),4050000.0)</f>
        <v>4050000</v>
      </c>
      <c r="BD25" s="54">
        <f>IFERROR(__xludf.DUMMYFUNCTION("""COMPUTED_VALUE"""),1600000.0)</f>
        <v>1600000</v>
      </c>
      <c r="BE25" s="54">
        <f>IFERROR(__xludf.DUMMYFUNCTION("""COMPUTED_VALUE"""),0.0)</f>
        <v>0</v>
      </c>
      <c r="BF25" s="55">
        <f>IFERROR(__xludf.DUMMYFUNCTION("""COMPUTED_VALUE"""),5650000.0)</f>
        <v>5650000</v>
      </c>
      <c r="BG25" s="57"/>
      <c r="BH25" s="57"/>
      <c r="BI25" s="57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</row>
    <row r="26">
      <c r="A26" s="36">
        <f>IFERROR(__xludf.DUMMYFUNCTION("""COMPUTED_VALUE"""),25.0)</f>
        <v>25</v>
      </c>
      <c r="B26" s="37" t="str">
        <f>IFERROR(__xludf.DUMMYFUNCTION("""COMPUTED_VALUE"""),"HAMDAN ALIEF")</f>
        <v>HAMDAN ALIEF</v>
      </c>
      <c r="C26" s="38">
        <f>IFERROR(__xludf.DUMMYFUNCTION("""COMPUTED_VALUE"""),2.024070663E9)</f>
        <v>2024070663</v>
      </c>
      <c r="D26" s="37" t="str">
        <f>IFERROR(__xludf.DUMMYFUNCTION("""COMPUTED_VALUE"""),"SHOLICHIN")</f>
        <v>SHOLICHIN</v>
      </c>
      <c r="E26" s="37" t="str">
        <f>IFERROR(__xludf.DUMMYFUNCTION("""COMPUTED_VALUE"""),"NUR AMALAH")</f>
        <v>NUR AMALAH</v>
      </c>
      <c r="F26" s="37" t="str">
        <f>IFERROR(__xludf.DUMMYFUNCTION("""COMPUTED_VALUE"""),"SEMOLOWARU UTARA 1/31 RT 005 RW 001 SUKOLILO SURABAYA")</f>
        <v>SEMOLOWARU UTARA 1/31 RT 005 RW 001 SUKOLILO SURABAYA</v>
      </c>
      <c r="G26" s="39" t="str">
        <f>IFERROR(__xludf.DUMMYFUNCTION("""COMPUTED_VALUE"""),"MTS-9 D")</f>
        <v>MTS-9 D</v>
      </c>
      <c r="H26" s="36" t="str">
        <f>IFERROR(__xludf.DUMMYFUNCTION("""COMPUTED_VALUE"""),"A")</f>
        <v>A</v>
      </c>
      <c r="I26" s="40" t="str">
        <f>IFERROR(__xludf.DUMMYFUNCTION("""COMPUTED_VALUE"""),"A-7")</f>
        <v>A-7</v>
      </c>
      <c r="J26" s="40">
        <f>IFERROR(__xludf.DUMMYFUNCTION("""COMPUTED_VALUE"""),3.0)</f>
        <v>3</v>
      </c>
      <c r="K26" s="40" t="str">
        <f>IFERROR(__xludf.DUMMYFUNCTION("""COMPUTED_VALUE"""),"3 ULA A PUTRA")</f>
        <v>3 ULA A PUTRA</v>
      </c>
      <c r="L26" s="39" t="str">
        <f>IFERROR(__xludf.DUMMYFUNCTION("""COMPUTED_VALUE"""),"6281216694589")</f>
        <v>6281216694589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>
        <f>IFERROR(__xludf.DUMMYFUNCTION("""COMPUTED_VALUE"""),500000.0)</f>
        <v>500000</v>
      </c>
      <c r="AQ26" s="42"/>
      <c r="AR26" s="43"/>
      <c r="AS26" s="43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IFERROR(__xludf.DUMMYFUNCTION("""COMPUTED_VALUE"""),0.0)</f>
        <v>0</v>
      </c>
      <c r="BD26" s="43">
        <f>IFERROR(__xludf.DUMMYFUNCTION("""COMPUTED_VALUE"""),500000.0)</f>
        <v>500000</v>
      </c>
      <c r="BE26" s="43">
        <f>IFERROR(__xludf.DUMMYFUNCTION("""COMPUTED_VALUE"""),0.0)</f>
        <v>0</v>
      </c>
      <c r="BF26" s="44">
        <f>IFERROR(__xludf.DUMMYFUNCTION("""COMPUTED_VALUE"""),500000.0)</f>
        <v>500000</v>
      </c>
      <c r="BG26" s="56"/>
      <c r="BH26" s="56"/>
      <c r="BI26" s="5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</row>
    <row r="27">
      <c r="A27" s="47">
        <f>IFERROR(__xludf.DUMMYFUNCTION("""COMPUTED_VALUE"""),26.0)</f>
        <v>26</v>
      </c>
      <c r="B27" s="48" t="str">
        <f>IFERROR(__xludf.DUMMYFUNCTION("""COMPUTED_VALUE"""),"ILHAM AWALUDDIN RIJALUL BARPI")</f>
        <v>ILHAM AWALUDDIN RIJALUL BARPI</v>
      </c>
      <c r="C27" s="49">
        <f>IFERROR(__xludf.DUMMYFUNCTION("""COMPUTED_VALUE"""),2.024070512E9)</f>
        <v>2024070512</v>
      </c>
      <c r="D27" s="48" t="str">
        <f>IFERROR(__xludf.DUMMYFUNCTION("""COMPUTED_VALUE"""),"SYIDRI BARPI")</f>
        <v>SYIDRI BARPI</v>
      </c>
      <c r="E27" s="48" t="str">
        <f>IFERROR(__xludf.DUMMYFUNCTION("""COMPUTED_VALUE"""),"ROKHMAWATI")</f>
        <v>ROKHMAWATI</v>
      </c>
      <c r="F27" s="48" t="str">
        <f>IFERROR(__xludf.DUMMYFUNCTION("""COMPUTED_VALUE"""),"DEKETWETAN RT 001 RW 005 DEKET LAMONGAN")</f>
        <v>DEKETWETAN RT 001 RW 005 DEKET LAMONGAN</v>
      </c>
      <c r="G27" s="50" t="str">
        <f>IFERROR(__xludf.DUMMYFUNCTION("""COMPUTED_VALUE"""),"MTS-9 A")</f>
        <v>MTS-9 A</v>
      </c>
      <c r="H27" s="47" t="str">
        <f>IFERROR(__xludf.DUMMYFUNCTION("""COMPUTED_VALUE"""),"A")</f>
        <v>A</v>
      </c>
      <c r="I27" s="51" t="str">
        <f>IFERROR(__xludf.DUMMYFUNCTION("""COMPUTED_VALUE"""),"A-13")</f>
        <v>A-13</v>
      </c>
      <c r="J27" s="51">
        <f>IFERROR(__xludf.DUMMYFUNCTION("""COMPUTED_VALUE"""),3.0)</f>
        <v>3</v>
      </c>
      <c r="K27" s="51" t="str">
        <f>IFERROR(__xludf.DUMMYFUNCTION("""COMPUTED_VALUE"""),"")</f>
        <v/>
      </c>
      <c r="L27" s="50" t="str">
        <f>IFERROR(__xludf.DUMMYFUNCTION("""COMPUTED_VALUE"""),"6285748111696")</f>
        <v>6285748111696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>
        <f>IFERROR(__xludf.DUMMYFUNCTION("""COMPUTED_VALUE"""),410000.0)</f>
        <v>410000</v>
      </c>
      <c r="AA27" s="53"/>
      <c r="AB27" s="53">
        <f>IFERROR(__xludf.DUMMYFUNCTION("""COMPUTED_VALUE"""),500000.0)</f>
        <v>500000</v>
      </c>
      <c r="AC27" s="53"/>
      <c r="AD27" s="53"/>
      <c r="AE27" s="53">
        <f>IFERROR(__xludf.DUMMYFUNCTION("""COMPUTED_VALUE"""),410000.0)</f>
        <v>410000</v>
      </c>
      <c r="AF27" s="53">
        <f>IFERROR(__xludf.DUMMYFUNCTION("""COMPUTED_VALUE"""),410000.0)</f>
        <v>410000</v>
      </c>
      <c r="AG27" s="53">
        <f>IFERROR(__xludf.DUMMYFUNCTION("""COMPUTED_VALUE"""),410000.0)</f>
        <v>410000</v>
      </c>
      <c r="AH27" s="53">
        <f>IFERROR(__xludf.DUMMYFUNCTION("""COMPUTED_VALUE"""),410000.0)</f>
        <v>410000</v>
      </c>
      <c r="AI27" s="53">
        <f>IFERROR(__xludf.DUMMYFUNCTION("""COMPUTED_VALUE"""),410000.0)</f>
        <v>410000</v>
      </c>
      <c r="AJ27" s="53">
        <f>IFERROR(__xludf.DUMMYFUNCTION("""COMPUTED_VALUE"""),410000.0)</f>
        <v>410000</v>
      </c>
      <c r="AK27" s="53">
        <f>IFERROR(__xludf.DUMMYFUNCTION("""COMPUTED_VALUE"""),410000.0)</f>
        <v>410000</v>
      </c>
      <c r="AL27" s="53">
        <f>IFERROR(__xludf.DUMMYFUNCTION("""COMPUTED_VALUE"""),410000.0)</f>
        <v>410000</v>
      </c>
      <c r="AM27" s="53">
        <f>IFERROR(__xludf.DUMMYFUNCTION("""COMPUTED_VALUE"""),410000.0)</f>
        <v>410000</v>
      </c>
      <c r="AN27" s="53">
        <f>IFERROR(__xludf.DUMMYFUNCTION("""COMPUTED_VALUE"""),410000.0)</f>
        <v>410000</v>
      </c>
      <c r="AO27" s="53"/>
      <c r="AP27" s="53">
        <f>IFERROR(__xludf.DUMMYFUNCTION("""COMPUTED_VALUE"""),500000.0)</f>
        <v>500000</v>
      </c>
      <c r="AQ27" s="53"/>
      <c r="AR27" s="54"/>
      <c r="AS27" s="54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IFERROR(__xludf.DUMMYFUNCTION("""COMPUTED_VALUE"""),4510000.0)</f>
        <v>4510000</v>
      </c>
      <c r="BD27" s="54">
        <f>IFERROR(__xludf.DUMMYFUNCTION("""COMPUTED_VALUE"""),1000000.0)</f>
        <v>1000000</v>
      </c>
      <c r="BE27" s="54">
        <f>IFERROR(__xludf.DUMMYFUNCTION("""COMPUTED_VALUE"""),0.0)</f>
        <v>0</v>
      </c>
      <c r="BF27" s="55">
        <f>IFERROR(__xludf.DUMMYFUNCTION("""COMPUTED_VALUE"""),5510000.0)</f>
        <v>5510000</v>
      </c>
      <c r="BG27" s="57"/>
      <c r="BH27" s="57"/>
      <c r="BI27" s="57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</row>
    <row r="28">
      <c r="A28" s="36">
        <f>IFERROR(__xludf.DUMMYFUNCTION("""COMPUTED_VALUE"""),27.0)</f>
        <v>27</v>
      </c>
      <c r="B28" s="37" t="str">
        <f>IFERROR(__xludf.DUMMYFUNCTION("""COMPUTED_VALUE"""),"KAFA MUZAMIL BILHAQ")</f>
        <v>KAFA MUZAMIL BILHAQ</v>
      </c>
      <c r="C28" s="38">
        <f>IFERROR(__xludf.DUMMYFUNCTION("""COMPUTED_VALUE"""),2.024070603E9)</f>
        <v>2024070603</v>
      </c>
      <c r="D28" s="37" t="str">
        <f>IFERROR(__xludf.DUMMYFUNCTION("""COMPUTED_VALUE"""),"MUHENDRO")</f>
        <v>MUHENDRO</v>
      </c>
      <c r="E28" s="37" t="str">
        <f>IFERROR(__xludf.DUMMYFUNCTION("""COMPUTED_VALUE"""),"SITI FATIMAH")</f>
        <v>SITI FATIMAH</v>
      </c>
      <c r="F28" s="37" t="str">
        <f>IFERROR(__xludf.DUMMYFUNCTION("""COMPUTED_VALUE"""),"MOJORANU RT 002 RW 005 TIKUNG LAMONGAN")</f>
        <v>MOJORANU RT 002 RW 005 TIKUNG LAMONGAN</v>
      </c>
      <c r="G28" s="39" t="str">
        <f>IFERROR(__xludf.DUMMYFUNCTION("""COMPUTED_VALUE"""),"MTS-9 A")</f>
        <v>MTS-9 A</v>
      </c>
      <c r="H28" s="36" t="str">
        <f>IFERROR(__xludf.DUMMYFUNCTION("""COMPUTED_VALUE"""),"A")</f>
        <v>A</v>
      </c>
      <c r="I28" s="40" t="str">
        <f>IFERROR(__xludf.DUMMYFUNCTION("""COMPUTED_VALUE"""),"A-13")</f>
        <v>A-13</v>
      </c>
      <c r="J28" s="40">
        <f>IFERROR(__xludf.DUMMYFUNCTION("""COMPUTED_VALUE"""),3.0)</f>
        <v>3</v>
      </c>
      <c r="K28" s="40" t="str">
        <f>IFERROR(__xludf.DUMMYFUNCTION("""COMPUTED_VALUE"""),"")</f>
        <v/>
      </c>
      <c r="L28" s="39" t="str">
        <f>IFERROR(__xludf.DUMMYFUNCTION("""COMPUTED_VALUE"""),"6285815585925")</f>
        <v>6285815585925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2"/>
      <c r="AR28" s="43"/>
      <c r="AS28" s="43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IFERROR(__xludf.DUMMYFUNCTION("""COMPUTED_VALUE"""),0.0)</f>
        <v>0</v>
      </c>
      <c r="BE28" s="43">
        <f>IFERROR(__xludf.DUMMYFUNCTION("""COMPUTED_VALUE"""),0.0)</f>
        <v>0</v>
      </c>
      <c r="BF28" s="44">
        <f>IFERROR(__xludf.DUMMYFUNCTION("""COMPUTED_VALUE"""),0.0)</f>
        <v>0</v>
      </c>
      <c r="BG28" s="56"/>
      <c r="BH28" s="56"/>
      <c r="BI28" s="5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</row>
    <row r="29">
      <c r="A29" s="47">
        <f>IFERROR(__xludf.DUMMYFUNCTION("""COMPUTED_VALUE"""),28.0)</f>
        <v>28</v>
      </c>
      <c r="B29" s="48" t="str">
        <f>IFERROR(__xludf.DUMMYFUNCTION("""COMPUTED_VALUE"""),"KHARIS DWI FIRMANA")</f>
        <v>KHARIS DWI FIRMANA</v>
      </c>
      <c r="C29" s="49">
        <f>IFERROR(__xludf.DUMMYFUNCTION("""COMPUTED_VALUE"""),2.024070627E9)</f>
        <v>2024070627</v>
      </c>
      <c r="D29" s="48" t="str">
        <f>IFERROR(__xludf.DUMMYFUNCTION("""COMPUTED_VALUE"""),"SUMALI")</f>
        <v>SUMALI</v>
      </c>
      <c r="E29" s="48" t="str">
        <f>IFERROR(__xludf.DUMMYFUNCTION("""COMPUTED_VALUE"""),"KHOLIFAH")</f>
        <v>KHOLIFAH</v>
      </c>
      <c r="F29" s="48" t="str">
        <f>IFERROR(__xludf.DUMMYFUNCTION("""COMPUTED_VALUE"""),"NGAYUNG RT 010 RW 003 MADURAN LAMONGAN")</f>
        <v>NGAYUNG RT 010 RW 003 MADURAN LAMONGAN</v>
      </c>
      <c r="G29" s="50" t="str">
        <f>IFERROR(__xludf.DUMMYFUNCTION("""COMPUTED_VALUE"""),"MTS-9 F")</f>
        <v>MTS-9 F</v>
      </c>
      <c r="H29" s="47" t="str">
        <f>IFERROR(__xludf.DUMMYFUNCTION("""COMPUTED_VALUE"""),"A")</f>
        <v>A</v>
      </c>
      <c r="I29" s="51" t="str">
        <f>IFERROR(__xludf.DUMMYFUNCTION("""COMPUTED_VALUE"""),"A-8")</f>
        <v>A-8</v>
      </c>
      <c r="J29" s="51">
        <f>IFERROR(__xludf.DUMMYFUNCTION("""COMPUTED_VALUE"""),3.0)</f>
        <v>3</v>
      </c>
      <c r="K29" s="51" t="str">
        <f>IFERROR(__xludf.DUMMYFUNCTION("""COMPUTED_VALUE"""),"3 ULA B PUTRA")</f>
        <v>3 ULA B PUTRA</v>
      </c>
      <c r="L29" s="50" t="str">
        <f>IFERROR(__xludf.DUMMYFUNCTION("""COMPUTED_VALUE"""),"6285777721366")</f>
        <v>6285777721366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>
        <f>IFERROR(__xludf.DUMMYFUNCTION("""COMPUTED_VALUE"""),450000.0)</f>
        <v>450000</v>
      </c>
      <c r="AK29" s="53">
        <f>IFERROR(__xludf.DUMMYFUNCTION("""COMPUTED_VALUE"""),450000.0)</f>
        <v>450000</v>
      </c>
      <c r="AL29" s="53">
        <f>IFERROR(__xludf.DUMMYFUNCTION("""COMPUTED_VALUE"""),450000.0)</f>
        <v>450000</v>
      </c>
      <c r="AM29" s="53">
        <f>IFERROR(__xludf.DUMMYFUNCTION("""COMPUTED_VALUE"""),450000.0)</f>
        <v>450000</v>
      </c>
      <c r="AN29" s="53">
        <f>IFERROR(__xludf.DUMMYFUNCTION("""COMPUTED_VALUE"""),450000.0)</f>
        <v>450000</v>
      </c>
      <c r="AO29" s="53"/>
      <c r="AP29" s="53">
        <f>IFERROR(__xludf.DUMMYFUNCTION("""COMPUTED_VALUE"""),500000.0)</f>
        <v>500000</v>
      </c>
      <c r="AQ29" s="53"/>
      <c r="AR29" s="54"/>
      <c r="AS29" s="54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IFERROR(__xludf.DUMMYFUNCTION("""COMPUTED_VALUE"""),2250000.0)</f>
        <v>2250000</v>
      </c>
      <c r="BD29" s="54">
        <f>IFERROR(__xludf.DUMMYFUNCTION("""COMPUTED_VALUE"""),500000.0)</f>
        <v>500000</v>
      </c>
      <c r="BE29" s="54">
        <f>IFERROR(__xludf.DUMMYFUNCTION("""COMPUTED_VALUE"""),0.0)</f>
        <v>0</v>
      </c>
      <c r="BF29" s="55">
        <f>IFERROR(__xludf.DUMMYFUNCTION("""COMPUTED_VALUE"""),2750000.0)</f>
        <v>2750000</v>
      </c>
      <c r="BG29" s="57"/>
      <c r="BH29" s="57"/>
      <c r="BI29" s="57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</row>
    <row r="30">
      <c r="A30" s="36">
        <f>IFERROR(__xludf.DUMMYFUNCTION("""COMPUTED_VALUE"""),29.0)</f>
        <v>29</v>
      </c>
      <c r="B30" s="37" t="str">
        <f>IFERROR(__xludf.DUMMYFUNCTION("""COMPUTED_VALUE"""),"LABIB AZAM")</f>
        <v>LABIB AZAM</v>
      </c>
      <c r="C30" s="38">
        <f>IFERROR(__xludf.DUMMYFUNCTION("""COMPUTED_VALUE"""),2.024070756E9)</f>
        <v>2024070756</v>
      </c>
      <c r="D30" s="37" t="str">
        <f>IFERROR(__xludf.DUMMYFUNCTION("""COMPUTED_VALUE"""),"NASIR EFENDI")</f>
        <v>NASIR EFENDI</v>
      </c>
      <c r="E30" s="37" t="str">
        <f>IFERROR(__xludf.DUMMYFUNCTION("""COMPUTED_VALUE"""),"EVA YUNIARTI")</f>
        <v>EVA YUNIARTI</v>
      </c>
      <c r="F30" s="37" t="str">
        <f>IFERROR(__xludf.DUMMYFUNCTION("""COMPUTED_VALUE"""),"TENGGER RAYA 1 KANDANGAN RT 007 RW 002 BENOWO SURABAYA")</f>
        <v>TENGGER RAYA 1 KANDANGAN RT 007 RW 002 BENOWO SURABAYA</v>
      </c>
      <c r="G30" s="39" t="str">
        <f>IFERROR(__xludf.DUMMYFUNCTION("""COMPUTED_VALUE"""),"SMP-IX B")</f>
        <v>SMP-IX B</v>
      </c>
      <c r="H30" s="36" t="str">
        <f>IFERROR(__xludf.DUMMYFUNCTION("""COMPUTED_VALUE"""),"A")</f>
        <v>A</v>
      </c>
      <c r="I30" s="40" t="str">
        <f>IFERROR(__xludf.DUMMYFUNCTION("""COMPUTED_VALUE"""),"A-7")</f>
        <v>A-7</v>
      </c>
      <c r="J30" s="40">
        <f>IFERROR(__xludf.DUMMYFUNCTION("""COMPUTED_VALUE"""),3.0)</f>
        <v>3</v>
      </c>
      <c r="K30" s="40" t="str">
        <f>IFERROR(__xludf.DUMMYFUNCTION("""COMPUTED_VALUE"""),"3 ULA A PUTRA")</f>
        <v>3 ULA A PUTRA</v>
      </c>
      <c r="L30" s="39" t="str">
        <f>IFERROR(__xludf.DUMMYFUNCTION("""COMPUTED_VALUE"""),"6282333086607")</f>
        <v>6282333086607</v>
      </c>
      <c r="M30" s="43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>
        <f>IFERROR(__xludf.DUMMYFUNCTION("""COMPUTED_VALUE"""),450000.0)</f>
        <v>450000</v>
      </c>
      <c r="AO30" s="43"/>
      <c r="AP30" s="43"/>
      <c r="AQ30" s="43"/>
      <c r="AR30" s="43"/>
      <c r="AS30" s="43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IFERROR(__xludf.DUMMYFUNCTION("""COMPUTED_VALUE"""),450000.0)</f>
        <v>450000</v>
      </c>
      <c r="BD30" s="43">
        <f>IFERROR(__xludf.DUMMYFUNCTION("""COMPUTED_VALUE"""),0.0)</f>
        <v>0</v>
      </c>
      <c r="BE30" s="43">
        <f>IFERROR(__xludf.DUMMYFUNCTION("""COMPUTED_VALUE"""),0.0)</f>
        <v>0</v>
      </c>
      <c r="BF30" s="44">
        <f>IFERROR(__xludf.DUMMYFUNCTION("""COMPUTED_VALUE"""),450000.0)</f>
        <v>450000</v>
      </c>
      <c r="BG30" s="56"/>
      <c r="BH30" s="56"/>
      <c r="BI30" s="5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</row>
    <row r="31">
      <c r="A31" s="47">
        <f>IFERROR(__xludf.DUMMYFUNCTION("""COMPUTED_VALUE"""),30.0)</f>
        <v>30</v>
      </c>
      <c r="B31" s="48" t="str">
        <f>IFERROR(__xludf.DUMMYFUNCTION("""COMPUTED_VALUE"""),"M. FAHRY SATRIA KURNIAWAN")</f>
        <v>M. FAHRY SATRIA KURNIAWAN</v>
      </c>
      <c r="C31" s="49">
        <f>IFERROR(__xludf.DUMMYFUNCTION("""COMPUTED_VALUE"""),2.024070477E9)</f>
        <v>2024070477</v>
      </c>
      <c r="D31" s="48" t="str">
        <f>IFERROR(__xludf.DUMMYFUNCTION("""COMPUTED_VALUE"""),"DWI DIDIK KURNIAWAN")</f>
        <v>DWI DIDIK KURNIAWAN</v>
      </c>
      <c r="E31" s="48" t="str">
        <f>IFERROR(__xludf.DUMMYFUNCTION("""COMPUTED_VALUE"""),"IVA WAHYU NINGSIH")</f>
        <v>IVA WAHYU NINGSIH</v>
      </c>
      <c r="F31" s="48" t="str">
        <f>IFERROR(__xludf.DUMMYFUNCTION("""COMPUTED_VALUE"""),"SUGIHWARAS RT 002 RW 001 DEKET LAMONGAN")</f>
        <v>SUGIHWARAS RT 002 RW 001 DEKET LAMONGAN</v>
      </c>
      <c r="G31" s="50" t="str">
        <f>IFERROR(__xludf.DUMMYFUNCTION("""COMPUTED_VALUE"""),"MTS-9 E")</f>
        <v>MTS-9 E</v>
      </c>
      <c r="H31" s="47" t="str">
        <f>IFERROR(__xludf.DUMMYFUNCTION("""COMPUTED_VALUE"""),"A")</f>
        <v>A</v>
      </c>
      <c r="I31" s="51" t="str">
        <f>IFERROR(__xludf.DUMMYFUNCTION("""COMPUTED_VALUE"""),"A-8")</f>
        <v>A-8</v>
      </c>
      <c r="J31" s="51">
        <f>IFERROR(__xludf.DUMMYFUNCTION("""COMPUTED_VALUE"""),3.0)</f>
        <v>3</v>
      </c>
      <c r="K31" s="51" t="str">
        <f>IFERROR(__xludf.DUMMYFUNCTION("""COMPUTED_VALUE"""),"3 ULA A PUTRA")</f>
        <v>3 ULA A PUTRA</v>
      </c>
      <c r="L31" s="50" t="str">
        <f>IFERROR(__xludf.DUMMYFUNCTION("""COMPUTED_VALUE"""),"6282143497363")</f>
        <v>6282143497363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>
        <f>IFERROR(__xludf.DUMMYFUNCTION("""COMPUTED_VALUE"""),500000.0)</f>
        <v>500000</v>
      </c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>
        <f>IFERROR(__xludf.DUMMYFUNCTION("""COMPUTED_VALUE"""),500000.0)</f>
        <v>500000</v>
      </c>
      <c r="AQ31" s="53"/>
      <c r="AR31" s="53"/>
      <c r="AS31" s="54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IFERROR(__xludf.DUMMYFUNCTION("""COMPUTED_VALUE"""),0.0)</f>
        <v>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IFERROR(__xludf.DUMMYFUNCTION("""COMPUTED_VALUE"""),1000000.0)</f>
        <v>1000000</v>
      </c>
      <c r="BG31" s="57"/>
      <c r="BH31" s="57"/>
      <c r="BI31" s="57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</row>
    <row r="32">
      <c r="A32" s="36">
        <f>IFERROR(__xludf.DUMMYFUNCTION("""COMPUTED_VALUE"""),31.0)</f>
        <v>31</v>
      </c>
      <c r="B32" s="37" t="str">
        <f>IFERROR(__xludf.DUMMYFUNCTION("""COMPUTED_VALUE"""),"M. FARID ALI MUSLIMIN")</f>
        <v>M. FARID ALI MUSLIMIN</v>
      </c>
      <c r="C32" s="38">
        <f>IFERROR(__xludf.DUMMYFUNCTION("""COMPUTED_VALUE"""),2.024070469E9)</f>
        <v>2024070469</v>
      </c>
      <c r="D32" s="37" t="str">
        <f>IFERROR(__xludf.DUMMYFUNCTION("""COMPUTED_VALUE"""),"SOLIKIN")</f>
        <v>SOLIKIN</v>
      </c>
      <c r="E32" s="37" t="str">
        <f>IFERROR(__xludf.DUMMYFUNCTION("""COMPUTED_VALUE"""),"SUPARTI")</f>
        <v>SUPARTI</v>
      </c>
      <c r="F32" s="37" t="str">
        <f>IFERROR(__xludf.DUMMYFUNCTION("""COMPUTED_VALUE"""),"BULAKWATU BANJAREJO RT 003 RW 003 SUKODADI LAMONGAN")</f>
        <v>BULAKWATU BANJAREJO RT 003 RW 003 SUKODADI LAMONGAN</v>
      </c>
      <c r="G32" s="39" t="str">
        <f>IFERROR(__xludf.DUMMYFUNCTION("""COMPUTED_VALUE"""),"MTS-9 E")</f>
        <v>MTS-9 E</v>
      </c>
      <c r="H32" s="36" t="str">
        <f>IFERROR(__xludf.DUMMYFUNCTION("""COMPUTED_VALUE"""),"A")</f>
        <v>A</v>
      </c>
      <c r="I32" s="40" t="str">
        <f>IFERROR(__xludf.DUMMYFUNCTION("""COMPUTED_VALUE"""),"A-8")</f>
        <v>A-8</v>
      </c>
      <c r="J32" s="40">
        <f>IFERROR(__xludf.DUMMYFUNCTION("""COMPUTED_VALUE"""),3.0)</f>
        <v>3</v>
      </c>
      <c r="K32" s="40" t="str">
        <f>IFERROR(__xludf.DUMMYFUNCTION("""COMPUTED_VALUE"""),"3 ULA A PUTRA")</f>
        <v>3 ULA A PUTRA</v>
      </c>
      <c r="L32" s="39" t="str">
        <f>IFERROR(__xludf.DUMMYFUNCTION("""COMPUTED_VALUE"""),"6285731459363")</f>
        <v>6285731459363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3"/>
      <c r="AP32" s="42"/>
      <c r="AQ32" s="42"/>
      <c r="AR32" s="43"/>
      <c r="AS32" s="43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IFERROR(__xludf.DUMMYFUNCTION("""COMPUTED_VALUE"""),0.0)</f>
        <v>0</v>
      </c>
      <c r="BE32" s="43">
        <f>IFERROR(__xludf.DUMMYFUNCTION("""COMPUTED_VALUE"""),0.0)</f>
        <v>0</v>
      </c>
      <c r="BF32" s="44">
        <f>IFERROR(__xludf.DUMMYFUNCTION("""COMPUTED_VALUE"""),0.0)</f>
        <v>0</v>
      </c>
      <c r="BG32" s="56"/>
      <c r="BH32" s="56"/>
      <c r="BI32" s="5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</row>
    <row r="33">
      <c r="A33" s="47">
        <f>IFERROR(__xludf.DUMMYFUNCTION("""COMPUTED_VALUE"""),32.0)</f>
        <v>32</v>
      </c>
      <c r="B33" s="48" t="str">
        <f>IFERROR(__xludf.DUMMYFUNCTION("""COMPUTED_VALUE"""),"M. JA`FAR SHODIQ FIRMANSYAH")</f>
        <v>M. JA`FAR SHODIQ FIRMANSYAH</v>
      </c>
      <c r="C33" s="49">
        <f>IFERROR(__xludf.DUMMYFUNCTION("""COMPUTED_VALUE"""),2.024070667E9)</f>
        <v>2024070667</v>
      </c>
      <c r="D33" s="48" t="str">
        <f>IFERROR(__xludf.DUMMYFUNCTION("""COMPUTED_VALUE"""),"DENY KURNIAWAN")</f>
        <v>DENY KURNIAWAN</v>
      </c>
      <c r="E33" s="48" t="str">
        <f>IFERROR(__xludf.DUMMYFUNCTION("""COMPUTED_VALUE"""),"ULFATIN KHOFSAH")</f>
        <v>ULFATIN KHOFSAH</v>
      </c>
      <c r="F33" s="48" t="str">
        <f>IFERROR(__xludf.DUMMYFUNCTION("""COMPUTED_VALUE"""),"SEMBUNG RT 005 RW 002 PERAK JOMBANG")</f>
        <v>SEMBUNG RT 005 RW 002 PERAK JOMBANG</v>
      </c>
      <c r="G33" s="50" t="str">
        <f>IFERROR(__xludf.DUMMYFUNCTION("""COMPUTED_VALUE"""),"MTS-9 A")</f>
        <v>MTS-9 A</v>
      </c>
      <c r="H33" s="47" t="str">
        <f>IFERROR(__xludf.DUMMYFUNCTION("""COMPUTED_VALUE"""),"A")</f>
        <v>A</v>
      </c>
      <c r="I33" s="51" t="str">
        <f>IFERROR(__xludf.DUMMYFUNCTION("""COMPUTED_VALUE"""),"A-13")</f>
        <v>A-13</v>
      </c>
      <c r="J33" s="51">
        <f>IFERROR(__xludf.DUMMYFUNCTION("""COMPUTED_VALUE"""),3.0)</f>
        <v>3</v>
      </c>
      <c r="K33" s="51" t="str">
        <f>IFERROR(__xludf.DUMMYFUNCTION("""COMPUTED_VALUE"""),"")</f>
        <v/>
      </c>
      <c r="L33" s="50" t="str">
        <f>IFERROR(__xludf.DUMMYFUNCTION("""COMPUTED_VALUE"""),"6285646766057")</f>
        <v>6285646766057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4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IFERROR(__xludf.DUMMYFUNCTION("""COMPUTED_VALUE"""),0.0)</f>
        <v>0</v>
      </c>
      <c r="BD33" s="54">
        <f>IFERROR(__xludf.DUMMYFUNCTION("""COMPUTED_VALUE"""),0.0)</f>
        <v>0</v>
      </c>
      <c r="BE33" s="54">
        <f>IFERROR(__xludf.DUMMYFUNCTION("""COMPUTED_VALUE"""),0.0)</f>
        <v>0</v>
      </c>
      <c r="BF33" s="55">
        <f>IFERROR(__xludf.DUMMYFUNCTION("""COMPUTED_VALUE"""),0.0)</f>
        <v>0</v>
      </c>
      <c r="BG33" s="57"/>
      <c r="BH33" s="57"/>
      <c r="BI33" s="57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</row>
    <row r="34">
      <c r="A34" s="36">
        <f>IFERROR(__xludf.DUMMYFUNCTION("""COMPUTED_VALUE"""),33.0)</f>
        <v>33</v>
      </c>
      <c r="B34" s="37" t="str">
        <f>IFERROR(__xludf.DUMMYFUNCTION("""COMPUTED_VALUE"""),"M. RADIFQI ALFARISTY")</f>
        <v>M. RADIFQI ALFARISTY</v>
      </c>
      <c r="C34" s="38">
        <f>IFERROR(__xludf.DUMMYFUNCTION("""COMPUTED_VALUE"""),2.024070747E9)</f>
        <v>2024070747</v>
      </c>
      <c r="D34" s="37" t="str">
        <f>IFERROR(__xludf.DUMMYFUNCTION("""COMPUTED_VALUE"""),"GANDUNG RISANTONO")</f>
        <v>GANDUNG RISANTONO</v>
      </c>
      <c r="E34" s="37" t="str">
        <f>IFERROR(__xludf.DUMMYFUNCTION("""COMPUTED_VALUE"""),"KUSNAWATI")</f>
        <v>KUSNAWATI</v>
      </c>
      <c r="F34" s="37" t="str">
        <f>IFERROR(__xludf.DUMMYFUNCTION("""COMPUTED_VALUE"""),"DORO KARANGWEDORO RT 001 RW 001 TURI LAMONGAN")</f>
        <v>DORO KARANGWEDORO RT 001 RW 001 TURI LAMONGAN</v>
      </c>
      <c r="G34" s="39" t="str">
        <f>IFERROR(__xludf.DUMMYFUNCTION("""COMPUTED_VALUE"""),"SMP-IX C")</f>
        <v>SMP-IX C</v>
      </c>
      <c r="H34" s="36" t="str">
        <f>IFERROR(__xludf.DUMMYFUNCTION("""COMPUTED_VALUE"""),"A")</f>
        <v>A</v>
      </c>
      <c r="I34" s="40" t="str">
        <f>IFERROR(__xludf.DUMMYFUNCTION("""COMPUTED_VALUE"""),"A-8")</f>
        <v>A-8</v>
      </c>
      <c r="J34" s="40">
        <f>IFERROR(__xludf.DUMMYFUNCTION("""COMPUTED_VALUE"""),3.0)</f>
        <v>3</v>
      </c>
      <c r="K34" s="40" t="str">
        <f>IFERROR(__xludf.DUMMYFUNCTION("""COMPUTED_VALUE"""),"3 ULA A PUTRA")</f>
        <v>3 ULA A PUTRA</v>
      </c>
      <c r="L34" s="39" t="str">
        <f>IFERROR(__xludf.DUMMYFUNCTION("""COMPUTED_VALUE"""),"6285649740556")</f>
        <v>6285649740556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>
        <f>IFERROR(__xludf.DUMMYFUNCTION("""COMPUTED_VALUE"""),450000.0)</f>
        <v>450000</v>
      </c>
      <c r="AO34" s="42"/>
      <c r="AP34" s="42">
        <f>IFERROR(__xludf.DUMMYFUNCTION("""COMPUTED_VALUE"""),500000.0)</f>
        <v>500000</v>
      </c>
      <c r="AQ34" s="42"/>
      <c r="AR34" s="42"/>
      <c r="AS34" s="43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IFERROR(__xludf.DUMMYFUNCTION("""COMPUTED_VALUE"""),450000.0)</f>
        <v>450000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IFERROR(__xludf.DUMMYFUNCTION("""COMPUTED_VALUE"""),950000.0)</f>
        <v>950000</v>
      </c>
      <c r="BG34" s="56"/>
      <c r="BH34" s="56"/>
      <c r="BI34" s="5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</row>
    <row r="35">
      <c r="A35" s="47">
        <f>IFERROR(__xludf.DUMMYFUNCTION("""COMPUTED_VALUE"""),34.0)</f>
        <v>34</v>
      </c>
      <c r="B35" s="48" t="str">
        <f>IFERROR(__xludf.DUMMYFUNCTION("""COMPUTED_VALUE"""),"M. SYAHRUL BAHRI ALSYAFIK")</f>
        <v>M. SYAHRUL BAHRI ALSYAFIK</v>
      </c>
      <c r="C35" s="49">
        <f>IFERROR(__xludf.DUMMYFUNCTION("""COMPUTED_VALUE"""),2.024070628E9)</f>
        <v>2024070628</v>
      </c>
      <c r="D35" s="48" t="str">
        <f>IFERROR(__xludf.DUMMYFUNCTION("""COMPUTED_VALUE"""),"SU`AIDI")</f>
        <v>SU`AIDI</v>
      </c>
      <c r="E35" s="48" t="str">
        <f>IFERROR(__xludf.DUMMYFUNCTION("""COMPUTED_VALUE"""),"ETIK NUR KUMALA")</f>
        <v>ETIK NUR KUMALA</v>
      </c>
      <c r="F35" s="48" t="str">
        <f>IFERROR(__xludf.DUMMYFUNCTION("""COMPUTED_VALUE"""),"PENDOWO LIMO RT 001 RW 003 KARANGBINANGUN LAMONGAN")</f>
        <v>PENDOWO LIMO RT 001 RW 003 KARANGBINANGUN LAMONGAN</v>
      </c>
      <c r="G35" s="50" t="str">
        <f>IFERROR(__xludf.DUMMYFUNCTION("""COMPUTED_VALUE"""),"MTS-9 E")</f>
        <v>MTS-9 E</v>
      </c>
      <c r="H35" s="47" t="str">
        <f>IFERROR(__xludf.DUMMYFUNCTION("""COMPUTED_VALUE"""),"A")</f>
        <v>A</v>
      </c>
      <c r="I35" s="51" t="str">
        <f>IFERROR(__xludf.DUMMYFUNCTION("""COMPUTED_VALUE"""),"A-8")</f>
        <v>A-8</v>
      </c>
      <c r="J35" s="51">
        <f>IFERROR(__xludf.DUMMYFUNCTION("""COMPUTED_VALUE"""),3.0)</f>
        <v>3</v>
      </c>
      <c r="K35" s="51" t="str">
        <f>IFERROR(__xludf.DUMMYFUNCTION("""COMPUTED_VALUE"""),"3 ULA B PUTRA")</f>
        <v>3 ULA B PUTRA</v>
      </c>
      <c r="L35" s="50" t="str">
        <f>IFERROR(__xludf.DUMMYFUNCTION("""COMPUTED_VALUE"""),"6285704248674")</f>
        <v>6285704248674</v>
      </c>
      <c r="M35" s="54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4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4"/>
      <c r="AS35" s="54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IFERROR(__xludf.DUMMYFUNCTION("""COMPUTED_VALUE"""),500000.0)</f>
        <v>500000</v>
      </c>
      <c r="BE35" s="54">
        <f>IFERROR(__xludf.DUMMYFUNCTION("""COMPUTED_VALUE"""),0.0)</f>
        <v>0</v>
      </c>
      <c r="BF35" s="55">
        <f>IFERROR(__xludf.DUMMYFUNCTION("""COMPUTED_VALUE"""),500000.0)</f>
        <v>500000</v>
      </c>
      <c r="BG35" s="57"/>
      <c r="BH35" s="57"/>
      <c r="BI35" s="57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</row>
    <row r="36">
      <c r="A36" s="36">
        <f>IFERROR(__xludf.DUMMYFUNCTION("""COMPUTED_VALUE"""),35.0)</f>
        <v>35</v>
      </c>
      <c r="B36" s="37" t="str">
        <f>IFERROR(__xludf.DUMMYFUNCTION("""COMPUTED_VALUE"""),"MIRZA ATHA HIBATULLAH")</f>
        <v>MIRZA ATHA HIBATULLAH</v>
      </c>
      <c r="C36" s="38">
        <f>IFERROR(__xludf.DUMMYFUNCTION("""COMPUTED_VALUE"""),2.0240706E9)</f>
        <v>2024070600</v>
      </c>
      <c r="D36" s="37" t="str">
        <f>IFERROR(__xludf.DUMMYFUNCTION("""COMPUTED_VALUE"""),"ABU KHOIR, S.SOS.I")</f>
        <v>ABU KHOIR, S.SOS.I</v>
      </c>
      <c r="E36" s="37" t="str">
        <f>IFERROR(__xludf.DUMMYFUNCTION("""COMPUTED_VALUE"""),"HARWATI, S,SOS I")</f>
        <v>HARWATI, S,SOS I</v>
      </c>
      <c r="F36" s="37" t="str">
        <f>IFERROR(__xludf.DUMMYFUNCTION("""COMPUTED_VALUE"""),"BADAN BOGOBABADAN RT 001 RW 004 KARANGBINANGUN LAMONGAN")</f>
        <v>BADAN BOGOBABADAN RT 001 RW 004 KARANGBINANGUN LAMONGAN</v>
      </c>
      <c r="G36" s="39" t="str">
        <f>IFERROR(__xludf.DUMMYFUNCTION("""COMPUTED_VALUE"""),"MTS-9 E")</f>
        <v>MTS-9 E</v>
      </c>
      <c r="H36" s="36" t="str">
        <f>IFERROR(__xludf.DUMMYFUNCTION("""COMPUTED_VALUE"""),"A")</f>
        <v>A</v>
      </c>
      <c r="I36" s="40" t="str">
        <f>IFERROR(__xludf.DUMMYFUNCTION("""COMPUTED_VALUE"""),"A-13")</f>
        <v>A-13</v>
      </c>
      <c r="J36" s="40">
        <f>IFERROR(__xludf.DUMMYFUNCTION("""COMPUTED_VALUE"""),3.0)</f>
        <v>3</v>
      </c>
      <c r="K36" s="40" t="str">
        <f>IFERROR(__xludf.DUMMYFUNCTION("""COMPUTED_VALUE"""),"")</f>
        <v/>
      </c>
      <c r="L36" s="39" t="str">
        <f>IFERROR(__xludf.DUMMYFUNCTION("""COMPUTED_VALUE"""),"6285731205500")</f>
        <v>6285731205500</v>
      </c>
      <c r="M36" s="43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>
        <f>IFERROR(__xludf.DUMMYFUNCTION("""COMPUTED_VALUE"""),410000.0)</f>
        <v>410000</v>
      </c>
      <c r="AO36" s="42"/>
      <c r="AP36" s="43"/>
      <c r="AQ36" s="42"/>
      <c r="AR36" s="43"/>
      <c r="AS36" s="43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IFERROR(__xludf.DUMMYFUNCTION("""COMPUTED_VALUE"""),410000.0)</f>
        <v>410000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IFERROR(__xludf.DUMMYFUNCTION("""COMPUTED_VALUE"""),410000.0)</f>
        <v>410000</v>
      </c>
      <c r="BG36" s="56"/>
      <c r="BH36" s="56"/>
      <c r="BI36" s="5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</row>
    <row r="37">
      <c r="A37" s="47">
        <f>IFERROR(__xludf.DUMMYFUNCTION("""COMPUTED_VALUE"""),36.0)</f>
        <v>36</v>
      </c>
      <c r="B37" s="48" t="str">
        <f>IFERROR(__xludf.DUMMYFUNCTION("""COMPUTED_VALUE"""),"MOCH SLAMET JULIANTO")</f>
        <v>MOCH SLAMET JULIANTO</v>
      </c>
      <c r="C37" s="49">
        <f>IFERROR(__xludf.DUMMYFUNCTION("""COMPUTED_VALUE"""),2.024070589E9)</f>
        <v>2024070589</v>
      </c>
      <c r="D37" s="48" t="str">
        <f>IFERROR(__xludf.DUMMYFUNCTION("""COMPUTED_VALUE"""),"SUYOTO")</f>
        <v>SUYOTO</v>
      </c>
      <c r="E37" s="48" t="str">
        <f>IFERROR(__xludf.DUMMYFUNCTION("""COMPUTED_VALUE"""),"SRI ULFIATI")</f>
        <v>SRI ULFIATI</v>
      </c>
      <c r="F37" s="48" t="str">
        <f>IFERROR(__xludf.DUMMYFUNCTION("""COMPUTED_VALUE"""),"SAWAH 2-A PEGIRIAN RT 009 RW 002 SEMAMPIR SURABAYA")</f>
        <v>SAWAH 2-A PEGIRIAN RT 009 RW 002 SEMAMPIR SURABAYA</v>
      </c>
      <c r="G37" s="49" t="str">
        <f>IFERROR(__xludf.DUMMYFUNCTION("""COMPUTED_VALUE"""),"MTS-9 B")</f>
        <v>MTS-9 B</v>
      </c>
      <c r="H37" s="47" t="str">
        <f>IFERROR(__xludf.DUMMYFUNCTION("""COMPUTED_VALUE"""),"A")</f>
        <v>A</v>
      </c>
      <c r="I37" s="51" t="str">
        <f>IFERROR(__xludf.DUMMYFUNCTION("""COMPUTED_VALUE"""),"A-8")</f>
        <v>A-8</v>
      </c>
      <c r="J37" s="51">
        <f>IFERROR(__xludf.DUMMYFUNCTION("""COMPUTED_VALUE"""),3.0)</f>
        <v>3</v>
      </c>
      <c r="K37" s="51" t="str">
        <f>IFERROR(__xludf.DUMMYFUNCTION("""COMPUTED_VALUE"""),"3 ULA B PUTRA")</f>
        <v>3 ULA B PUTRA</v>
      </c>
      <c r="L37" s="50" t="str">
        <f>IFERROR(__xludf.DUMMYFUNCTION("""COMPUTED_VALUE"""),"6285851745443")</f>
        <v>6285851745443</v>
      </c>
      <c r="M37" s="54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4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4"/>
      <c r="AP37" s="54"/>
      <c r="AQ37" s="54"/>
      <c r="AR37" s="54"/>
      <c r="AS37" s="54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IFERROR(__xludf.DUMMYFUNCTION("""COMPUTED_VALUE"""),0.0)</f>
        <v>0</v>
      </c>
      <c r="BE37" s="54">
        <f>IFERROR(__xludf.DUMMYFUNCTION("""COMPUTED_VALUE"""),0.0)</f>
        <v>0</v>
      </c>
      <c r="BF37" s="55">
        <f>IFERROR(__xludf.DUMMYFUNCTION("""COMPUTED_VALUE"""),0.0)</f>
        <v>0</v>
      </c>
      <c r="BG37" s="57"/>
      <c r="BH37" s="57"/>
      <c r="BI37" s="57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</row>
    <row r="38">
      <c r="A38" s="36">
        <f>IFERROR(__xludf.DUMMYFUNCTION("""COMPUTED_VALUE"""),37.0)</f>
        <v>37</v>
      </c>
      <c r="B38" s="37" t="str">
        <f>IFERROR(__xludf.DUMMYFUNCTION("""COMPUTED_VALUE"""),"MOCH. RAYYAN ZIDNY IRHAMNI")</f>
        <v>MOCH. RAYYAN ZIDNY IRHAMNI</v>
      </c>
      <c r="C38" s="38">
        <f>IFERROR(__xludf.DUMMYFUNCTION("""COMPUTED_VALUE"""),2.024070649E9)</f>
        <v>2024070649</v>
      </c>
      <c r="D38" s="37" t="str">
        <f>IFERROR(__xludf.DUMMYFUNCTION("""COMPUTED_VALUE"""),"ERFANIYANTO")</f>
        <v>ERFANIYANTO</v>
      </c>
      <c r="E38" s="37" t="str">
        <f>IFERROR(__xludf.DUMMYFUNCTION("""COMPUTED_VALUE"""),"ERNAWATI")</f>
        <v>ERNAWATI</v>
      </c>
      <c r="F38" s="37" t="str">
        <f>IFERROR(__xludf.DUMMYFUNCTION("""COMPUTED_VALUE"""),"WONOKERTO RT 015 RW 003 DUKUN GRESIK")</f>
        <v>WONOKERTO RT 015 RW 003 DUKUN GRESIK</v>
      </c>
      <c r="G38" s="39" t="str">
        <f>IFERROR(__xludf.DUMMYFUNCTION("""COMPUTED_VALUE"""),"MTS-9 D")</f>
        <v>MTS-9 D</v>
      </c>
      <c r="H38" s="36" t="str">
        <f>IFERROR(__xludf.DUMMYFUNCTION("""COMPUTED_VALUE"""),"A")</f>
        <v>A</v>
      </c>
      <c r="I38" s="42" t="str">
        <f>IFERROR(__xludf.DUMMYFUNCTION("""COMPUTED_VALUE"""),"A-7")</f>
        <v>A-7</v>
      </c>
      <c r="J38" s="40">
        <f>IFERROR(__xludf.DUMMYFUNCTION("""COMPUTED_VALUE"""),3.0)</f>
        <v>3</v>
      </c>
      <c r="K38" s="40" t="str">
        <f>IFERROR(__xludf.DUMMYFUNCTION("""COMPUTED_VALUE"""),"3 ULA B PUTRA")</f>
        <v>3 ULA B PUTRA</v>
      </c>
      <c r="L38" s="39" t="str">
        <f>IFERROR(__xludf.DUMMYFUNCTION("""COMPUTED_VALUE"""),"6285708249869")</f>
        <v>6285708249869</v>
      </c>
      <c r="M38" s="43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>
        <f>IFERROR(__xludf.DUMMYFUNCTION("""COMPUTED_VALUE"""),500000.0)</f>
        <v>500000</v>
      </c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>
        <f>IFERROR(__xludf.DUMMYFUNCTION("""COMPUTED_VALUE"""),450000.0)</f>
        <v>450000</v>
      </c>
      <c r="AO38" s="42"/>
      <c r="AP38" s="43">
        <f>IFERROR(__xludf.DUMMYFUNCTION("""COMPUTED_VALUE"""),500000.0)</f>
        <v>500000</v>
      </c>
      <c r="AQ38" s="42"/>
      <c r="AR38" s="43"/>
      <c r="AS38" s="43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IFERROR(__xludf.DUMMYFUNCTION("""COMPUTED_VALUE"""),450000.0)</f>
        <v>450000</v>
      </c>
      <c r="BD38" s="43">
        <f>IFERROR(__xludf.DUMMYFUNCTION("""COMPUTED_VALUE"""),1000000.0)</f>
        <v>1000000</v>
      </c>
      <c r="BE38" s="43">
        <f>IFERROR(__xludf.DUMMYFUNCTION("""COMPUTED_VALUE"""),0.0)</f>
        <v>0</v>
      </c>
      <c r="BF38" s="44">
        <f>IFERROR(__xludf.DUMMYFUNCTION("""COMPUTED_VALUE"""),1450000.0)</f>
        <v>1450000</v>
      </c>
      <c r="BG38" s="56"/>
      <c r="BH38" s="56"/>
      <c r="BI38" s="5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</row>
    <row r="39">
      <c r="A39" s="47">
        <f>IFERROR(__xludf.DUMMYFUNCTION("""COMPUTED_VALUE"""),38.0)</f>
        <v>38</v>
      </c>
      <c r="B39" s="48" t="str">
        <f>IFERROR(__xludf.DUMMYFUNCTION("""COMPUTED_VALUE"""),"MOCHAMMAD AL FATIH ABRISAM KURNIAWAN")</f>
        <v>MOCHAMMAD AL FATIH ABRISAM KURNIAWAN</v>
      </c>
      <c r="C39" s="49">
        <f>IFERROR(__xludf.DUMMYFUNCTION("""COMPUTED_VALUE"""),2.024070637E9)</f>
        <v>2024070637</v>
      </c>
      <c r="D39" s="48" t="str">
        <f>IFERROR(__xludf.DUMMYFUNCTION("""COMPUTED_VALUE"""),"BAKHTIAR DENI KURNIAWAN")</f>
        <v>BAKHTIAR DENI KURNIAWAN</v>
      </c>
      <c r="E39" s="48" t="str">
        <f>IFERROR(__xludf.DUMMYFUNCTION("""COMPUTED_VALUE"""),"WIWIT INDRAYATI")</f>
        <v>WIWIT INDRAYATI</v>
      </c>
      <c r="F39" s="48" t="str">
        <f>IFERROR(__xludf.DUMMYFUNCTION("""COMPUTED_VALUE"""),"SUKOANYAR SIDOMUKTI RT 006 RW 002 KEMBANGBAHU LAMONGAN")</f>
        <v>SUKOANYAR SIDOMUKTI RT 006 RW 002 KEMBANGBAHU LAMONGAN</v>
      </c>
      <c r="G39" s="50" t="str">
        <f>IFERROR(__xludf.DUMMYFUNCTION("""COMPUTED_VALUE"""),"MTS-9 E")</f>
        <v>MTS-9 E</v>
      </c>
      <c r="H39" s="47" t="str">
        <f>IFERROR(__xludf.DUMMYFUNCTION("""COMPUTED_VALUE"""),"A")</f>
        <v>A</v>
      </c>
      <c r="I39" s="51" t="str">
        <f>IFERROR(__xludf.DUMMYFUNCTION("""COMPUTED_VALUE"""),"A-8")</f>
        <v>A-8</v>
      </c>
      <c r="J39" s="51">
        <f>IFERROR(__xludf.DUMMYFUNCTION("""COMPUTED_VALUE"""),3.0)</f>
        <v>3</v>
      </c>
      <c r="K39" s="51" t="str">
        <f>IFERROR(__xludf.DUMMYFUNCTION("""COMPUTED_VALUE"""),"3 ULA B PUTRA")</f>
        <v>3 ULA B PUTRA</v>
      </c>
      <c r="L39" s="50" t="str">
        <f>IFERROR(__xludf.DUMMYFUNCTION("""COMPUTED_VALUE"""),"6281553088645")</f>
        <v>6281553088645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4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7"/>
      <c r="BH39" s="57"/>
      <c r="BI39" s="57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</row>
    <row r="40">
      <c r="A40" s="36">
        <f>IFERROR(__xludf.DUMMYFUNCTION("""COMPUTED_VALUE"""),39.0)</f>
        <v>39</v>
      </c>
      <c r="B40" s="37" t="str">
        <f>IFERROR(__xludf.DUMMYFUNCTION("""COMPUTED_VALUE"""),"MOCHAMMAD NEIZTAHUL HUDA")</f>
        <v>MOCHAMMAD NEIZTAHUL HUDA</v>
      </c>
      <c r="C40" s="38">
        <f>IFERROR(__xludf.DUMMYFUNCTION("""COMPUTED_VALUE"""),2.024070626E9)</f>
        <v>2024070626</v>
      </c>
      <c r="D40" s="37" t="str">
        <f>IFERROR(__xludf.DUMMYFUNCTION("""COMPUTED_VALUE"""),"MUHAMMAD BANDI")</f>
        <v>MUHAMMAD BANDI</v>
      </c>
      <c r="E40" s="37" t="str">
        <f>IFERROR(__xludf.DUMMYFUNCTION("""COMPUTED_VALUE"""),"RIYAYUK")</f>
        <v>RIYAYUK</v>
      </c>
      <c r="F40" s="37" t="str">
        <f>IFERROR(__xludf.DUMMYFUNCTION("""COMPUTED_VALUE"""),"NGAYUNG RT 007 RW 002 MADURAN LAMONGAN")</f>
        <v>NGAYUNG RT 007 RW 002 MADURAN LAMONGAN</v>
      </c>
      <c r="G40" s="39" t="str">
        <f>IFERROR(__xludf.DUMMYFUNCTION("""COMPUTED_VALUE"""),"MTS-9 B")</f>
        <v>MTS-9 B</v>
      </c>
      <c r="H40" s="36" t="str">
        <f>IFERROR(__xludf.DUMMYFUNCTION("""COMPUTED_VALUE"""),"A")</f>
        <v>A</v>
      </c>
      <c r="I40" s="40" t="str">
        <f>IFERROR(__xludf.DUMMYFUNCTION("""COMPUTED_VALUE"""),"A-8")</f>
        <v>A-8</v>
      </c>
      <c r="J40" s="40">
        <f>IFERROR(__xludf.DUMMYFUNCTION("""COMPUTED_VALUE"""),3.0)</f>
        <v>3</v>
      </c>
      <c r="K40" s="40" t="str">
        <f>IFERROR(__xludf.DUMMYFUNCTION("""COMPUTED_VALUE"""),"3 ULA B PUTRA")</f>
        <v>3 ULA B PUTRA</v>
      </c>
      <c r="L40" s="39" t="str">
        <f>IFERROR(__xludf.DUMMYFUNCTION("""COMPUTED_VALUE"""),"6282237520701")</f>
        <v>6282237520701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>
        <f>IFERROR(__xludf.DUMMYFUNCTION("""COMPUTED_VALUE"""),450000.0)</f>
        <v>450000</v>
      </c>
      <c r="AO40" s="43"/>
      <c r="AP40" s="42"/>
      <c r="AQ40" s="43"/>
      <c r="AR40" s="43"/>
      <c r="AS40" s="43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IFERROR(__xludf.DUMMYFUNCTION("""COMPUTED_VALUE"""),450000.0)</f>
        <v>450000</v>
      </c>
      <c r="BD40" s="43">
        <f>IFERROR(__xludf.DUMMYFUNCTION("""COMPUTED_VALUE"""),0.0)</f>
        <v>0</v>
      </c>
      <c r="BE40" s="43">
        <f>IFERROR(__xludf.DUMMYFUNCTION("""COMPUTED_VALUE"""),0.0)</f>
        <v>0</v>
      </c>
      <c r="BF40" s="44">
        <f>IFERROR(__xludf.DUMMYFUNCTION("""COMPUTED_VALUE"""),450000.0)</f>
        <v>450000</v>
      </c>
      <c r="BG40" s="56"/>
      <c r="BH40" s="56"/>
      <c r="BI40" s="5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</row>
    <row r="41">
      <c r="A41" s="47">
        <f>IFERROR(__xludf.DUMMYFUNCTION("""COMPUTED_VALUE"""),40.0)</f>
        <v>40</v>
      </c>
      <c r="B41" s="48" t="str">
        <f>IFERROR(__xludf.DUMMYFUNCTION("""COMPUTED_VALUE"""),"MOH. FAKHRI ARVIANSYAH")</f>
        <v>MOH. FAKHRI ARVIANSYAH</v>
      </c>
      <c r="C41" s="49">
        <f>IFERROR(__xludf.DUMMYFUNCTION("""COMPUTED_VALUE"""),2.02407048E9)</f>
        <v>2024070480</v>
      </c>
      <c r="D41" s="48" t="str">
        <f>IFERROR(__xludf.DUMMYFUNCTION("""COMPUTED_VALUE"""),"MOH ASARI")</f>
        <v>MOH ASARI</v>
      </c>
      <c r="E41" s="48" t="str">
        <f>IFERROR(__xludf.DUMMYFUNCTION("""COMPUTED_VALUE"""),"SUFINAH DWI ROKHMAH")</f>
        <v>SUFINAH DWI ROKHMAH</v>
      </c>
      <c r="F41" s="48" t="str">
        <f>IFERROR(__xludf.DUMMYFUNCTION("""COMPUTED_VALUE"""),"KARANGTAPEN KARANGLANGIT RT 002 RW 004 LAMONGAN LAMONGAN")</f>
        <v>KARANGTAPEN KARANGLANGIT RT 002 RW 004 LAMONGAN LAMONGAN</v>
      </c>
      <c r="G41" s="50" t="str">
        <f>IFERROR(__xludf.DUMMYFUNCTION("""COMPUTED_VALUE"""),"MTS-9 F")</f>
        <v>MTS-9 F</v>
      </c>
      <c r="H41" s="47" t="str">
        <f>IFERROR(__xludf.DUMMYFUNCTION("""COMPUTED_VALUE"""),"A")</f>
        <v>A</v>
      </c>
      <c r="I41" s="51" t="str">
        <f>IFERROR(__xludf.DUMMYFUNCTION("""COMPUTED_VALUE"""),"A-8")</f>
        <v>A-8</v>
      </c>
      <c r="J41" s="51">
        <f>IFERROR(__xludf.DUMMYFUNCTION("""COMPUTED_VALUE"""),3.0)</f>
        <v>3</v>
      </c>
      <c r="K41" s="51" t="str">
        <f>IFERROR(__xludf.DUMMYFUNCTION("""COMPUTED_VALUE"""),"3 ULA A PUTRA")</f>
        <v>3 ULA A PUTRA</v>
      </c>
      <c r="L41" s="50" t="str">
        <f>IFERROR(__xludf.DUMMYFUNCTION("""COMPUTED_VALUE"""),"6285732561338")</f>
        <v>6285732561338</v>
      </c>
      <c r="M41" s="54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4"/>
      <c r="AQ41" s="53"/>
      <c r="AR41" s="54"/>
      <c r="AS41" s="54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IFERROR(__xludf.DUMMYFUNCTION("""COMPUTED_VALUE"""),0.0)</f>
        <v>0</v>
      </c>
      <c r="BE41" s="54">
        <f>IFERROR(__xludf.DUMMYFUNCTION("""COMPUTED_VALUE"""),0.0)</f>
        <v>0</v>
      </c>
      <c r="BF41" s="55">
        <f>IFERROR(__xludf.DUMMYFUNCTION("""COMPUTED_VALUE"""),0.0)</f>
        <v>0</v>
      </c>
      <c r="BG41" s="57"/>
      <c r="BH41" s="57"/>
      <c r="BI41" s="57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</row>
    <row r="42">
      <c r="A42" s="36">
        <f>IFERROR(__xludf.DUMMYFUNCTION("""COMPUTED_VALUE"""),41.0)</f>
        <v>41</v>
      </c>
      <c r="B42" s="37" t="str">
        <f>IFERROR(__xludf.DUMMYFUNCTION("""COMPUTED_VALUE"""),"MOH. VERRY HILMI MUBAROK")</f>
        <v>MOH. VERRY HILMI MUBAROK</v>
      </c>
      <c r="C42" s="38">
        <f>IFERROR(__xludf.DUMMYFUNCTION("""COMPUTED_VALUE"""),2.024070552E9)</f>
        <v>2024070552</v>
      </c>
      <c r="D42" s="37" t="str">
        <f>IFERROR(__xludf.DUMMYFUNCTION("""COMPUTED_VALUE"""),"MAHRUS ALI")</f>
        <v>MAHRUS ALI</v>
      </c>
      <c r="E42" s="37" t="str">
        <f>IFERROR(__xludf.DUMMYFUNCTION("""COMPUTED_VALUE"""),"NUR UMIYATI")</f>
        <v>NUR UMIYATI</v>
      </c>
      <c r="F42" s="37" t="str">
        <f>IFERROR(__xludf.DUMMYFUNCTION("""COMPUTED_VALUE"""),"JL. GUNUNG BATU NO. 102 SUKARAJA RT 007 RW 002 CICENDO BANDUNG")</f>
        <v>JL. GUNUNG BATU NO. 102 SUKARAJA RT 007 RW 002 CICENDO BANDUNG</v>
      </c>
      <c r="G42" s="39" t="str">
        <f>IFERROR(__xludf.DUMMYFUNCTION("""COMPUTED_VALUE"""),"MTS-9 F")</f>
        <v>MTS-9 F</v>
      </c>
      <c r="H42" s="36" t="str">
        <f>IFERROR(__xludf.DUMMYFUNCTION("""COMPUTED_VALUE"""),"A")</f>
        <v>A</v>
      </c>
      <c r="I42" s="40" t="str">
        <f>IFERROR(__xludf.DUMMYFUNCTION("""COMPUTED_VALUE"""),"A-7")</f>
        <v>A-7</v>
      </c>
      <c r="J42" s="40">
        <f>IFERROR(__xludf.DUMMYFUNCTION("""COMPUTED_VALUE"""),3.0)</f>
        <v>3</v>
      </c>
      <c r="K42" s="40" t="str">
        <f>IFERROR(__xludf.DUMMYFUNCTION("""COMPUTED_VALUE"""),"3 ULA B PUTRA")</f>
        <v>3 ULA B PUTRA</v>
      </c>
      <c r="L42" s="39" t="str">
        <f>IFERROR(__xludf.DUMMYFUNCTION("""COMPUTED_VALUE"""),"6281221567120")</f>
        <v>6281221567120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3"/>
      <c r="AP42" s="43"/>
      <c r="AQ42" s="43"/>
      <c r="AR42" s="43"/>
      <c r="AS42" s="43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56"/>
      <c r="BH42" s="56"/>
      <c r="BI42" s="5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</row>
    <row r="43">
      <c r="A43" s="47">
        <f>IFERROR(__xludf.DUMMYFUNCTION("""COMPUTED_VALUE"""),42.0)</f>
        <v>42</v>
      </c>
      <c r="B43" s="48" t="str">
        <f>IFERROR(__xludf.DUMMYFUNCTION("""COMPUTED_VALUE"""),"MOHAMAD ARZAQ DWI SAPUTRA")</f>
        <v>MOHAMAD ARZAQ DWI SAPUTRA</v>
      </c>
      <c r="C43" s="49">
        <f>IFERROR(__xludf.DUMMYFUNCTION("""COMPUTED_VALUE"""),2.024070529E9)</f>
        <v>2024070529</v>
      </c>
      <c r="D43" s="48" t="str">
        <f>IFERROR(__xludf.DUMMYFUNCTION("""COMPUTED_VALUE"""),"HUSNUL MUKHOTIB")</f>
        <v>HUSNUL MUKHOTIB</v>
      </c>
      <c r="E43" s="48" t="str">
        <f>IFERROR(__xludf.DUMMYFUNCTION("""COMPUTED_VALUE"""),"UMMU ZAHROTIN")</f>
        <v>UMMU ZAHROTIN</v>
      </c>
      <c r="F43" s="48" t="str">
        <f>IFERROR(__xludf.DUMMYFUNCTION("""COMPUTED_VALUE"""),"TRACAL RT 003 RW 003 KARANGGENENG LAMONGAN")</f>
        <v>TRACAL RT 003 RW 003 KARANGGENENG LAMONGAN</v>
      </c>
      <c r="G43" s="50" t="str">
        <f>IFERROR(__xludf.DUMMYFUNCTION("""COMPUTED_VALUE"""),"MTS-9 D")</f>
        <v>MTS-9 D</v>
      </c>
      <c r="H43" s="47" t="str">
        <f>IFERROR(__xludf.DUMMYFUNCTION("""COMPUTED_VALUE"""),"A")</f>
        <v>A</v>
      </c>
      <c r="I43" s="51" t="str">
        <f>IFERROR(__xludf.DUMMYFUNCTION("""COMPUTED_VALUE"""),"A-8")</f>
        <v>A-8</v>
      </c>
      <c r="J43" s="51">
        <f>IFERROR(__xludf.DUMMYFUNCTION("""COMPUTED_VALUE"""),3.0)</f>
        <v>3</v>
      </c>
      <c r="K43" s="51" t="str">
        <f>IFERROR(__xludf.DUMMYFUNCTION("""COMPUTED_VALUE"""),"3 ULA A PUTRA")</f>
        <v>3 ULA A PUTRA</v>
      </c>
      <c r="L43" s="50" t="str">
        <f>IFERROR(__xludf.DUMMYFUNCTION("""COMPUTED_VALUE"""),"6287794604684")</f>
        <v>6287794604684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4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IFERROR(__xludf.DUMMYFUNCTION("""COMPUTED_VALUE"""),0.0)</f>
        <v>0</v>
      </c>
      <c r="BD43" s="54">
        <f>IFERROR(__xludf.DUMMYFUNCTION("""COMPUTED_VALUE"""),1000000.0)</f>
        <v>1000000</v>
      </c>
      <c r="BE43" s="54">
        <f>IFERROR(__xludf.DUMMYFUNCTION("""COMPUTED_VALUE"""),0.0)</f>
        <v>0</v>
      </c>
      <c r="BF43" s="55">
        <f>IFERROR(__xludf.DUMMYFUNCTION("""COMPUTED_VALUE"""),1000000.0)</f>
        <v>1000000</v>
      </c>
      <c r="BG43" s="57"/>
      <c r="BH43" s="57"/>
      <c r="BI43" s="57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</row>
    <row r="44">
      <c r="A44" s="36">
        <f>IFERROR(__xludf.DUMMYFUNCTION("""COMPUTED_VALUE"""),43.0)</f>
        <v>43</v>
      </c>
      <c r="B44" s="37" t="str">
        <f>IFERROR(__xludf.DUMMYFUNCTION("""COMPUTED_VALUE"""),"MOHAMAD NOVAL JALALUDIN")</f>
        <v>MOHAMAD NOVAL JALALUDIN</v>
      </c>
      <c r="C44" s="38">
        <f>IFERROR(__xludf.DUMMYFUNCTION("""COMPUTED_VALUE"""),2.024070485E9)</f>
        <v>2024070485</v>
      </c>
      <c r="D44" s="37" t="str">
        <f>IFERROR(__xludf.DUMMYFUNCTION("""COMPUTED_VALUE"""),"MUCHAMAD ZAINUDIN")</f>
        <v>MUCHAMAD ZAINUDIN</v>
      </c>
      <c r="E44" s="37" t="str">
        <f>IFERROR(__xludf.DUMMYFUNCTION("""COMPUTED_VALUE"""),"NURUL LAILI")</f>
        <v>NURUL LAILI</v>
      </c>
      <c r="F44" s="37" t="str">
        <f>IFERROR(__xludf.DUMMYFUNCTION("""COMPUTED_VALUE"""),"SUGIHWARAS RT 002 RW 001 DEKET LAMONGAN")</f>
        <v>SUGIHWARAS RT 002 RW 001 DEKET LAMONGAN</v>
      </c>
      <c r="G44" s="39" t="str">
        <f>IFERROR(__xludf.DUMMYFUNCTION("""COMPUTED_VALUE"""),"MTS-9 E")</f>
        <v>MTS-9 E</v>
      </c>
      <c r="H44" s="36" t="str">
        <f>IFERROR(__xludf.DUMMYFUNCTION("""COMPUTED_VALUE"""),"A")</f>
        <v>A</v>
      </c>
      <c r="I44" s="40" t="str">
        <f>IFERROR(__xludf.DUMMYFUNCTION("""COMPUTED_VALUE"""),"A-8")</f>
        <v>A-8</v>
      </c>
      <c r="J44" s="40">
        <f>IFERROR(__xludf.DUMMYFUNCTION("""COMPUTED_VALUE"""),3.0)</f>
        <v>3</v>
      </c>
      <c r="K44" s="40" t="str">
        <f>IFERROR(__xludf.DUMMYFUNCTION("""COMPUTED_VALUE"""),"3 ULA A PUTRA")</f>
        <v>3 ULA A PUTRA</v>
      </c>
      <c r="L44" s="39" t="str">
        <f>IFERROR(__xludf.DUMMYFUNCTION("""COMPUTED_VALUE"""),"6281237377978")</f>
        <v>6281237377978</v>
      </c>
      <c r="M44" s="4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3"/>
      <c r="AB44" s="43">
        <f>IFERROR(__xludf.DUMMYFUNCTION("""COMPUTED_VALUE"""),500000.0)</f>
        <v>500000</v>
      </c>
      <c r="AC44" s="42"/>
      <c r="AD44" s="43">
        <f>IFERROR(__xludf.DUMMYFUNCTION("""COMPUTED_VALUE"""),450000.0)</f>
        <v>450000</v>
      </c>
      <c r="AE44" s="43">
        <f>IFERROR(__xludf.DUMMYFUNCTION("""COMPUTED_VALUE"""),450000.0)</f>
        <v>450000</v>
      </c>
      <c r="AF44" s="43">
        <f>IFERROR(__xludf.DUMMYFUNCTION("""COMPUTED_VALUE"""),450000.0)</f>
        <v>450000</v>
      </c>
      <c r="AG44" s="43">
        <f>IFERROR(__xludf.DUMMYFUNCTION("""COMPUTED_VALUE"""),450000.0)</f>
        <v>450000</v>
      </c>
      <c r="AH44" s="43">
        <f>IFERROR(__xludf.DUMMYFUNCTION("""COMPUTED_VALUE"""),450000.0)</f>
        <v>450000</v>
      </c>
      <c r="AI44" s="43">
        <f>IFERROR(__xludf.DUMMYFUNCTION("""COMPUTED_VALUE"""),450000.0)</f>
        <v>450000</v>
      </c>
      <c r="AJ44" s="43">
        <f>IFERROR(__xludf.DUMMYFUNCTION("""COMPUTED_VALUE"""),450000.0)</f>
        <v>450000</v>
      </c>
      <c r="AK44" s="43">
        <f>IFERROR(__xludf.DUMMYFUNCTION("""COMPUTED_VALUE"""),450000.0)</f>
        <v>450000</v>
      </c>
      <c r="AL44" s="43">
        <f>IFERROR(__xludf.DUMMYFUNCTION("""COMPUTED_VALUE"""),450000.0)</f>
        <v>450000</v>
      </c>
      <c r="AM44" s="43">
        <f>IFERROR(__xludf.DUMMYFUNCTION("""COMPUTED_VALUE"""),450000.0)</f>
        <v>450000</v>
      </c>
      <c r="AN44" s="43">
        <f>IFERROR(__xludf.DUMMYFUNCTION("""COMPUTED_VALUE"""),450000.0)</f>
        <v>450000</v>
      </c>
      <c r="AO44" s="43"/>
      <c r="AP44" s="43">
        <f>IFERROR(__xludf.DUMMYFUNCTION("""COMPUTED_VALUE"""),500000.0)</f>
        <v>500000</v>
      </c>
      <c r="AQ44" s="43"/>
      <c r="AR44" s="43"/>
      <c r="AS44" s="43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IFERROR(__xludf.DUMMYFUNCTION("""COMPUTED_VALUE"""),4950000.0)</f>
        <v>4950000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IFERROR(__xludf.DUMMYFUNCTION("""COMPUTED_VALUE"""),5950000.0)</f>
        <v>5950000</v>
      </c>
      <c r="BG44" s="56"/>
      <c r="BH44" s="56"/>
      <c r="BI44" s="5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</row>
    <row r="45">
      <c r="A45" s="47">
        <f>IFERROR(__xludf.DUMMYFUNCTION("""COMPUTED_VALUE"""),44.0)</f>
        <v>44</v>
      </c>
      <c r="B45" s="48" t="str">
        <f>IFERROR(__xludf.DUMMYFUNCTION("""COMPUTED_VALUE"""),"MUHAMMAD ALAM FIRMANSYAH")</f>
        <v>MUHAMMAD ALAM FIRMANSYAH</v>
      </c>
      <c r="C45" s="49">
        <f>IFERROR(__xludf.DUMMYFUNCTION("""COMPUTED_VALUE"""),2.024070506E9)</f>
        <v>2024070506</v>
      </c>
      <c r="D45" s="48" t="str">
        <f>IFERROR(__xludf.DUMMYFUNCTION("""COMPUTED_VALUE"""),"AHMAD KHOIRUL ANAM")</f>
        <v>AHMAD KHOIRUL ANAM</v>
      </c>
      <c r="E45" s="48" t="str">
        <f>IFERROR(__xludf.DUMMYFUNCTION("""COMPUTED_VALUE"""),"MUFA ROKAH")</f>
        <v>MUFA ROKAH</v>
      </c>
      <c r="F45" s="48" t="str">
        <f>IFERROR(__xludf.DUMMYFUNCTION("""COMPUTED_VALUE"""),"KAMAL RT 004 RW 000 KAIRATU BARAT SERAM BAGIAN BARAT")</f>
        <v>KAMAL RT 004 RW 000 KAIRATU BARAT SERAM BAGIAN BARAT</v>
      </c>
      <c r="G45" s="50" t="str">
        <f>IFERROR(__xludf.DUMMYFUNCTION("""COMPUTED_VALUE"""),"MTS-9 F")</f>
        <v>MTS-9 F</v>
      </c>
      <c r="H45" s="47" t="str">
        <f>IFERROR(__xludf.DUMMYFUNCTION("""COMPUTED_VALUE"""),"A")</f>
        <v>A</v>
      </c>
      <c r="I45" s="51" t="str">
        <f>IFERROR(__xludf.DUMMYFUNCTION("""COMPUTED_VALUE"""),"A-8")</f>
        <v>A-8</v>
      </c>
      <c r="J45" s="51">
        <f>IFERROR(__xludf.DUMMYFUNCTION("""COMPUTED_VALUE"""),3.0)</f>
        <v>3</v>
      </c>
      <c r="K45" s="51" t="str">
        <f>IFERROR(__xludf.DUMMYFUNCTION("""COMPUTED_VALUE"""),"3 ULA A PUTRA")</f>
        <v>3 ULA A PUTRA</v>
      </c>
      <c r="L45" s="50" t="str">
        <f>IFERROR(__xludf.DUMMYFUNCTION("""COMPUTED_VALUE"""),"6282199817002")</f>
        <v>6282199817002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>
        <f>IFERROR(__xludf.DUMMYFUNCTION("""COMPUTED_VALUE"""),450000.0)</f>
        <v>450000</v>
      </c>
      <c r="AO45" s="54"/>
      <c r="AP45" s="54"/>
      <c r="AQ45" s="54"/>
      <c r="AR45" s="54"/>
      <c r="AS45" s="54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IFERROR(__xludf.DUMMYFUNCTION("""COMPUTED_VALUE"""),450000.0)</f>
        <v>450000</v>
      </c>
      <c r="BD45" s="54">
        <f>IFERROR(__xludf.DUMMYFUNCTION("""COMPUTED_VALUE"""),0.0)</f>
        <v>0</v>
      </c>
      <c r="BE45" s="54">
        <f>IFERROR(__xludf.DUMMYFUNCTION("""COMPUTED_VALUE"""),0.0)</f>
        <v>0</v>
      </c>
      <c r="BF45" s="55">
        <f>IFERROR(__xludf.DUMMYFUNCTION("""COMPUTED_VALUE"""),450000.0)</f>
        <v>450000</v>
      </c>
      <c r="BG45" s="57"/>
      <c r="BH45" s="57"/>
      <c r="BI45" s="57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</row>
    <row r="46">
      <c r="A46" s="36">
        <f>IFERROR(__xludf.DUMMYFUNCTION("""COMPUTED_VALUE"""),45.0)</f>
        <v>45</v>
      </c>
      <c r="B46" s="37" t="str">
        <f>IFERROR(__xludf.DUMMYFUNCTION("""COMPUTED_VALUE"""),"MUHAMMAD ALFIN JAMIL")</f>
        <v>MUHAMMAD ALFIN JAMIL</v>
      </c>
      <c r="C46" s="38">
        <f>IFERROR(__xludf.DUMMYFUNCTION("""COMPUTED_VALUE"""),2.024070503E9)</f>
        <v>2024070503</v>
      </c>
      <c r="D46" s="37" t="str">
        <f>IFERROR(__xludf.DUMMYFUNCTION("""COMPUTED_VALUE"""),"MOH. KHOLIP")</f>
        <v>MOH. KHOLIP</v>
      </c>
      <c r="E46" s="37" t="str">
        <f>IFERROR(__xludf.DUMMYFUNCTION("""COMPUTED_VALUE"""),"DAROAINI")</f>
        <v>DAROAINI</v>
      </c>
      <c r="F46" s="37" t="str">
        <f>IFERROR(__xludf.DUMMYFUNCTION("""COMPUTED_VALUE"""),"PRINGGOBOYO RT 009 RW 001 MADURAN LAMONGAN")</f>
        <v>PRINGGOBOYO RT 009 RW 001 MADURAN LAMONGAN</v>
      </c>
      <c r="G46" s="39" t="str">
        <f>IFERROR(__xludf.DUMMYFUNCTION("""COMPUTED_VALUE"""),"MTS-9 C")</f>
        <v>MTS-9 C</v>
      </c>
      <c r="H46" s="36" t="str">
        <f>IFERROR(__xludf.DUMMYFUNCTION("""COMPUTED_VALUE"""),"A")</f>
        <v>A</v>
      </c>
      <c r="I46" s="40" t="str">
        <f>IFERROR(__xludf.DUMMYFUNCTION("""COMPUTED_VALUE"""),"A-7")</f>
        <v>A-7</v>
      </c>
      <c r="J46" s="40">
        <f>IFERROR(__xludf.DUMMYFUNCTION("""COMPUTED_VALUE"""),3.0)</f>
        <v>3</v>
      </c>
      <c r="K46" s="40" t="str">
        <f>IFERROR(__xludf.DUMMYFUNCTION("""COMPUTED_VALUE"""),"3 ULA A PUTRA")</f>
        <v>3 ULA A PUTRA</v>
      </c>
      <c r="L46" s="39" t="str">
        <f>IFERROR(__xludf.DUMMYFUNCTION("""COMPUTED_VALUE"""),"6281230455748")</f>
        <v>6281230455748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3"/>
      <c r="AP46" s="43">
        <f>IFERROR(__xludf.DUMMYFUNCTION("""COMPUTED_VALUE"""),500000.0)</f>
        <v>500000</v>
      </c>
      <c r="AQ46" s="42"/>
      <c r="AR46" s="42"/>
      <c r="AS46" s="43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IFERROR(__xludf.DUMMYFUNCTION("""COMPUTED_VALUE"""),500000.0)</f>
        <v>500000</v>
      </c>
      <c r="BE46" s="43">
        <f>IFERROR(__xludf.DUMMYFUNCTION("""COMPUTED_VALUE"""),0.0)</f>
        <v>0</v>
      </c>
      <c r="BF46" s="44">
        <f>IFERROR(__xludf.DUMMYFUNCTION("""COMPUTED_VALUE"""),500000.0)</f>
        <v>500000</v>
      </c>
      <c r="BG46" s="56"/>
      <c r="BH46" s="56"/>
      <c r="BI46" s="5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>
      <c r="A47" s="47">
        <f>IFERROR(__xludf.DUMMYFUNCTION("""COMPUTED_VALUE"""),46.0)</f>
        <v>46</v>
      </c>
      <c r="B47" s="48" t="str">
        <f>IFERROR(__xludf.DUMMYFUNCTION("""COMPUTED_VALUE"""),"MUHAMMAD BINTANG MAULANA")</f>
        <v>MUHAMMAD BINTANG MAULANA</v>
      </c>
      <c r="C47" s="49">
        <f>IFERROR(__xludf.DUMMYFUNCTION("""COMPUTED_VALUE"""),2.024070559E9)</f>
        <v>2024070559</v>
      </c>
      <c r="D47" s="48" t="str">
        <f>IFERROR(__xludf.DUMMYFUNCTION("""COMPUTED_VALUE"""),"AHMAD HUMAIDI")</f>
        <v>AHMAD HUMAIDI</v>
      </c>
      <c r="E47" s="48" t="str">
        <f>IFERROR(__xludf.DUMMYFUNCTION("""COMPUTED_VALUE"""),"DEVININGTYAS")</f>
        <v>DEVININGTYAS</v>
      </c>
      <c r="F47" s="48" t="str">
        <f>IFERROR(__xludf.DUMMYFUNCTION("""COMPUTED_VALUE"""),"DADAPAN RT 003 RW 001 SOLOKURO LAMONGAN")</f>
        <v>DADAPAN RT 003 RW 001 SOLOKURO LAMONGAN</v>
      </c>
      <c r="G47" s="49" t="str">
        <f>IFERROR(__xludf.DUMMYFUNCTION("""COMPUTED_VALUE"""),"MTS-9 C")</f>
        <v>MTS-9 C</v>
      </c>
      <c r="H47" s="47" t="str">
        <f>IFERROR(__xludf.DUMMYFUNCTION("""COMPUTED_VALUE"""),"A")</f>
        <v>A</v>
      </c>
      <c r="I47" s="53" t="str">
        <f>IFERROR(__xludf.DUMMYFUNCTION("""COMPUTED_VALUE"""),"A-8")</f>
        <v>A-8</v>
      </c>
      <c r="J47" s="51">
        <f>IFERROR(__xludf.DUMMYFUNCTION("""COMPUTED_VALUE"""),3.0)</f>
        <v>3</v>
      </c>
      <c r="K47" s="51" t="str">
        <f>IFERROR(__xludf.DUMMYFUNCTION("""COMPUTED_VALUE"""),"3 ULA B PUTRA")</f>
        <v>3 ULA B PUTRA</v>
      </c>
      <c r="L47" s="50" t="str">
        <f>IFERROR(__xludf.DUMMYFUNCTION("""COMPUTED_VALUE"""),"6285745898936")</f>
        <v>6285745898936</v>
      </c>
      <c r="M47" s="54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4"/>
      <c r="AQ47" s="53"/>
      <c r="AR47" s="53"/>
      <c r="AS47" s="54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IFERROR(__xludf.DUMMYFUNCTION("""COMPUTED_VALUE"""),0.0)</f>
        <v>0</v>
      </c>
      <c r="BE47" s="54">
        <f>IFERROR(__xludf.DUMMYFUNCTION("""COMPUTED_VALUE"""),0.0)</f>
        <v>0</v>
      </c>
      <c r="BF47" s="55">
        <f>IFERROR(__xludf.DUMMYFUNCTION("""COMPUTED_VALUE"""),0.0)</f>
        <v>0</v>
      </c>
      <c r="BG47" s="57"/>
      <c r="BH47" s="57"/>
      <c r="BI47" s="57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</row>
    <row r="48">
      <c r="A48" s="36">
        <f>IFERROR(__xludf.DUMMYFUNCTION("""COMPUTED_VALUE"""),47.0)</f>
        <v>47</v>
      </c>
      <c r="B48" s="37" t="str">
        <f>IFERROR(__xludf.DUMMYFUNCTION("""COMPUTED_VALUE"""),"MUHAMMAD DEDY FIRMANSYAH")</f>
        <v>MUHAMMAD DEDY FIRMANSYAH</v>
      </c>
      <c r="C48" s="38">
        <f>IFERROR(__xludf.DUMMYFUNCTION("""COMPUTED_VALUE"""),2.024070482E9)</f>
        <v>2024070482</v>
      </c>
      <c r="D48" s="37" t="str">
        <f>IFERROR(__xludf.DUMMYFUNCTION("""COMPUTED_VALUE"""),"ANDY SUMARSONO")</f>
        <v>ANDY SUMARSONO</v>
      </c>
      <c r="E48" s="37" t="str">
        <f>IFERROR(__xludf.DUMMYFUNCTION("""COMPUTED_VALUE"""),"SITI FILIZAH")</f>
        <v>SITI FILIZAH</v>
      </c>
      <c r="F48" s="37" t="str">
        <f>IFERROR(__xludf.DUMMYFUNCTION("""COMPUTED_VALUE"""),"BLANGIT KARANGLANGIT RT 002 RW 002 LAMONGAN LAMONGAN")</f>
        <v>BLANGIT KARANGLANGIT RT 002 RW 002 LAMONGAN LAMONGAN</v>
      </c>
      <c r="G48" s="39" t="str">
        <f>IFERROR(__xludf.DUMMYFUNCTION("""COMPUTED_VALUE"""),"MTS-9 D")</f>
        <v>MTS-9 D</v>
      </c>
      <c r="H48" s="36" t="str">
        <f>IFERROR(__xludf.DUMMYFUNCTION("""COMPUTED_VALUE"""),"A")</f>
        <v>A</v>
      </c>
      <c r="I48" s="40" t="str">
        <f>IFERROR(__xludf.DUMMYFUNCTION("""COMPUTED_VALUE"""),"A-8")</f>
        <v>A-8</v>
      </c>
      <c r="J48" s="40">
        <f>IFERROR(__xludf.DUMMYFUNCTION("""COMPUTED_VALUE"""),3.0)</f>
        <v>3</v>
      </c>
      <c r="K48" s="40" t="str">
        <f>IFERROR(__xludf.DUMMYFUNCTION("""COMPUTED_VALUE"""),"3 ULA A PUTRA")</f>
        <v>3 ULA A PUTRA</v>
      </c>
      <c r="L48" s="39" t="str">
        <f>IFERROR(__xludf.DUMMYFUNCTION("""COMPUTED_VALUE"""),"6285425525123")</f>
        <v>6285425525123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3"/>
      <c r="AS48" s="43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56"/>
      <c r="BH48" s="56"/>
      <c r="BI48" s="5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</row>
    <row r="49">
      <c r="A49" s="47">
        <f>IFERROR(__xludf.DUMMYFUNCTION("""COMPUTED_VALUE"""),48.0)</f>
        <v>48</v>
      </c>
      <c r="B49" s="48" t="str">
        <f>IFERROR(__xludf.DUMMYFUNCTION("""COMPUTED_VALUE"""),"MUHAMMAD EZA AL`IMRON")</f>
        <v>MUHAMMAD EZA AL`IMRON</v>
      </c>
      <c r="C49" s="49">
        <f>IFERROR(__xludf.DUMMYFUNCTION("""COMPUTED_VALUE"""),2.024070653E9)</f>
        <v>2024070653</v>
      </c>
      <c r="D49" s="48" t="str">
        <f>IFERROR(__xludf.DUMMYFUNCTION("""COMPUTED_VALUE"""),"ZAINUR ROHMAN")</f>
        <v>ZAINUR ROHMAN</v>
      </c>
      <c r="E49" s="48" t="str">
        <f>IFERROR(__xludf.DUMMYFUNCTION("""COMPUTED_VALUE"""),"MAESAROH")</f>
        <v>MAESAROH</v>
      </c>
      <c r="F49" s="48" t="str">
        <f>IFERROR(__xludf.DUMMYFUNCTION("""COMPUTED_VALUE"""),"KEMLAGIGEDE RT 012 RW 002 TURI LAMONGAN")</f>
        <v>KEMLAGIGEDE RT 012 RW 002 TURI LAMONGAN</v>
      </c>
      <c r="G49" s="50" t="str">
        <f>IFERROR(__xludf.DUMMYFUNCTION("""COMPUTED_VALUE"""),"MTS-9 F")</f>
        <v>MTS-9 F</v>
      </c>
      <c r="H49" s="47" t="str">
        <f>IFERROR(__xludf.DUMMYFUNCTION("""COMPUTED_VALUE"""),"A")</f>
        <v>A</v>
      </c>
      <c r="I49" s="51" t="str">
        <f>IFERROR(__xludf.DUMMYFUNCTION("""COMPUTED_VALUE"""),"A-7")</f>
        <v>A-7</v>
      </c>
      <c r="J49" s="51">
        <f>IFERROR(__xludf.DUMMYFUNCTION("""COMPUTED_VALUE"""),3.0)</f>
        <v>3</v>
      </c>
      <c r="K49" s="51" t="str">
        <f>IFERROR(__xludf.DUMMYFUNCTION("""COMPUTED_VALUE"""),"3 ULA B PUTRA")</f>
        <v>3 ULA B PUTRA</v>
      </c>
      <c r="L49" s="50" t="str">
        <f>IFERROR(__xludf.DUMMYFUNCTION("""COMPUTED_VALUE"""),"6285755534326")</f>
        <v>6285755534326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>
        <f>IFERROR(__xludf.DUMMYFUNCTION("""COMPUTED_VALUE"""),500000.0)</f>
        <v>500000</v>
      </c>
      <c r="AC49" s="53"/>
      <c r="AD49" s="53"/>
      <c r="AE49" s="53"/>
      <c r="AF49" s="53"/>
      <c r="AG49" s="53"/>
      <c r="AH49" s="53"/>
      <c r="AI49" s="53"/>
      <c r="AJ49" s="53"/>
      <c r="AK49" s="53">
        <f>IFERROR(__xludf.DUMMYFUNCTION("""COMPUTED_VALUE"""),450000.0)</f>
        <v>450000</v>
      </c>
      <c r="AL49" s="53">
        <f>IFERROR(__xludf.DUMMYFUNCTION("""COMPUTED_VALUE"""),450000.0)</f>
        <v>450000</v>
      </c>
      <c r="AM49" s="53">
        <f>IFERROR(__xludf.DUMMYFUNCTION("""COMPUTED_VALUE"""),450000.0)</f>
        <v>450000</v>
      </c>
      <c r="AN49" s="53">
        <f>IFERROR(__xludf.DUMMYFUNCTION("""COMPUTED_VALUE"""),450000.0)</f>
        <v>450000</v>
      </c>
      <c r="AO49" s="53"/>
      <c r="AP49" s="53">
        <f>IFERROR(__xludf.DUMMYFUNCTION("""COMPUTED_VALUE"""),500000.0)</f>
        <v>500000</v>
      </c>
      <c r="AQ49" s="53"/>
      <c r="AR49" s="53"/>
      <c r="AS49" s="54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IFERROR(__xludf.DUMMYFUNCTION("""COMPUTED_VALUE"""),1800000.0)</f>
        <v>1800000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IFERROR(__xludf.DUMMYFUNCTION("""COMPUTED_VALUE"""),2800000.0)</f>
        <v>2800000</v>
      </c>
      <c r="BG49" s="57"/>
      <c r="BH49" s="57"/>
      <c r="BI49" s="57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</row>
    <row r="50">
      <c r="A50" s="36">
        <f>IFERROR(__xludf.DUMMYFUNCTION("""COMPUTED_VALUE"""),49.0)</f>
        <v>49</v>
      </c>
      <c r="B50" s="37" t="str">
        <f>IFERROR(__xludf.DUMMYFUNCTION("""COMPUTED_VALUE"""),"MUHAMMAD FADLY HANANIA RABBANI")</f>
        <v>MUHAMMAD FADLY HANANIA RABBANI</v>
      </c>
      <c r="C50" s="38">
        <f>IFERROR(__xludf.DUMMYFUNCTION("""COMPUTED_VALUE"""),2.024070457E9)</f>
        <v>2024070457</v>
      </c>
      <c r="D50" s="37" t="str">
        <f>IFERROR(__xludf.DUMMYFUNCTION("""COMPUTED_VALUE"""),"HADI SUSANTO")</f>
        <v>HADI SUSANTO</v>
      </c>
      <c r="E50" s="37" t="str">
        <f>IFERROR(__xludf.DUMMYFUNCTION("""COMPUTED_VALUE"""),"FITRI JULIANA")</f>
        <v>FITRI JULIANA</v>
      </c>
      <c r="F50" s="37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39" t="str">
        <f>IFERROR(__xludf.DUMMYFUNCTION("""COMPUTED_VALUE"""),"MTS-9 B")</f>
        <v>MTS-9 B</v>
      </c>
      <c r="H50" s="36" t="str">
        <f>IFERROR(__xludf.DUMMYFUNCTION("""COMPUTED_VALUE"""),"A")</f>
        <v>A</v>
      </c>
      <c r="I50" s="40" t="str">
        <f>IFERROR(__xludf.DUMMYFUNCTION("""COMPUTED_VALUE"""),"A-8")</f>
        <v>A-8</v>
      </c>
      <c r="J50" s="40">
        <f>IFERROR(__xludf.DUMMYFUNCTION("""COMPUTED_VALUE"""),3.0)</f>
        <v>3</v>
      </c>
      <c r="K50" s="40" t="str">
        <f>IFERROR(__xludf.DUMMYFUNCTION("""COMPUTED_VALUE"""),"3 ULA A PUTRA")</f>
        <v>3 ULA A PUTRA</v>
      </c>
      <c r="L50" s="39" t="str">
        <f>IFERROR(__xludf.DUMMYFUNCTION("""COMPUTED_VALUE"""),"6289533798465")</f>
        <v>6289533798465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3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IFERROR(__xludf.DUMMYFUNCTION("""COMPUTED_VALUE"""),500000.0)</f>
        <v>500000</v>
      </c>
      <c r="BE50" s="43">
        <f>IFERROR(__xludf.DUMMYFUNCTION("""COMPUTED_VALUE"""),0.0)</f>
        <v>0</v>
      </c>
      <c r="BF50" s="44">
        <f>IFERROR(__xludf.DUMMYFUNCTION("""COMPUTED_VALUE"""),500000.0)</f>
        <v>500000</v>
      </c>
      <c r="BG50" s="56"/>
      <c r="BH50" s="56"/>
      <c r="BI50" s="5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</row>
    <row r="51">
      <c r="A51" s="47">
        <f>IFERROR(__xludf.DUMMYFUNCTION("""COMPUTED_VALUE"""),50.0)</f>
        <v>50</v>
      </c>
      <c r="B51" s="48" t="str">
        <f>IFERROR(__xludf.DUMMYFUNCTION("""COMPUTED_VALUE"""),"MUHAMMAD HAIKAL JAMALUDDIN RUMMY")</f>
        <v>MUHAMMAD HAIKAL JAMALUDDIN RUMMY</v>
      </c>
      <c r="C51" s="49">
        <f>IFERROR(__xludf.DUMMYFUNCTION("""COMPUTED_VALUE"""),2.024070612E9)</f>
        <v>2024070612</v>
      </c>
      <c r="D51" s="48" t="str">
        <f>IFERROR(__xludf.DUMMYFUNCTION("""COMPUTED_VALUE"""),"MAQRUS ZAINUL")</f>
        <v>MAQRUS ZAINUL</v>
      </c>
      <c r="E51" s="48" t="str">
        <f>IFERROR(__xludf.DUMMYFUNCTION("""COMPUTED_VALUE"""),"YENNY FIRDIANING TYAS")</f>
        <v>YENNY FIRDIANING TYAS</v>
      </c>
      <c r="F51" s="48" t="str">
        <f>IFERROR(__xludf.DUMMYFUNCTION("""COMPUTED_VALUE"""),"WARU KULON RT 002 RW 005 PUCUK LAMONGAN")</f>
        <v>WARU KULON RT 002 RW 005 PUCUK LAMONGAN</v>
      </c>
      <c r="G51" s="50" t="str">
        <f>IFERROR(__xludf.DUMMYFUNCTION("""COMPUTED_VALUE"""),"MTS-9 E")</f>
        <v>MTS-9 E</v>
      </c>
      <c r="H51" s="47" t="str">
        <f>IFERROR(__xludf.DUMMYFUNCTION("""COMPUTED_VALUE"""),"A")</f>
        <v>A</v>
      </c>
      <c r="I51" s="51" t="str">
        <f>IFERROR(__xludf.DUMMYFUNCTION("""COMPUTED_VALUE"""),"A-8")</f>
        <v>A-8</v>
      </c>
      <c r="J51" s="51">
        <f>IFERROR(__xludf.DUMMYFUNCTION("""COMPUTED_VALUE"""),3.0)</f>
        <v>3</v>
      </c>
      <c r="K51" s="51" t="str">
        <f>IFERROR(__xludf.DUMMYFUNCTION("""COMPUTED_VALUE"""),"3 ULA B PUTRA")</f>
        <v>3 ULA B PUTRA</v>
      </c>
      <c r="L51" s="50" t="str">
        <f>IFERROR(__xludf.DUMMYFUNCTION("""COMPUTED_VALUE"""),"6285536895754")</f>
        <v>6285536895754</v>
      </c>
      <c r="M51" s="54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4">
        <f>IFERROR(__xludf.DUMMYFUNCTION("""COMPUTED_VALUE"""),500000.0)</f>
        <v>500000</v>
      </c>
      <c r="AC51" s="53"/>
      <c r="AD51" s="53"/>
      <c r="AE51" s="53"/>
      <c r="AF51" s="53">
        <f>IFERROR(__xludf.DUMMYFUNCTION("""COMPUTED_VALUE"""),450000.0)</f>
        <v>450000</v>
      </c>
      <c r="AG51" s="53">
        <f>IFERROR(__xludf.DUMMYFUNCTION("""COMPUTED_VALUE"""),450000.0)</f>
        <v>450000</v>
      </c>
      <c r="AH51" s="53">
        <f>IFERROR(__xludf.DUMMYFUNCTION("""COMPUTED_VALUE"""),450000.0)</f>
        <v>450000</v>
      </c>
      <c r="AI51" s="53">
        <f>IFERROR(__xludf.DUMMYFUNCTION("""COMPUTED_VALUE"""),450000.0)</f>
        <v>450000</v>
      </c>
      <c r="AJ51" s="53">
        <f>IFERROR(__xludf.DUMMYFUNCTION("""COMPUTED_VALUE"""),450000.0)</f>
        <v>450000</v>
      </c>
      <c r="AK51" s="53">
        <f>IFERROR(__xludf.DUMMYFUNCTION("""COMPUTED_VALUE"""),450000.0)</f>
        <v>450000</v>
      </c>
      <c r="AL51" s="53">
        <f>IFERROR(__xludf.DUMMYFUNCTION("""COMPUTED_VALUE"""),450000.0)</f>
        <v>450000</v>
      </c>
      <c r="AM51" s="53">
        <f>IFERROR(__xludf.DUMMYFUNCTION("""COMPUTED_VALUE"""),450000.0)</f>
        <v>450000</v>
      </c>
      <c r="AN51" s="53">
        <f>IFERROR(__xludf.DUMMYFUNCTION("""COMPUTED_VALUE"""),450000.0)</f>
        <v>450000</v>
      </c>
      <c r="AO51" s="53"/>
      <c r="AP51" s="54">
        <f>IFERROR(__xludf.DUMMYFUNCTION("""COMPUTED_VALUE"""),500000.0)</f>
        <v>500000</v>
      </c>
      <c r="AQ51" s="53"/>
      <c r="AR51" s="53"/>
      <c r="AS51" s="54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IFERROR(__xludf.DUMMYFUNCTION("""COMPUTED_VALUE"""),4050000.0)</f>
        <v>4050000</v>
      </c>
      <c r="BD51" s="54">
        <f>IFERROR(__xludf.DUMMYFUNCTION("""COMPUTED_VALUE"""),1000000.0)</f>
        <v>1000000</v>
      </c>
      <c r="BE51" s="54">
        <f>IFERROR(__xludf.DUMMYFUNCTION("""COMPUTED_VALUE"""),0.0)</f>
        <v>0</v>
      </c>
      <c r="BF51" s="55">
        <f>IFERROR(__xludf.DUMMYFUNCTION("""COMPUTED_VALUE"""),5050000.0)</f>
        <v>5050000</v>
      </c>
      <c r="BG51" s="57"/>
      <c r="BH51" s="57"/>
      <c r="BI51" s="57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</row>
    <row r="52">
      <c r="A52" s="36">
        <f>IFERROR(__xludf.DUMMYFUNCTION("""COMPUTED_VALUE"""),51.0)</f>
        <v>51</v>
      </c>
      <c r="B52" s="37" t="str">
        <f>IFERROR(__xludf.DUMMYFUNCTION("""COMPUTED_VALUE"""),"MUHAMMAD HAKIKI CHANDRA")</f>
        <v>MUHAMMAD HAKIKI CHANDRA</v>
      </c>
      <c r="C52" s="38">
        <f>IFERROR(__xludf.DUMMYFUNCTION("""COMPUTED_VALUE"""),2.024070622E9)</f>
        <v>2024070622</v>
      </c>
      <c r="D52" s="37" t="str">
        <f>IFERROR(__xludf.DUMMYFUNCTION("""COMPUTED_VALUE"""),"AGUS CAHYONO")</f>
        <v>AGUS CAHYONO</v>
      </c>
      <c r="E52" s="37" t="str">
        <f>IFERROR(__xludf.DUMMYFUNCTION("""COMPUTED_VALUE"""),"UMU SALAMAH")</f>
        <v>UMU SALAMAH</v>
      </c>
      <c r="F52" s="37" t="str">
        <f>IFERROR(__xludf.DUMMYFUNCTION("""COMPUTED_VALUE"""),"WANGUN BARAT RT 003 RW 002 PALANG TUBAN")</f>
        <v>WANGUN BARAT RT 003 RW 002 PALANG TUBAN</v>
      </c>
      <c r="G52" s="39" t="str">
        <f>IFERROR(__xludf.DUMMYFUNCTION("""COMPUTED_VALUE"""),"MTS-9 E")</f>
        <v>MTS-9 E</v>
      </c>
      <c r="H52" s="36" t="str">
        <f>IFERROR(__xludf.DUMMYFUNCTION("""COMPUTED_VALUE"""),"A")</f>
        <v>A</v>
      </c>
      <c r="I52" s="40" t="str">
        <f>IFERROR(__xludf.DUMMYFUNCTION("""COMPUTED_VALUE"""),"A-8")</f>
        <v>A-8</v>
      </c>
      <c r="J52" s="40">
        <f>IFERROR(__xludf.DUMMYFUNCTION("""COMPUTED_VALUE"""),3.0)</f>
        <v>3</v>
      </c>
      <c r="K52" s="40" t="str">
        <f>IFERROR(__xludf.DUMMYFUNCTION("""COMPUTED_VALUE"""),"3 ULA B PUTRA")</f>
        <v>3 ULA B PUTRA</v>
      </c>
      <c r="L52" s="39" t="str">
        <f>IFERROR(__xludf.DUMMYFUNCTION("""COMPUTED_VALUE"""),"6282261176617")</f>
        <v>6282261176617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3"/>
      <c r="AP52" s="42"/>
      <c r="AQ52" s="42"/>
      <c r="AR52" s="43"/>
      <c r="AS52" s="43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IFERROR(__xludf.DUMMYFUNCTION("""COMPUTED_VALUE"""),0.0)</f>
        <v>0</v>
      </c>
      <c r="BE52" s="43">
        <f>IFERROR(__xludf.DUMMYFUNCTION("""COMPUTED_VALUE"""),0.0)</f>
        <v>0</v>
      </c>
      <c r="BF52" s="44">
        <f>IFERROR(__xludf.DUMMYFUNCTION("""COMPUTED_VALUE"""),0.0)</f>
        <v>0</v>
      </c>
      <c r="BG52" s="56"/>
      <c r="BH52" s="56"/>
      <c r="BI52" s="5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</row>
    <row r="53">
      <c r="A53" s="47">
        <f>IFERROR(__xludf.DUMMYFUNCTION("""COMPUTED_VALUE"""),52.0)</f>
        <v>52</v>
      </c>
      <c r="B53" s="48" t="str">
        <f>IFERROR(__xludf.DUMMYFUNCTION("""COMPUTED_VALUE"""),"MUHAMMAD HANIF AFIYAN")</f>
        <v>MUHAMMAD HANIF AFIYAN</v>
      </c>
      <c r="C53" s="49">
        <f>IFERROR(__xludf.DUMMYFUNCTION("""COMPUTED_VALUE"""),2.024070486E9)</f>
        <v>2024070486</v>
      </c>
      <c r="D53" s="48" t="str">
        <f>IFERROR(__xludf.DUMMYFUNCTION("""COMPUTED_VALUE"""),"AINUL YAKIN")</f>
        <v>AINUL YAKIN</v>
      </c>
      <c r="E53" s="48" t="str">
        <f>IFERROR(__xludf.DUMMYFUNCTION("""COMPUTED_VALUE"""),"FARIDATUZ ZUHRIYAH")</f>
        <v>FARIDATUZ ZUHRIYAH</v>
      </c>
      <c r="F53" s="48" t="str">
        <f>IFERROR(__xludf.DUMMYFUNCTION("""COMPUTED_VALUE"""),"RINGIN TLOGOREJO RT 002 RW 002 SUKODADI LAMONGAN")</f>
        <v>RINGIN TLOGOREJO RT 002 RW 002 SUKODADI LAMONGAN</v>
      </c>
      <c r="G53" s="49" t="str">
        <f>IFERROR(__xludf.DUMMYFUNCTION("""COMPUTED_VALUE"""),"MTS-9 C")</f>
        <v>MTS-9 C</v>
      </c>
      <c r="H53" s="47" t="str">
        <f>IFERROR(__xludf.DUMMYFUNCTION("""COMPUTED_VALUE"""),"A")</f>
        <v>A</v>
      </c>
      <c r="I53" s="51" t="str">
        <f>IFERROR(__xludf.DUMMYFUNCTION("""COMPUTED_VALUE"""),"A-7")</f>
        <v>A-7</v>
      </c>
      <c r="J53" s="51">
        <f>IFERROR(__xludf.DUMMYFUNCTION("""COMPUTED_VALUE"""),3.0)</f>
        <v>3</v>
      </c>
      <c r="K53" s="51" t="str">
        <f>IFERROR(__xludf.DUMMYFUNCTION("""COMPUTED_VALUE"""),"3 ULA A PUTRA")</f>
        <v>3 ULA A PUTRA</v>
      </c>
      <c r="L53" s="50" t="str">
        <f>IFERROR(__xludf.DUMMYFUNCTION("""COMPUTED_VALUE"""),"6285748905402")</f>
        <v>6285748905402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4"/>
      <c r="AP53" s="53">
        <f>IFERROR(__xludf.DUMMYFUNCTION("""COMPUTED_VALUE"""),500000.0)</f>
        <v>500000</v>
      </c>
      <c r="AQ53" s="54"/>
      <c r="AR53" s="54"/>
      <c r="AS53" s="54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IFERROR(__xludf.DUMMYFUNCTION("""COMPUTED_VALUE"""),0.0)</f>
        <v>0</v>
      </c>
      <c r="BD53" s="54">
        <f>IFERROR(__xludf.DUMMYFUNCTION("""COMPUTED_VALUE"""),500000.0)</f>
        <v>500000</v>
      </c>
      <c r="BE53" s="54">
        <f>IFERROR(__xludf.DUMMYFUNCTION("""COMPUTED_VALUE"""),0.0)</f>
        <v>0</v>
      </c>
      <c r="BF53" s="55">
        <f>IFERROR(__xludf.DUMMYFUNCTION("""COMPUTED_VALUE"""),500000.0)</f>
        <v>500000</v>
      </c>
      <c r="BG53" s="57"/>
      <c r="BH53" s="57"/>
      <c r="BI53" s="57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</row>
    <row r="54">
      <c r="A54" s="36">
        <f>IFERROR(__xludf.DUMMYFUNCTION("""COMPUTED_VALUE"""),53.0)</f>
        <v>53</v>
      </c>
      <c r="B54" s="37" t="str">
        <f>IFERROR(__xludf.DUMMYFUNCTION("""COMPUTED_VALUE"""),"MUHAMMAD IBRA HAJAR FARUQI")</f>
        <v>MUHAMMAD IBRA HAJAR FARUQI</v>
      </c>
      <c r="C54" s="38">
        <f>IFERROR(__xludf.DUMMYFUNCTION("""COMPUTED_VALUE"""),2.024070739E9)</f>
        <v>2024070739</v>
      </c>
      <c r="D54" s="37" t="str">
        <f>IFERROR(__xludf.DUMMYFUNCTION("""COMPUTED_VALUE"""),"SUBKHI")</f>
        <v>SUBKHI</v>
      </c>
      <c r="E54" s="37" t="str">
        <f>IFERROR(__xludf.DUMMYFUNCTION("""COMPUTED_VALUE"""),"SARPIYATUN")</f>
        <v>SARPIYATUN</v>
      </c>
      <c r="F54" s="37" t="str">
        <f>IFERROR(__xludf.DUMMYFUNCTION("""COMPUTED_VALUE"""),"KEMLAGIGEDE RT 010 RW 002 TURI LAMONGAN")</f>
        <v>KEMLAGIGEDE RT 010 RW 002 TURI LAMONGAN</v>
      </c>
      <c r="G54" s="39" t="str">
        <f>IFERROR(__xludf.DUMMYFUNCTION("""COMPUTED_VALUE"""),"SMP-IX C")</f>
        <v>SMP-IX C</v>
      </c>
      <c r="H54" s="36" t="str">
        <f>IFERROR(__xludf.DUMMYFUNCTION("""COMPUTED_VALUE"""),"A")</f>
        <v>A</v>
      </c>
      <c r="I54" s="40" t="str">
        <f>IFERROR(__xludf.DUMMYFUNCTION("""COMPUTED_VALUE"""),"A-8")</f>
        <v>A-8</v>
      </c>
      <c r="J54" s="40">
        <f>IFERROR(__xludf.DUMMYFUNCTION("""COMPUTED_VALUE"""),3.0)</f>
        <v>3</v>
      </c>
      <c r="K54" s="40" t="str">
        <f>IFERROR(__xludf.DUMMYFUNCTION("""COMPUTED_VALUE"""),"3 ULA B PUTRA")</f>
        <v>3 ULA B PUTRA</v>
      </c>
      <c r="L54" s="39" t="str">
        <f>IFERROR(__xludf.DUMMYFUNCTION("""COMPUTED_VALUE"""),"628574573760")</f>
        <v>628574573760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3"/>
      <c r="AS54" s="43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IFERROR(__xludf.DUMMYFUNCTION("""COMPUTED_VALUE"""),0.0)</f>
        <v>0</v>
      </c>
      <c r="BD54" s="43">
        <f>IFERROR(__xludf.DUMMYFUNCTION("""COMPUTED_VALUE"""),0.0)</f>
        <v>0</v>
      </c>
      <c r="BE54" s="43">
        <f>IFERROR(__xludf.DUMMYFUNCTION("""COMPUTED_VALUE"""),0.0)</f>
        <v>0</v>
      </c>
      <c r="BF54" s="44">
        <f>IFERROR(__xludf.DUMMYFUNCTION("""COMPUTED_VALUE"""),0.0)</f>
        <v>0</v>
      </c>
      <c r="BG54" s="56"/>
      <c r="BH54" s="56"/>
      <c r="BI54" s="5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</row>
    <row r="55">
      <c r="A55" s="47">
        <f>IFERROR(__xludf.DUMMYFUNCTION("""COMPUTED_VALUE"""),54.0)</f>
        <v>54</v>
      </c>
      <c r="B55" s="48" t="str">
        <f>IFERROR(__xludf.DUMMYFUNCTION("""COMPUTED_VALUE"""),"MUHAMMAD IQBAL MAULANA PUTRA")</f>
        <v>MUHAMMAD IQBAL MAULANA PUTRA</v>
      </c>
      <c r="C55" s="49">
        <f>IFERROR(__xludf.DUMMYFUNCTION("""COMPUTED_VALUE"""),2.024070743E9)</f>
        <v>2024070743</v>
      </c>
      <c r="D55" s="48" t="str">
        <f>IFERROR(__xludf.DUMMYFUNCTION("""COMPUTED_VALUE"""),"HARTONO")</f>
        <v>HARTONO</v>
      </c>
      <c r="E55" s="48" t="str">
        <f>IFERROR(__xludf.DUMMYFUNCTION("""COMPUTED_VALUE"""),"NIA MUSTIANA")</f>
        <v>NIA MUSTIANA</v>
      </c>
      <c r="F55" s="48" t="str">
        <f>IFERROR(__xludf.DUMMYFUNCTION("""COMPUTED_VALUE"""),"SUKLEN KETAPANGTELU RT 001 RW 004 KARANGBINANGUN LAMONGAN")</f>
        <v>SUKLEN KETAPANGTELU RT 001 RW 004 KARANGBINANGUN LAMONGAN</v>
      </c>
      <c r="G55" s="50" t="str">
        <f>IFERROR(__xludf.DUMMYFUNCTION("""COMPUTED_VALUE"""),"SMP-IX C")</f>
        <v>SMP-IX C</v>
      </c>
      <c r="H55" s="47" t="str">
        <f>IFERROR(__xludf.DUMMYFUNCTION("""COMPUTED_VALUE"""),"A")</f>
        <v>A</v>
      </c>
      <c r="I55" s="51" t="str">
        <f>IFERROR(__xludf.DUMMYFUNCTION("""COMPUTED_VALUE"""),"A-8")</f>
        <v>A-8</v>
      </c>
      <c r="J55" s="51">
        <f>IFERROR(__xludf.DUMMYFUNCTION("""COMPUTED_VALUE"""),3.0)</f>
        <v>3</v>
      </c>
      <c r="K55" s="51" t="str">
        <f>IFERROR(__xludf.DUMMYFUNCTION("""COMPUTED_VALUE"""),"3 ULA B PUTRA")</f>
        <v>3 ULA B PUTRA</v>
      </c>
      <c r="L55" s="50" t="str">
        <f>IFERROR(__xludf.DUMMYFUNCTION("""COMPUTED_VALUE"""),"6285648971511")</f>
        <v>6285648971511</v>
      </c>
      <c r="M55" s="53">
        <f>IFERROR(__xludf.DUMMYFUNCTION("""COMPUTED_VALUE"""),600000.0)</f>
        <v>600000</v>
      </c>
      <c r="N55" s="53">
        <f>IFERROR(__xludf.DUMMYFUNCTION("""COMPUTED_VALUE"""),200000.0)</f>
        <v>200000</v>
      </c>
      <c r="O55" s="53"/>
      <c r="P55" s="53"/>
      <c r="Q55" s="53"/>
      <c r="R55" s="53"/>
      <c r="S55" s="53"/>
      <c r="T55" s="53"/>
      <c r="U55" s="53">
        <f>IFERROR(__xludf.DUMMYFUNCTION("""COMPUTED_VALUE"""),450000.0)</f>
        <v>450000</v>
      </c>
      <c r="V55" s="53">
        <f>IFERROR(__xludf.DUMMYFUNCTION("""COMPUTED_VALUE"""),450000.0)</f>
        <v>450000</v>
      </c>
      <c r="W55" s="53">
        <f>IFERROR(__xludf.DUMMYFUNCTION("""COMPUTED_VALUE"""),450000.0)</f>
        <v>450000</v>
      </c>
      <c r="X55" s="53">
        <f>IFERROR(__xludf.DUMMYFUNCTION("""COMPUTED_VALUE"""),450000.0)</f>
        <v>450000</v>
      </c>
      <c r="Y55" s="53">
        <f>IFERROR(__xludf.DUMMYFUNCTION("""COMPUTED_VALUE"""),450000.0)</f>
        <v>450000</v>
      </c>
      <c r="Z55" s="53">
        <f>IFERROR(__xludf.DUMMYFUNCTION("""COMPUTED_VALUE"""),450000.0)</f>
        <v>450000</v>
      </c>
      <c r="AA55" s="53"/>
      <c r="AB55" s="53">
        <f>IFERROR(__xludf.DUMMYFUNCTION("""COMPUTED_VALUE"""),500000.0)</f>
        <v>500000</v>
      </c>
      <c r="AC55" s="53">
        <f>IFERROR(__xludf.DUMMYFUNCTION("""COMPUTED_VALUE"""),450000.0)</f>
        <v>450000</v>
      </c>
      <c r="AD55" s="53">
        <f>IFERROR(__xludf.DUMMYFUNCTION("""COMPUTED_VALUE"""),450000.0)</f>
        <v>450000</v>
      </c>
      <c r="AE55" s="53">
        <f>IFERROR(__xludf.DUMMYFUNCTION("""COMPUTED_VALUE"""),450000.0)</f>
        <v>450000</v>
      </c>
      <c r="AF55" s="53">
        <f>IFERROR(__xludf.DUMMYFUNCTION("""COMPUTED_VALUE"""),450000.0)</f>
        <v>450000</v>
      </c>
      <c r="AG55" s="53">
        <f>IFERROR(__xludf.DUMMYFUNCTION("""COMPUTED_VALUE"""),450000.0)</f>
        <v>450000</v>
      </c>
      <c r="AH55" s="53">
        <f>IFERROR(__xludf.DUMMYFUNCTION("""COMPUTED_VALUE"""),450000.0)</f>
        <v>450000</v>
      </c>
      <c r="AI55" s="53">
        <f>IFERROR(__xludf.DUMMYFUNCTION("""COMPUTED_VALUE"""),450000.0)</f>
        <v>450000</v>
      </c>
      <c r="AJ55" s="53">
        <f>IFERROR(__xludf.DUMMYFUNCTION("""COMPUTED_VALUE"""),450000.0)</f>
        <v>450000</v>
      </c>
      <c r="AK55" s="53">
        <f>IFERROR(__xludf.DUMMYFUNCTION("""COMPUTED_VALUE"""),450000.0)</f>
        <v>450000</v>
      </c>
      <c r="AL55" s="53">
        <f>IFERROR(__xludf.DUMMYFUNCTION("""COMPUTED_VALUE"""),450000.0)</f>
        <v>450000</v>
      </c>
      <c r="AM55" s="53">
        <f>IFERROR(__xludf.DUMMYFUNCTION("""COMPUTED_VALUE"""),450000.0)</f>
        <v>450000</v>
      </c>
      <c r="AN55" s="53">
        <f>IFERROR(__xludf.DUMMYFUNCTION("""COMPUTED_VALUE"""),450000.0)</f>
        <v>450000</v>
      </c>
      <c r="AO55" s="53"/>
      <c r="AP55" s="53">
        <f>IFERROR(__xludf.DUMMYFUNCTION("""COMPUTED_VALUE"""),500000.0)</f>
        <v>500000</v>
      </c>
      <c r="AQ55" s="53"/>
      <c r="AR55" s="53"/>
      <c r="AS55" s="54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IFERROR(__xludf.DUMMYFUNCTION("""COMPUTED_VALUE"""),8100000.0)</f>
        <v>8100000</v>
      </c>
      <c r="BD55" s="54">
        <f>IFERROR(__xludf.DUMMYFUNCTION("""COMPUTED_VALUE"""),1600000.0)</f>
        <v>1600000</v>
      </c>
      <c r="BE55" s="54">
        <f>IFERROR(__xludf.DUMMYFUNCTION("""COMPUTED_VALUE"""),0.0)</f>
        <v>0</v>
      </c>
      <c r="BF55" s="55">
        <f>IFERROR(__xludf.DUMMYFUNCTION("""COMPUTED_VALUE"""),9700000.0)</f>
        <v>9700000</v>
      </c>
      <c r="BG55" s="57"/>
      <c r="BH55" s="57"/>
      <c r="BI55" s="57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</row>
    <row r="56">
      <c r="A56" s="36">
        <f>IFERROR(__xludf.DUMMYFUNCTION("""COMPUTED_VALUE"""),55.0)</f>
        <v>55</v>
      </c>
      <c r="B56" s="37" t="str">
        <f>IFERROR(__xludf.DUMMYFUNCTION("""COMPUTED_VALUE"""),"MUHAMMAD RAFA AL KAUTSAR")</f>
        <v>MUHAMMAD RAFA AL KAUTSAR</v>
      </c>
      <c r="C56" s="38">
        <f>IFERROR(__xludf.DUMMYFUNCTION("""COMPUTED_VALUE"""),2.024070648E9)</f>
        <v>2024070648</v>
      </c>
      <c r="D56" s="37" t="str">
        <f>IFERROR(__xludf.DUMMYFUNCTION("""COMPUTED_VALUE"""),"MUHAMMAD RIFA`I")</f>
        <v>MUHAMMAD RIFA`I</v>
      </c>
      <c r="E56" s="37" t="str">
        <f>IFERROR(__xludf.DUMMYFUNCTION("""COMPUTED_VALUE"""),"SHOIFAH")</f>
        <v>SHOIFAH</v>
      </c>
      <c r="F56" s="37" t="str">
        <f>IFERROR(__xludf.DUMMYFUNCTION("""COMPUTED_VALUE"""),"BANJARANYAR BANJARWATI RT 002 RW 002 PACIRAN LAMONGAN")</f>
        <v>BANJARANYAR BANJARWATI RT 002 RW 002 PACIRAN LAMONGAN</v>
      </c>
      <c r="G56" s="39" t="str">
        <f>IFERROR(__xludf.DUMMYFUNCTION("""COMPUTED_VALUE"""),"MTS-9 C")</f>
        <v>MTS-9 C</v>
      </c>
      <c r="H56" s="36" t="str">
        <f>IFERROR(__xludf.DUMMYFUNCTION("""COMPUTED_VALUE"""),"A")</f>
        <v>A</v>
      </c>
      <c r="I56" s="40" t="str">
        <f>IFERROR(__xludf.DUMMYFUNCTION("""COMPUTED_VALUE"""),"A-8")</f>
        <v>A-8</v>
      </c>
      <c r="J56" s="40">
        <f>IFERROR(__xludf.DUMMYFUNCTION("""COMPUTED_VALUE"""),3.0)</f>
        <v>3</v>
      </c>
      <c r="K56" s="40" t="str">
        <f>IFERROR(__xludf.DUMMYFUNCTION("""COMPUTED_VALUE"""),"3 ULA B PUTRA")</f>
        <v>3 ULA B PUTRA</v>
      </c>
      <c r="L56" s="39" t="str">
        <f>IFERROR(__xludf.DUMMYFUNCTION("""COMPUTED_VALUE"""),"6285859853448")</f>
        <v>6285859853448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>
        <f>IFERROR(__xludf.DUMMYFUNCTION("""COMPUTED_VALUE"""),450000.0)</f>
        <v>450000</v>
      </c>
      <c r="AO56" s="42"/>
      <c r="AP56" s="42">
        <f>IFERROR(__xludf.DUMMYFUNCTION("""COMPUTED_VALUE"""),500000.0)</f>
        <v>500000</v>
      </c>
      <c r="AQ56" s="42"/>
      <c r="AR56" s="43"/>
      <c r="AS56" s="43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IFERROR(__xludf.DUMMYFUNCTION("""COMPUTED_VALUE"""),450000.0)</f>
        <v>450000</v>
      </c>
      <c r="BD56" s="43">
        <f>IFERROR(__xludf.DUMMYFUNCTION("""COMPUTED_VALUE"""),500000.0)</f>
        <v>500000</v>
      </c>
      <c r="BE56" s="43">
        <f>IFERROR(__xludf.DUMMYFUNCTION("""COMPUTED_VALUE"""),0.0)</f>
        <v>0</v>
      </c>
      <c r="BF56" s="44">
        <f>IFERROR(__xludf.DUMMYFUNCTION("""COMPUTED_VALUE"""),950000.0)</f>
        <v>950000</v>
      </c>
      <c r="BG56" s="56"/>
      <c r="BH56" s="56"/>
      <c r="BI56" s="5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</row>
    <row r="57">
      <c r="A57" s="47">
        <f>IFERROR(__xludf.DUMMYFUNCTION("""COMPUTED_VALUE"""),56.0)</f>
        <v>56</v>
      </c>
      <c r="B57" s="48" t="str">
        <f>IFERROR(__xludf.DUMMYFUNCTION("""COMPUTED_VALUE"""),"MUHAMMAD RAFI TAMAM")</f>
        <v>MUHAMMAD RAFI TAMAM</v>
      </c>
      <c r="C57" s="49">
        <f>IFERROR(__xludf.DUMMYFUNCTION("""COMPUTED_VALUE"""),2.024070558E9)</f>
        <v>2024070558</v>
      </c>
      <c r="D57" s="48" t="str">
        <f>IFERROR(__xludf.DUMMYFUNCTION("""COMPUTED_VALUE"""),"SULTONU")</f>
        <v>SULTONU</v>
      </c>
      <c r="E57" s="48" t="str">
        <f>IFERROR(__xludf.DUMMYFUNCTION("""COMPUTED_VALUE"""),"MAHFUDLOTIN")</f>
        <v>MAHFUDLOTIN</v>
      </c>
      <c r="F57" s="48" t="str">
        <f>IFERROR(__xludf.DUMMYFUNCTION("""COMPUTED_VALUE"""),"DADAPAN RT 002 RW 001 SOLOKURO LAMONGAN")</f>
        <v>DADAPAN RT 002 RW 001 SOLOKURO LAMONGAN</v>
      </c>
      <c r="G57" s="50" t="str">
        <f>IFERROR(__xludf.DUMMYFUNCTION("""COMPUTED_VALUE"""),"MTS-9 C")</f>
        <v>MTS-9 C</v>
      </c>
      <c r="H57" s="47" t="str">
        <f>IFERROR(__xludf.DUMMYFUNCTION("""COMPUTED_VALUE"""),"A")</f>
        <v>A</v>
      </c>
      <c r="I57" s="51" t="str">
        <f>IFERROR(__xludf.DUMMYFUNCTION("""COMPUTED_VALUE"""),"A-8")</f>
        <v>A-8</v>
      </c>
      <c r="J57" s="51">
        <f>IFERROR(__xludf.DUMMYFUNCTION("""COMPUTED_VALUE"""),3.0)</f>
        <v>3</v>
      </c>
      <c r="K57" s="51" t="str">
        <f>IFERROR(__xludf.DUMMYFUNCTION("""COMPUTED_VALUE"""),"3 ULA B PUTRA")</f>
        <v>3 ULA B PUTRA</v>
      </c>
      <c r="L57" s="50" t="str">
        <f>IFERROR(__xludf.DUMMYFUNCTION("""COMPUTED_VALUE"""),"628578500200")</f>
        <v>628578500200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4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IFERROR(__xludf.DUMMYFUNCTION("""COMPUTED_VALUE"""),0.0)</f>
        <v>0</v>
      </c>
      <c r="BE57" s="54">
        <f>IFERROR(__xludf.DUMMYFUNCTION("""COMPUTED_VALUE"""),0.0)</f>
        <v>0</v>
      </c>
      <c r="BF57" s="55">
        <f>IFERROR(__xludf.DUMMYFUNCTION("""COMPUTED_VALUE"""),0.0)</f>
        <v>0</v>
      </c>
      <c r="BG57" s="57"/>
      <c r="BH57" s="57"/>
      <c r="BI57" s="57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</row>
    <row r="58">
      <c r="A58" s="36">
        <f>IFERROR(__xludf.DUMMYFUNCTION("""COMPUTED_VALUE"""),57.0)</f>
        <v>57</v>
      </c>
      <c r="B58" s="37" t="str">
        <f>IFERROR(__xludf.DUMMYFUNCTION("""COMPUTED_VALUE"""),"MUHAMMAD RISKI MISHBAHUL MUNIR")</f>
        <v>MUHAMMAD RISKI MISHBAHUL MUNIR</v>
      </c>
      <c r="C58" s="38">
        <f>IFERROR(__xludf.DUMMYFUNCTION("""COMPUTED_VALUE"""),2.024070535E9)</f>
        <v>2024070535</v>
      </c>
      <c r="D58" s="37" t="str">
        <f>IFERROR(__xludf.DUMMYFUNCTION("""COMPUTED_VALUE"""),"MOHAMAD KARMAN")</f>
        <v>MOHAMAD KARMAN</v>
      </c>
      <c r="E58" s="37" t="str">
        <f>IFERROR(__xludf.DUMMYFUNCTION("""COMPUTED_VALUE"""),"KASIYATUN")</f>
        <v>KASIYATUN</v>
      </c>
      <c r="F58" s="37" t="str">
        <f>IFERROR(__xludf.DUMMYFUNCTION("""COMPUTED_VALUE"""),"NGUJUNG NGUJUNGREJO RT 005 RW 002 TURI LAMONGAN")</f>
        <v>NGUJUNG NGUJUNGREJO RT 005 RW 002 TURI LAMONGAN</v>
      </c>
      <c r="G58" s="39" t="str">
        <f>IFERROR(__xludf.DUMMYFUNCTION("""COMPUTED_VALUE"""),"MTS-9 E")</f>
        <v>MTS-9 E</v>
      </c>
      <c r="H58" s="36" t="str">
        <f>IFERROR(__xludf.DUMMYFUNCTION("""COMPUTED_VALUE"""),"A")</f>
        <v>A</v>
      </c>
      <c r="I58" s="40" t="str">
        <f>IFERROR(__xludf.DUMMYFUNCTION("""COMPUTED_VALUE"""),"A-8")</f>
        <v>A-8</v>
      </c>
      <c r="J58" s="40">
        <f>IFERROR(__xludf.DUMMYFUNCTION("""COMPUTED_VALUE"""),3.0)</f>
        <v>3</v>
      </c>
      <c r="K58" s="40" t="str">
        <f>IFERROR(__xludf.DUMMYFUNCTION("""COMPUTED_VALUE"""),"3 ULA B PUTRA")</f>
        <v>3 ULA B PUTRA</v>
      </c>
      <c r="L58" s="39" t="str">
        <f>IFERROR(__xludf.DUMMYFUNCTION("""COMPUTED_VALUE"""),"6285648380596")</f>
        <v>6285648380596</v>
      </c>
      <c r="M58" s="43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42"/>
      <c r="AD58" s="42"/>
      <c r="AE58" s="42"/>
      <c r="AF58" s="42"/>
      <c r="AG58" s="43"/>
      <c r="AH58" s="43"/>
      <c r="AI58" s="43"/>
      <c r="AJ58" s="43"/>
      <c r="AK58" s="43"/>
      <c r="AL58" s="43"/>
      <c r="AM58" s="43"/>
      <c r="AN58" s="43"/>
      <c r="AO58" s="43"/>
      <c r="AP58" s="43">
        <f>IFERROR(__xludf.DUMMYFUNCTION("""COMPUTED_VALUE"""),500000.0)</f>
        <v>500000</v>
      </c>
      <c r="AQ58" s="43"/>
      <c r="AR58" s="43"/>
      <c r="AS58" s="43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IFERROR(__xludf.DUMMYFUNCTION("""COMPUTED_VALUE"""),0.0)</f>
        <v>0</v>
      </c>
      <c r="BD58" s="43">
        <f>IFERROR(__xludf.DUMMYFUNCTION("""COMPUTED_VALUE"""),500000.0)</f>
        <v>500000</v>
      </c>
      <c r="BE58" s="43">
        <f>IFERROR(__xludf.DUMMYFUNCTION("""COMPUTED_VALUE"""),0.0)</f>
        <v>0</v>
      </c>
      <c r="BF58" s="44">
        <f>IFERROR(__xludf.DUMMYFUNCTION("""COMPUTED_VALUE"""),500000.0)</f>
        <v>500000</v>
      </c>
      <c r="BG58" s="56"/>
      <c r="BH58" s="56"/>
      <c r="BI58" s="5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</row>
    <row r="59">
      <c r="A59" s="47">
        <f>IFERROR(__xludf.DUMMYFUNCTION("""COMPUTED_VALUE"""),58.0)</f>
        <v>58</v>
      </c>
      <c r="B59" s="48" t="str">
        <f>IFERROR(__xludf.DUMMYFUNCTION("""COMPUTED_VALUE"""),"MUHAMMAD ROHID ALY WAFA ASSYUKUR")</f>
        <v>MUHAMMAD ROHID ALY WAFA ASSYUKUR</v>
      </c>
      <c r="C59" s="49">
        <f>IFERROR(__xludf.DUMMYFUNCTION("""COMPUTED_VALUE"""),2.024070496E9)</f>
        <v>2024070496</v>
      </c>
      <c r="D59" s="48" t="str">
        <f>IFERROR(__xludf.DUMMYFUNCTION("""COMPUTED_VALUE"""),"MUJI SYUKUR")</f>
        <v>MUJI SYUKUR</v>
      </c>
      <c r="E59" s="48" t="str">
        <f>IFERROR(__xludf.DUMMYFUNCTION("""COMPUTED_VALUE"""),"ASMAUL HUSNA")</f>
        <v>ASMAUL HUSNA</v>
      </c>
      <c r="F59" s="48" t="str">
        <f>IFERROR(__xludf.DUMMYFUNCTION("""COMPUTED_VALUE"""),"JUBAK NGUWOK RT 014 RW 006 MODO LAMONGAN")</f>
        <v>JUBAK NGUWOK RT 014 RW 006 MODO LAMONGAN</v>
      </c>
      <c r="G59" s="50" t="str">
        <f>IFERROR(__xludf.DUMMYFUNCTION("""COMPUTED_VALUE"""),"MTS-9 C")</f>
        <v>MTS-9 C</v>
      </c>
      <c r="H59" s="47" t="str">
        <f>IFERROR(__xludf.DUMMYFUNCTION("""COMPUTED_VALUE"""),"A")</f>
        <v>A</v>
      </c>
      <c r="I59" s="51" t="str">
        <f>IFERROR(__xludf.DUMMYFUNCTION("""COMPUTED_VALUE"""),"A-8")</f>
        <v>A-8</v>
      </c>
      <c r="J59" s="51">
        <f>IFERROR(__xludf.DUMMYFUNCTION("""COMPUTED_VALUE"""),3.0)</f>
        <v>3</v>
      </c>
      <c r="K59" s="51" t="str">
        <f>IFERROR(__xludf.DUMMYFUNCTION("""COMPUTED_VALUE"""),"3 ULA A PUTRA")</f>
        <v>3 ULA A PUTRA</v>
      </c>
      <c r="L59" s="50" t="str">
        <f>IFERROR(__xludf.DUMMYFUNCTION("""COMPUTED_VALUE"""),"6285607086322")</f>
        <v>6285607086322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4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IFERROR(__xludf.DUMMYFUNCTION("""COMPUTED_VALUE"""),0.0)</f>
        <v>0</v>
      </c>
      <c r="BE59" s="54">
        <f>IFERROR(__xludf.DUMMYFUNCTION("""COMPUTED_VALUE"""),0.0)</f>
        <v>0</v>
      </c>
      <c r="BF59" s="55">
        <f>IFERROR(__xludf.DUMMYFUNCTION("""COMPUTED_VALUE"""),0.0)</f>
        <v>0</v>
      </c>
      <c r="BG59" s="57"/>
      <c r="BH59" s="57"/>
      <c r="BI59" s="57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</row>
    <row r="60">
      <c r="A60" s="36">
        <f>IFERROR(__xludf.DUMMYFUNCTION("""COMPUTED_VALUE"""),59.0)</f>
        <v>59</v>
      </c>
      <c r="B60" s="37" t="str">
        <f>IFERROR(__xludf.DUMMYFUNCTION("""COMPUTED_VALUE"""),"MUHAMMAD SABIL FIRDAUS")</f>
        <v>MUHAMMAD SABIL FIRDAUS</v>
      </c>
      <c r="C60" s="38">
        <f>IFERROR(__xludf.DUMMYFUNCTION("""COMPUTED_VALUE"""),2.024070451E9)</f>
        <v>2024070451</v>
      </c>
      <c r="D60" s="37" t="str">
        <f>IFERROR(__xludf.DUMMYFUNCTION("""COMPUTED_VALUE"""),"KHOIRUL MUSTAKIM")</f>
        <v>KHOIRUL MUSTAKIM</v>
      </c>
      <c r="E60" s="37" t="str">
        <f>IFERROR(__xludf.DUMMYFUNCTION("""COMPUTED_VALUE"""),"SITI MUSAROH")</f>
        <v>SITI MUSAROH</v>
      </c>
      <c r="F60" s="37" t="str">
        <f>IFERROR(__xludf.DUMMYFUNCTION("""COMPUTED_VALUE"""),"SUMBERMULYO SUKOMULYO RT 004 RW 002 LAMONGAN LAMONGAN")</f>
        <v>SUMBERMULYO SUKOMULYO RT 004 RW 002 LAMONGAN LAMONGAN</v>
      </c>
      <c r="G60" s="39" t="str">
        <f>IFERROR(__xludf.DUMMYFUNCTION("""COMPUTED_VALUE"""),"MTS-9 A")</f>
        <v>MTS-9 A</v>
      </c>
      <c r="H60" s="36" t="str">
        <f>IFERROR(__xludf.DUMMYFUNCTION("""COMPUTED_VALUE"""),"A")</f>
        <v>A</v>
      </c>
      <c r="I60" s="40" t="str">
        <f>IFERROR(__xludf.DUMMYFUNCTION("""COMPUTED_VALUE"""),"A-13")</f>
        <v>A-13</v>
      </c>
      <c r="J60" s="40">
        <f>IFERROR(__xludf.DUMMYFUNCTION("""COMPUTED_VALUE"""),3.0)</f>
        <v>3</v>
      </c>
      <c r="K60" s="40" t="str">
        <f>IFERROR(__xludf.DUMMYFUNCTION("""COMPUTED_VALUE"""),"")</f>
        <v/>
      </c>
      <c r="L60" s="39" t="str">
        <f>IFERROR(__xludf.DUMMYFUNCTION("""COMPUTED_VALUE"""),"6285816909650")</f>
        <v>6285816909650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3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3"/>
      <c r="AQ60" s="42"/>
      <c r="AR60" s="42"/>
      <c r="AS60" s="43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IFERROR(__xludf.DUMMYFUNCTION("""COMPUTED_VALUE"""),0.0)</f>
        <v>0</v>
      </c>
      <c r="BD60" s="43">
        <f>IFERROR(__xludf.DUMMYFUNCTION("""COMPUTED_VALUE"""),0.0)</f>
        <v>0</v>
      </c>
      <c r="BE60" s="43">
        <f>IFERROR(__xludf.DUMMYFUNCTION("""COMPUTED_VALUE"""),0.0)</f>
        <v>0</v>
      </c>
      <c r="BF60" s="44">
        <f>IFERROR(__xludf.DUMMYFUNCTION("""COMPUTED_VALUE"""),0.0)</f>
        <v>0</v>
      </c>
      <c r="BG60" s="56"/>
      <c r="BH60" s="56"/>
      <c r="BI60" s="5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</row>
    <row r="61">
      <c r="A61" s="47">
        <f>IFERROR(__xludf.DUMMYFUNCTION("""COMPUTED_VALUE"""),60.0)</f>
        <v>60</v>
      </c>
      <c r="B61" s="48" t="str">
        <f>IFERROR(__xludf.DUMMYFUNCTION("""COMPUTED_VALUE"""),"MUHAMMAD SYAFI` AL FATHIR")</f>
        <v>MUHAMMAD SYAFI` AL FATHIR</v>
      </c>
      <c r="C61" s="49">
        <f>IFERROR(__xludf.DUMMYFUNCTION("""COMPUTED_VALUE"""),2.024070588E9)</f>
        <v>2024070588</v>
      </c>
      <c r="D61" s="48" t="str">
        <f>IFERROR(__xludf.DUMMYFUNCTION("""COMPUTED_VALUE"""),"MUCHAMAD KHOLIK")</f>
        <v>MUCHAMAD KHOLIK</v>
      </c>
      <c r="E61" s="48" t="str">
        <f>IFERROR(__xludf.DUMMYFUNCTION("""COMPUTED_VALUE"""),"SULISTIAWATI")</f>
        <v>SULISTIAWATI</v>
      </c>
      <c r="F61" s="48" t="str">
        <f>IFERROR(__xludf.DUMMYFUNCTION("""COMPUTED_VALUE"""),"NGAYUNG RT 003 RW 001 MADURAN LAMONGAN")</f>
        <v>NGAYUNG RT 003 RW 001 MADURAN LAMONGAN</v>
      </c>
      <c r="G61" s="50" t="str">
        <f>IFERROR(__xludf.DUMMYFUNCTION("""COMPUTED_VALUE"""),"MTS-9 B")</f>
        <v>MTS-9 B</v>
      </c>
      <c r="H61" s="47" t="str">
        <f>IFERROR(__xludf.DUMMYFUNCTION("""COMPUTED_VALUE"""),"A")</f>
        <v>A</v>
      </c>
      <c r="I61" s="51" t="str">
        <f>IFERROR(__xludf.DUMMYFUNCTION("""COMPUTED_VALUE"""),"A-8")</f>
        <v>A-8</v>
      </c>
      <c r="J61" s="51">
        <f>IFERROR(__xludf.DUMMYFUNCTION("""COMPUTED_VALUE"""),3.0)</f>
        <v>3</v>
      </c>
      <c r="K61" s="51" t="str">
        <f>IFERROR(__xludf.DUMMYFUNCTION("""COMPUTED_VALUE"""),"3 ULA B PUTRA")</f>
        <v>3 ULA B PUTRA</v>
      </c>
      <c r="L61" s="50" t="str">
        <f>IFERROR(__xludf.DUMMYFUNCTION("""COMPUTED_VALUE"""),"6285850361410")</f>
        <v>6285850361410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4"/>
      <c r="AP61" s="53"/>
      <c r="AQ61" s="53"/>
      <c r="AR61" s="53"/>
      <c r="AS61" s="54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IFERROR(__xludf.DUMMYFUNCTION("""COMPUTED_VALUE"""),0.0)</f>
        <v>0</v>
      </c>
      <c r="BE61" s="54">
        <f>IFERROR(__xludf.DUMMYFUNCTION("""COMPUTED_VALUE"""),0.0)</f>
        <v>0</v>
      </c>
      <c r="BF61" s="55">
        <f>IFERROR(__xludf.DUMMYFUNCTION("""COMPUTED_VALUE"""),0.0)</f>
        <v>0</v>
      </c>
      <c r="BG61" s="57"/>
      <c r="BH61" s="57"/>
      <c r="BI61" s="57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</row>
    <row r="62">
      <c r="A62" s="36">
        <f>IFERROR(__xludf.DUMMYFUNCTION("""COMPUTED_VALUE"""),61.0)</f>
        <v>61</v>
      </c>
      <c r="B62" s="37" t="str">
        <f>IFERROR(__xludf.DUMMYFUNCTION("""COMPUTED_VALUE"""),"MUHAMMAD TSAQIF WIRA ARDANA")</f>
        <v>MUHAMMAD TSAQIF WIRA ARDANA</v>
      </c>
      <c r="C62" s="38">
        <f>IFERROR(__xludf.DUMMYFUNCTION("""COMPUTED_VALUE"""),2.024070725E9)</f>
        <v>2024070725</v>
      </c>
      <c r="D62" s="37" t="str">
        <f>IFERROR(__xludf.DUMMYFUNCTION("""COMPUTED_VALUE"""),"KHOTIB")</f>
        <v>KHOTIB</v>
      </c>
      <c r="E62" s="37" t="str">
        <f>IFERROR(__xludf.DUMMYFUNCTION("""COMPUTED_VALUE"""),"YUYUN HANIFAH")</f>
        <v>YUYUN HANIFAH</v>
      </c>
      <c r="F62" s="37" t="str">
        <f>IFERROR(__xludf.DUMMYFUNCTION("""COMPUTED_VALUE"""),"PRINGGOBOYO RT 002 RW 001 MADURAN LAMONGAN")</f>
        <v>PRINGGOBOYO RT 002 RW 001 MADURAN LAMONGAN</v>
      </c>
      <c r="G62" s="39" t="str">
        <f>IFERROR(__xludf.DUMMYFUNCTION("""COMPUTED_VALUE"""),"SMP-IX B")</f>
        <v>SMP-IX B</v>
      </c>
      <c r="H62" s="36" t="str">
        <f>IFERROR(__xludf.DUMMYFUNCTION("""COMPUTED_VALUE"""),"A")</f>
        <v>A</v>
      </c>
      <c r="I62" s="40" t="str">
        <f>IFERROR(__xludf.DUMMYFUNCTION("""COMPUTED_VALUE"""),"A-13")</f>
        <v>A-13</v>
      </c>
      <c r="J62" s="40">
        <f>IFERROR(__xludf.DUMMYFUNCTION("""COMPUTED_VALUE"""),3.0)</f>
        <v>3</v>
      </c>
      <c r="K62" s="40" t="str">
        <f>IFERROR(__xludf.DUMMYFUNCTION("""COMPUTED_VALUE"""),"")</f>
        <v/>
      </c>
      <c r="L62" s="39" t="str">
        <f>IFERROR(__xludf.DUMMYFUNCTION("""COMPUTED_VALUE"""),"6281330019092")</f>
        <v>6281330019092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3"/>
      <c r="AS62" s="43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IFERROR(__xludf.DUMMYFUNCTION("""COMPUTED_VALUE"""),0.0)</f>
        <v>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IFERROR(__xludf.DUMMYFUNCTION("""COMPUTED_VALUE"""),0.0)</f>
        <v>0</v>
      </c>
      <c r="BG62" s="56"/>
      <c r="BH62" s="56"/>
      <c r="BI62" s="5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</row>
    <row r="63">
      <c r="A63" s="47">
        <f>IFERROR(__xludf.DUMMYFUNCTION("""COMPUTED_VALUE"""),62.0)</f>
        <v>62</v>
      </c>
      <c r="B63" s="48" t="str">
        <f>IFERROR(__xludf.DUMMYFUNCTION("""COMPUTED_VALUE"""),"NAUFAL DESTA ARYADI")</f>
        <v>NAUFAL DESTA ARYADI</v>
      </c>
      <c r="C63" s="49">
        <f>IFERROR(__xludf.DUMMYFUNCTION("""COMPUTED_VALUE"""),2.024070479E9)</f>
        <v>2024070479</v>
      </c>
      <c r="D63" s="48" t="str">
        <f>IFERROR(__xludf.DUMMYFUNCTION("""COMPUTED_VALUE"""),"MULYADI")</f>
        <v>MULYADI</v>
      </c>
      <c r="E63" s="48" t="str">
        <f>IFERROR(__xludf.DUMMYFUNCTION("""COMPUTED_VALUE"""),"RUMIATIK")</f>
        <v>RUMIATIK</v>
      </c>
      <c r="F63" s="48" t="str">
        <f>IFERROR(__xludf.DUMMYFUNCTION("""COMPUTED_VALUE"""),"KARANGTAPEN KARANGLANGIT RT 002 RW 004 LAMONGAN LAMONGAN")</f>
        <v>KARANGTAPEN KARANGLANGIT RT 002 RW 004 LAMONGAN LAMONGAN</v>
      </c>
      <c r="G63" s="50" t="str">
        <f>IFERROR(__xludf.DUMMYFUNCTION("""COMPUTED_VALUE"""),"MTS-9 F")</f>
        <v>MTS-9 F</v>
      </c>
      <c r="H63" s="47" t="str">
        <f>IFERROR(__xludf.DUMMYFUNCTION("""COMPUTED_VALUE"""),"A")</f>
        <v>A</v>
      </c>
      <c r="I63" s="51" t="str">
        <f>IFERROR(__xludf.DUMMYFUNCTION("""COMPUTED_VALUE"""),"A-8")</f>
        <v>A-8</v>
      </c>
      <c r="J63" s="51">
        <f>IFERROR(__xludf.DUMMYFUNCTION("""COMPUTED_VALUE"""),3.0)</f>
        <v>3</v>
      </c>
      <c r="K63" s="51" t="str">
        <f>IFERROR(__xludf.DUMMYFUNCTION("""COMPUTED_VALUE"""),"3 ULA A PUTRA")</f>
        <v>3 ULA A PUTRA</v>
      </c>
      <c r="L63" s="50" t="str">
        <f>IFERROR(__xludf.DUMMYFUNCTION("""COMPUTED_VALUE"""),"6285604016410")</f>
        <v>6285604016410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4"/>
      <c r="AP63" s="53"/>
      <c r="AQ63" s="54"/>
      <c r="AR63" s="54"/>
      <c r="AS63" s="54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IFERROR(__xludf.DUMMYFUNCTION("""COMPUTED_VALUE"""),0.0)</f>
        <v>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IFERROR(__xludf.DUMMYFUNCTION("""COMPUTED_VALUE"""),0.0)</f>
        <v>0</v>
      </c>
      <c r="BG63" s="57"/>
      <c r="BH63" s="57"/>
      <c r="BI63" s="57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</row>
    <row r="64">
      <c r="A64" s="36">
        <f>IFERROR(__xludf.DUMMYFUNCTION("""COMPUTED_VALUE"""),63.0)</f>
        <v>63</v>
      </c>
      <c r="B64" s="37" t="str">
        <f>IFERROR(__xludf.DUMMYFUNCTION("""COMPUTED_VALUE"""),"NOVAL ARYA PRATAMA")</f>
        <v>NOVAL ARYA PRATAMA</v>
      </c>
      <c r="C64" s="38">
        <f>IFERROR(__xludf.DUMMYFUNCTION("""COMPUTED_VALUE"""),2.024070468E9)</f>
        <v>2024070468</v>
      </c>
      <c r="D64" s="37" t="str">
        <f>IFERROR(__xludf.DUMMYFUNCTION("""COMPUTED_VALUE"""),"ABDUL ROHMAN")</f>
        <v>ABDUL ROHMAN</v>
      </c>
      <c r="E64" s="37" t="str">
        <f>IFERROR(__xludf.DUMMYFUNCTION("""COMPUTED_VALUE"""),"NURANITA LARASATI")</f>
        <v>NURANITA LARASATI</v>
      </c>
      <c r="F64" s="37" t="str">
        <f>IFERROR(__xludf.DUMMYFUNCTION("""COMPUTED_VALUE"""),"BULAKWATU BANJAREJO RT 003 RW 001 SUKODADI LAMONGAN")</f>
        <v>BULAKWATU BANJAREJO RT 003 RW 001 SUKODADI LAMONGAN</v>
      </c>
      <c r="G64" s="39" t="str">
        <f>IFERROR(__xludf.DUMMYFUNCTION("""COMPUTED_VALUE"""),"MTS-9 B")</f>
        <v>MTS-9 B</v>
      </c>
      <c r="H64" s="36" t="str">
        <f>IFERROR(__xludf.DUMMYFUNCTION("""COMPUTED_VALUE"""),"A")</f>
        <v>A</v>
      </c>
      <c r="I64" s="40" t="str">
        <f>IFERROR(__xludf.DUMMYFUNCTION("""COMPUTED_VALUE"""),"A-8")</f>
        <v>A-8</v>
      </c>
      <c r="J64" s="40">
        <f>IFERROR(__xludf.DUMMYFUNCTION("""COMPUTED_VALUE"""),3.0)</f>
        <v>3</v>
      </c>
      <c r="K64" s="40" t="str">
        <f>IFERROR(__xludf.DUMMYFUNCTION("""COMPUTED_VALUE"""),"3 ULA A PUTRA")</f>
        <v>3 ULA A PUTRA</v>
      </c>
      <c r="L64" s="39" t="str">
        <f>IFERROR(__xludf.DUMMYFUNCTION("""COMPUTED_VALUE"""),"6285707106640")</f>
        <v>6285707106640</v>
      </c>
      <c r="M64" s="43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>
        <f>IFERROR(__xludf.DUMMYFUNCTION("""COMPUTED_VALUE"""),450000.0)</f>
        <v>450000</v>
      </c>
      <c r="AO64" s="43"/>
      <c r="AP64" s="43">
        <f>IFERROR(__xludf.DUMMYFUNCTION("""COMPUTED_VALUE"""),500000.0)</f>
        <v>500000</v>
      </c>
      <c r="AQ64" s="43"/>
      <c r="AR64" s="43"/>
      <c r="AS64" s="43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IFERROR(__xludf.DUMMYFUNCTION("""COMPUTED_VALUE"""),450000.0)</f>
        <v>450000</v>
      </c>
      <c r="BD64" s="43">
        <f>IFERROR(__xludf.DUMMYFUNCTION("""COMPUTED_VALUE"""),500000.0)</f>
        <v>500000</v>
      </c>
      <c r="BE64" s="43">
        <f>IFERROR(__xludf.DUMMYFUNCTION("""COMPUTED_VALUE"""),0.0)</f>
        <v>0</v>
      </c>
      <c r="BF64" s="44">
        <f>IFERROR(__xludf.DUMMYFUNCTION("""COMPUTED_VALUE"""),950000.0)</f>
        <v>950000</v>
      </c>
      <c r="BG64" s="56"/>
      <c r="BH64" s="56"/>
      <c r="BI64" s="5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</row>
    <row r="65">
      <c r="A65" s="47">
        <f>IFERROR(__xludf.DUMMYFUNCTION("""COMPUTED_VALUE"""),64.0)</f>
        <v>64</v>
      </c>
      <c r="B65" s="48" t="str">
        <f>IFERROR(__xludf.DUMMYFUNCTION("""COMPUTED_VALUE"""),"NUR RIZKI FEBRIAN WAHYU PUTRA")</f>
        <v>NUR RIZKI FEBRIAN WAHYU PUTRA</v>
      </c>
      <c r="C65" s="49">
        <f>IFERROR(__xludf.DUMMYFUNCTION("""COMPUTED_VALUE"""),2.024070516E9)</f>
        <v>2024070516</v>
      </c>
      <c r="D65" s="48" t="str">
        <f>IFERROR(__xludf.DUMMYFUNCTION("""COMPUTED_VALUE"""),"NUR QOMARI")</f>
        <v>NUR QOMARI</v>
      </c>
      <c r="E65" s="48" t="str">
        <f>IFERROR(__xludf.DUMMYFUNCTION("""COMPUTED_VALUE"""),"NANIK SURYANI")</f>
        <v>NANIK SURYANI</v>
      </c>
      <c r="F65" s="48" t="str">
        <f>IFERROR(__xludf.DUMMYFUNCTION("""COMPUTED_VALUE"""),"BLAJO RT 005 RW 003 KALITENGAH LAMONGAN")</f>
        <v>BLAJO RT 005 RW 003 KALITENGAH LAMONGAN</v>
      </c>
      <c r="G65" s="50" t="str">
        <f>IFERROR(__xludf.DUMMYFUNCTION("""COMPUTED_VALUE"""),"SMP-IX A")</f>
        <v>SMP-IX A</v>
      </c>
      <c r="H65" s="47" t="str">
        <f>IFERROR(__xludf.DUMMYFUNCTION("""COMPUTED_VALUE"""),"A")</f>
        <v>A</v>
      </c>
      <c r="I65" s="51" t="str">
        <f>IFERROR(__xludf.DUMMYFUNCTION("""COMPUTED_VALUE"""),"A-8")</f>
        <v>A-8</v>
      </c>
      <c r="J65" s="51">
        <f>IFERROR(__xludf.DUMMYFUNCTION("""COMPUTED_VALUE"""),3.0)</f>
        <v>3</v>
      </c>
      <c r="K65" s="51" t="str">
        <f>IFERROR(__xludf.DUMMYFUNCTION("""COMPUTED_VALUE"""),"3 ULA A PUTRA")</f>
        <v>3 ULA A PUTRA</v>
      </c>
      <c r="L65" s="50" t="str">
        <f>IFERROR(__xludf.DUMMYFUNCTION("""COMPUTED_VALUE"""),"6285546527780")</f>
        <v>6285546527780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>
        <f>IFERROR(__xludf.DUMMYFUNCTION("""COMPUTED_VALUE"""),500000.0)</f>
        <v>500000</v>
      </c>
      <c r="AQ65" s="53"/>
      <c r="AR65" s="53"/>
      <c r="AS65" s="54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IFERROR(__xludf.DUMMYFUNCTION("""COMPUTED_VALUE"""),500000.0)</f>
        <v>500000</v>
      </c>
      <c r="BE65" s="54">
        <f>IFERROR(__xludf.DUMMYFUNCTION("""COMPUTED_VALUE"""),0.0)</f>
        <v>0</v>
      </c>
      <c r="BF65" s="55">
        <f>IFERROR(__xludf.DUMMYFUNCTION("""COMPUTED_VALUE"""),500000.0)</f>
        <v>500000</v>
      </c>
      <c r="BG65" s="57"/>
      <c r="BH65" s="57"/>
      <c r="BI65" s="57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</row>
    <row r="66">
      <c r="A66" s="36">
        <f>IFERROR(__xludf.DUMMYFUNCTION("""COMPUTED_VALUE"""),65.0)</f>
        <v>65</v>
      </c>
      <c r="B66" s="37" t="str">
        <f>IFERROR(__xludf.DUMMYFUNCTION("""COMPUTED_VALUE"""),"RAIHAN DWI WIRATAMA")</f>
        <v>RAIHAN DWI WIRATAMA</v>
      </c>
      <c r="C66" s="38">
        <f>IFERROR(__xludf.DUMMYFUNCTION("""COMPUTED_VALUE"""),2.024070478E9)</f>
        <v>2024070478</v>
      </c>
      <c r="D66" s="37" t="str">
        <f>IFERROR(__xludf.DUMMYFUNCTION("""COMPUTED_VALUE"""),"TATAG HENY SUBAGYO")</f>
        <v>TATAG HENY SUBAGYO</v>
      </c>
      <c r="E66" s="37" t="str">
        <f>IFERROR(__xludf.DUMMYFUNCTION("""COMPUTED_VALUE"""),"ANI FATEMAHWATI")</f>
        <v>ANI FATEMAHWATI</v>
      </c>
      <c r="F66" s="37" t="str">
        <f>IFERROR(__xludf.DUMMYFUNCTION("""COMPUTED_VALUE"""),"BLANGIT KARANGLANGIT RT 001 RW 002 LAMONGAN LAMONGAN")</f>
        <v>BLANGIT KARANGLANGIT RT 001 RW 002 LAMONGAN LAMONGAN</v>
      </c>
      <c r="G66" s="39" t="str">
        <f>IFERROR(__xludf.DUMMYFUNCTION("""COMPUTED_VALUE"""),"MTS-9 E")</f>
        <v>MTS-9 E</v>
      </c>
      <c r="H66" s="36" t="str">
        <f>IFERROR(__xludf.DUMMYFUNCTION("""COMPUTED_VALUE"""),"A")</f>
        <v>A</v>
      </c>
      <c r="I66" s="40" t="str">
        <f>IFERROR(__xludf.DUMMYFUNCTION("""COMPUTED_VALUE"""),"A-8")</f>
        <v>A-8</v>
      </c>
      <c r="J66" s="40">
        <f>IFERROR(__xludf.DUMMYFUNCTION("""COMPUTED_VALUE"""),3.0)</f>
        <v>3</v>
      </c>
      <c r="K66" s="40" t="str">
        <f>IFERROR(__xludf.DUMMYFUNCTION("""COMPUTED_VALUE"""),"3 ULA A PUTRA")</f>
        <v>3 ULA A PUTRA</v>
      </c>
      <c r="L66" s="39" t="str">
        <f>IFERROR(__xludf.DUMMYFUNCTION("""COMPUTED_VALUE"""),"6282337249449")</f>
        <v>6282337249449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3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IFERROR(__xludf.DUMMYFUNCTION("""COMPUTED_VALUE"""),0.0)</f>
        <v>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IFERROR(__xludf.DUMMYFUNCTION("""COMPUTED_VALUE"""),0.0)</f>
        <v>0</v>
      </c>
      <c r="BG66" s="56"/>
      <c r="BH66" s="56"/>
      <c r="BI66" s="5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</row>
    <row r="67">
      <c r="A67" s="47">
        <f>IFERROR(__xludf.DUMMYFUNCTION("""COMPUTED_VALUE"""),66.0)</f>
        <v>66</v>
      </c>
      <c r="B67" s="48" t="str">
        <f>IFERROR(__xludf.DUMMYFUNCTION("""COMPUTED_VALUE"""),"RAUFA IKHSANUL ALIM")</f>
        <v>RAUFA IKHSANUL ALIM</v>
      </c>
      <c r="C67" s="49">
        <f>IFERROR(__xludf.DUMMYFUNCTION("""COMPUTED_VALUE"""),2.024070587E9)</f>
        <v>2024070587</v>
      </c>
      <c r="D67" s="48" t="str">
        <f>IFERROR(__xludf.DUMMYFUNCTION("""COMPUTED_VALUE"""),"RIFA`I")</f>
        <v>RIFA`I</v>
      </c>
      <c r="E67" s="48" t="str">
        <f>IFERROR(__xludf.DUMMYFUNCTION("""COMPUTED_VALUE"""),"VIRGARIA SRI PURNAMAWATIK")</f>
        <v>VIRGARIA SRI PURNAMAWATIK</v>
      </c>
      <c r="F67" s="48" t="str">
        <f>IFERROR(__xludf.DUMMYFUNCTION("""COMPUTED_VALUE"""),"BANJARAN TURI RT 005 RW 002 MADURAN LAMONGAN")</f>
        <v>BANJARAN TURI RT 005 RW 002 MADURAN LAMONGAN</v>
      </c>
      <c r="G67" s="50" t="str">
        <f>IFERROR(__xludf.DUMMYFUNCTION("""COMPUTED_VALUE"""),"MTS-9 A")</f>
        <v>MTS-9 A</v>
      </c>
      <c r="H67" s="47" t="str">
        <f>IFERROR(__xludf.DUMMYFUNCTION("""COMPUTED_VALUE"""),"A")</f>
        <v>A</v>
      </c>
      <c r="I67" s="53" t="str">
        <f>IFERROR(__xludf.DUMMYFUNCTION("""COMPUTED_VALUE"""),"A-7")</f>
        <v>A-7</v>
      </c>
      <c r="J67" s="51">
        <f>IFERROR(__xludf.DUMMYFUNCTION("""COMPUTED_VALUE"""),3.0)</f>
        <v>3</v>
      </c>
      <c r="K67" s="51" t="str">
        <f>IFERROR(__xludf.DUMMYFUNCTION("""COMPUTED_VALUE"""),"3 ULA B PUTRA")</f>
        <v>3 ULA B PUTRA</v>
      </c>
      <c r="L67" s="50" t="str">
        <f>IFERROR(__xludf.DUMMYFUNCTION("""COMPUTED_VALUE"""),"6285815312298")</f>
        <v>6285815312298</v>
      </c>
      <c r="M67" s="54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4"/>
      <c r="AC67" s="53"/>
      <c r="AD67" s="53"/>
      <c r="AE67" s="53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IFERROR(__xludf.DUMMYFUNCTION("""COMPUTED_VALUE"""),0.0)</f>
        <v>0</v>
      </c>
      <c r="BD67" s="54">
        <f>IFERROR(__xludf.DUMMYFUNCTION("""COMPUTED_VALUE"""),0.0)</f>
        <v>0</v>
      </c>
      <c r="BE67" s="54">
        <f>IFERROR(__xludf.DUMMYFUNCTION("""COMPUTED_VALUE"""),0.0)</f>
        <v>0</v>
      </c>
      <c r="BF67" s="55">
        <f>IFERROR(__xludf.DUMMYFUNCTION("""COMPUTED_VALUE"""),0.0)</f>
        <v>0</v>
      </c>
      <c r="BG67" s="57"/>
      <c r="BH67" s="57"/>
      <c r="BI67" s="57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</row>
    <row r="68">
      <c r="A68" s="36">
        <f>IFERROR(__xludf.DUMMYFUNCTION("""COMPUTED_VALUE"""),67.0)</f>
        <v>67</v>
      </c>
      <c r="B68" s="37" t="str">
        <f>IFERROR(__xludf.DUMMYFUNCTION("""COMPUTED_VALUE"""),"RIZKY ADITYA")</f>
        <v>RIZKY ADITYA</v>
      </c>
      <c r="C68" s="38">
        <f>IFERROR(__xludf.DUMMYFUNCTION("""COMPUTED_VALUE"""),2.024070592E9)</f>
        <v>2024070592</v>
      </c>
      <c r="D68" s="37" t="str">
        <f>IFERROR(__xludf.DUMMYFUNCTION("""COMPUTED_VALUE"""),"SUDIRMAN")</f>
        <v>SUDIRMAN</v>
      </c>
      <c r="E68" s="37" t="str">
        <f>IFERROR(__xludf.DUMMYFUNCTION("""COMPUTED_VALUE"""),"ANISA SARI")</f>
        <v>ANISA SARI</v>
      </c>
      <c r="F68" s="37" t="str">
        <f>IFERROR(__xludf.DUMMYFUNCTION("""COMPUTED_VALUE"""),"PARANGA KAPITA RT - RW - BANGKALA JENEPONTO")</f>
        <v>PARANGA KAPITA RT - RW - BANGKALA JENEPONTO</v>
      </c>
      <c r="G68" s="39" t="str">
        <f>IFERROR(__xludf.DUMMYFUNCTION("""COMPUTED_VALUE"""),"MTS-9 F")</f>
        <v>MTS-9 F</v>
      </c>
      <c r="H68" s="36" t="str">
        <f>IFERROR(__xludf.DUMMYFUNCTION("""COMPUTED_VALUE"""),"A")</f>
        <v>A</v>
      </c>
      <c r="I68" s="40" t="str">
        <f>IFERROR(__xludf.DUMMYFUNCTION("""COMPUTED_VALUE"""),"A-7")</f>
        <v>A-7</v>
      </c>
      <c r="J68" s="40">
        <f>IFERROR(__xludf.DUMMYFUNCTION("""COMPUTED_VALUE"""),3.0)</f>
        <v>3</v>
      </c>
      <c r="K68" s="40" t="str">
        <f>IFERROR(__xludf.DUMMYFUNCTION("""COMPUTED_VALUE"""),"3 ULA B PUTRA")</f>
        <v>3 ULA B PUTRA</v>
      </c>
      <c r="L68" s="39" t="str">
        <f>IFERROR(__xludf.DUMMYFUNCTION("""COMPUTED_VALUE"""),"6282255832815")</f>
        <v>6282255832815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>
        <f>IFERROR(__xludf.DUMMYFUNCTION("""COMPUTED_VALUE"""),450000.0)</f>
        <v>450000</v>
      </c>
      <c r="AM68" s="42">
        <f>IFERROR(__xludf.DUMMYFUNCTION("""COMPUTED_VALUE"""),450000.0)</f>
        <v>450000</v>
      </c>
      <c r="AN68" s="42">
        <f>IFERROR(__xludf.DUMMYFUNCTION("""COMPUTED_VALUE"""),450000.0)</f>
        <v>450000</v>
      </c>
      <c r="AO68" s="43"/>
      <c r="AP68" s="42">
        <f>IFERROR(__xludf.DUMMYFUNCTION("""COMPUTED_VALUE"""),500000.0)</f>
        <v>500000</v>
      </c>
      <c r="AQ68" s="42"/>
      <c r="AR68" s="42"/>
      <c r="AS68" s="43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IFERROR(__xludf.DUMMYFUNCTION("""COMPUTED_VALUE"""),1350000.0)</f>
        <v>1350000</v>
      </c>
      <c r="BD68" s="43">
        <f>IFERROR(__xludf.DUMMYFUNCTION("""COMPUTED_VALUE"""),500000.0)</f>
        <v>500000</v>
      </c>
      <c r="BE68" s="43">
        <f>IFERROR(__xludf.DUMMYFUNCTION("""COMPUTED_VALUE"""),0.0)</f>
        <v>0</v>
      </c>
      <c r="BF68" s="44">
        <f>IFERROR(__xludf.DUMMYFUNCTION("""COMPUTED_VALUE"""),1850000.0)</f>
        <v>1850000</v>
      </c>
      <c r="BG68" s="56"/>
      <c r="BH68" s="56"/>
      <c r="BI68" s="5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</row>
    <row r="69">
      <c r="A69" s="47">
        <f>IFERROR(__xludf.DUMMYFUNCTION("""COMPUTED_VALUE"""),68.0)</f>
        <v>68</v>
      </c>
      <c r="B69" s="48" t="str">
        <f>IFERROR(__xludf.DUMMYFUNCTION("""COMPUTED_VALUE"""),"RIZKY YUSUF MAULANA")</f>
        <v>RIZKY YUSUF MAULANA</v>
      </c>
      <c r="C69" s="49">
        <f>IFERROR(__xludf.DUMMYFUNCTION("""COMPUTED_VALUE"""),2.024070453E9)</f>
        <v>2024070453</v>
      </c>
      <c r="D69" s="48" t="str">
        <f>IFERROR(__xludf.DUMMYFUNCTION("""COMPUTED_VALUE"""),"M. CATUR PRAWOTO")</f>
        <v>M. CATUR PRAWOTO</v>
      </c>
      <c r="E69" s="48" t="str">
        <f>IFERROR(__xludf.DUMMYFUNCTION("""COMPUTED_VALUE"""),"SRI KUSTINIAH")</f>
        <v>SRI KUSTINIAH</v>
      </c>
      <c r="F69" s="48" t="str">
        <f>IFERROR(__xludf.DUMMYFUNCTION("""COMPUTED_VALUE"""),"TEJOASRI RT 003 RW 005 LAREN LAMONGAN")</f>
        <v>TEJOASRI RT 003 RW 005 LAREN LAMONGAN</v>
      </c>
      <c r="G69" s="50" t="str">
        <f>IFERROR(__xludf.DUMMYFUNCTION("""COMPUTED_VALUE"""),"MTS-9 E")</f>
        <v>MTS-9 E</v>
      </c>
      <c r="H69" s="47" t="str">
        <f>IFERROR(__xludf.DUMMYFUNCTION("""COMPUTED_VALUE"""),"A")</f>
        <v>A</v>
      </c>
      <c r="I69" s="51" t="str">
        <f>IFERROR(__xludf.DUMMYFUNCTION("""COMPUTED_VALUE"""),"A-7")</f>
        <v>A-7</v>
      </c>
      <c r="J69" s="51">
        <f>IFERROR(__xludf.DUMMYFUNCTION("""COMPUTED_VALUE"""),3.0)</f>
        <v>3</v>
      </c>
      <c r="K69" s="51" t="str">
        <f>IFERROR(__xludf.DUMMYFUNCTION("""COMPUTED_VALUE"""),"3 ULA A PUTRA")</f>
        <v>3 ULA A PUTRA</v>
      </c>
      <c r="L69" s="50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>
        <f>IFERROR(__xludf.DUMMYFUNCTION("""COMPUTED_VALUE"""),500000.0)</f>
        <v>500000</v>
      </c>
      <c r="AC69" s="53"/>
      <c r="AD69" s="53"/>
      <c r="AE69" s="53"/>
      <c r="AF69" s="53"/>
      <c r="AG69" s="53"/>
      <c r="AH69" s="53">
        <f>IFERROR(__xludf.DUMMYFUNCTION("""COMPUTED_VALUE"""),450000.0)</f>
        <v>450000</v>
      </c>
      <c r="AI69" s="53">
        <f>IFERROR(__xludf.DUMMYFUNCTION("""COMPUTED_VALUE"""),450000.0)</f>
        <v>450000</v>
      </c>
      <c r="AJ69" s="53">
        <f>IFERROR(__xludf.DUMMYFUNCTION("""COMPUTED_VALUE"""),450000.0)</f>
        <v>450000</v>
      </c>
      <c r="AK69" s="53">
        <f>IFERROR(__xludf.DUMMYFUNCTION("""COMPUTED_VALUE"""),450000.0)</f>
        <v>450000</v>
      </c>
      <c r="AL69" s="53">
        <f>IFERROR(__xludf.DUMMYFUNCTION("""COMPUTED_VALUE"""),450000.0)</f>
        <v>450000</v>
      </c>
      <c r="AM69" s="53">
        <f>IFERROR(__xludf.DUMMYFUNCTION("""COMPUTED_VALUE"""),450000.0)</f>
        <v>450000</v>
      </c>
      <c r="AN69" s="53">
        <f>IFERROR(__xludf.DUMMYFUNCTION("""COMPUTED_VALUE"""),450000.0)</f>
        <v>450000</v>
      </c>
      <c r="AO69" s="53"/>
      <c r="AP69" s="53">
        <f>IFERROR(__xludf.DUMMYFUNCTION("""COMPUTED_VALUE"""),500000.0)</f>
        <v>500000</v>
      </c>
      <c r="AQ69" s="53"/>
      <c r="AR69" s="53"/>
      <c r="AS69" s="54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7"/>
      <c r="BH69" s="57"/>
      <c r="BI69" s="57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</row>
    <row r="70">
      <c r="A70" s="36">
        <f>IFERROR(__xludf.DUMMYFUNCTION("""COMPUTED_VALUE"""),69.0)</f>
        <v>69</v>
      </c>
      <c r="B70" s="37" t="str">
        <f>IFERROR(__xludf.DUMMYFUNCTION("""COMPUTED_VALUE"""),"SAHRUL DICKY ARDIANSYAH")</f>
        <v>SAHRUL DICKY ARDIANSYAH</v>
      </c>
      <c r="C70" s="38">
        <f>IFERROR(__xludf.DUMMYFUNCTION("""COMPUTED_VALUE"""),2.024070616E9)</f>
        <v>2024070616</v>
      </c>
      <c r="D70" s="37" t="str">
        <f>IFERROR(__xludf.DUMMYFUNCTION("""COMPUTED_VALUE"""),"NUR SALIM")</f>
        <v>NUR SALIM</v>
      </c>
      <c r="E70" s="37" t="str">
        <f>IFERROR(__xludf.DUMMYFUNCTION("""COMPUTED_VALUE"""),"MASRIFAH")</f>
        <v>MASRIFAH</v>
      </c>
      <c r="F70" s="37" t="str">
        <f>IFERROR(__xludf.DUMMYFUNCTION("""COMPUTED_VALUE"""),"GLUMO JELAKCATUR RT 002 RW 005 KALITENGAH LAMONGAN")</f>
        <v>GLUMO JELAKCATUR RT 002 RW 005 KALITENGAH LAMONGAN</v>
      </c>
      <c r="G70" s="39" t="str">
        <f>IFERROR(__xludf.DUMMYFUNCTION("""COMPUTED_VALUE"""),"MTS-9 E")</f>
        <v>MTS-9 E</v>
      </c>
      <c r="H70" s="36" t="str">
        <f>IFERROR(__xludf.DUMMYFUNCTION("""COMPUTED_VALUE"""),"A")</f>
        <v>A</v>
      </c>
      <c r="I70" s="40" t="str">
        <f>IFERROR(__xludf.DUMMYFUNCTION("""COMPUTED_VALUE"""),"A-7")</f>
        <v>A-7</v>
      </c>
      <c r="J70" s="40">
        <f>IFERROR(__xludf.DUMMYFUNCTION("""COMPUTED_VALUE"""),3.0)</f>
        <v>3</v>
      </c>
      <c r="K70" s="40" t="str">
        <f>IFERROR(__xludf.DUMMYFUNCTION("""COMPUTED_VALUE"""),"3 ULA B PUTRA")</f>
        <v>3 ULA B PUTRA</v>
      </c>
      <c r="L70" s="39" t="str">
        <f>IFERROR(__xludf.DUMMYFUNCTION("""COMPUTED_VALUE"""),"6285645276494")</f>
        <v>6285645276494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>
        <f>IFERROR(__xludf.DUMMYFUNCTION("""COMPUTED_VALUE"""),500000.0)</f>
        <v>500000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>
        <f>IFERROR(__xludf.DUMMYFUNCTION("""COMPUTED_VALUE"""),450000.0)</f>
        <v>450000</v>
      </c>
      <c r="AN70" s="42">
        <f>IFERROR(__xludf.DUMMYFUNCTION("""COMPUTED_VALUE"""),450000.0)</f>
        <v>450000</v>
      </c>
      <c r="AO70" s="42"/>
      <c r="AP70" s="42">
        <f>IFERROR(__xludf.DUMMYFUNCTION("""COMPUTED_VALUE"""),500000.0)</f>
        <v>500000</v>
      </c>
      <c r="AQ70" s="42"/>
      <c r="AR70" s="42"/>
      <c r="AS70" s="43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IFERROR(__xludf.DUMMYFUNCTION("""COMPUTED_VALUE"""),900000.0)</f>
        <v>900000</v>
      </c>
      <c r="BD70" s="43">
        <f>IFERROR(__xludf.DUMMYFUNCTION("""COMPUTED_VALUE"""),1000000.0)</f>
        <v>1000000</v>
      </c>
      <c r="BE70" s="43">
        <f>IFERROR(__xludf.DUMMYFUNCTION("""COMPUTED_VALUE"""),0.0)</f>
        <v>0</v>
      </c>
      <c r="BF70" s="44">
        <f>IFERROR(__xludf.DUMMYFUNCTION("""COMPUTED_VALUE"""),1900000.0)</f>
        <v>1900000</v>
      </c>
      <c r="BG70" s="56"/>
      <c r="BH70" s="56"/>
      <c r="BI70" s="5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</row>
    <row r="71">
      <c r="A71" s="47">
        <f>IFERROR(__xludf.DUMMYFUNCTION("""COMPUTED_VALUE"""),70.0)</f>
        <v>70</v>
      </c>
      <c r="B71" s="48" t="str">
        <f>IFERROR(__xludf.DUMMYFUNCTION("""COMPUTED_VALUE"""),"ZIDNY ILMAN NAFI`")</f>
        <v>ZIDNY ILMAN NAFI`</v>
      </c>
      <c r="C71" s="49">
        <f>IFERROR(__xludf.DUMMYFUNCTION("""COMPUTED_VALUE"""),2.024070741E9)</f>
        <v>2024070741</v>
      </c>
      <c r="D71" s="48" t="str">
        <f>IFERROR(__xludf.DUMMYFUNCTION("""COMPUTED_VALUE"""),"ABD. ROUF")</f>
        <v>ABD. ROUF</v>
      </c>
      <c r="E71" s="48" t="str">
        <f>IFERROR(__xludf.DUMMYFUNCTION("""COMPUTED_VALUE"""),"CHOLIFATUS SIYADAH")</f>
        <v>CHOLIFATUS SIYADAH</v>
      </c>
      <c r="F71" s="48" t="str">
        <f>IFERROR(__xludf.DUMMYFUNCTION("""COMPUTED_VALUE"""),"TANGGULREJO UTARA RT 005 RW 001 MANYAR GRESIK")</f>
        <v>TANGGULREJO UTARA RT 005 RW 001 MANYAR GRESIK</v>
      </c>
      <c r="G71" s="49" t="str">
        <f>IFERROR(__xludf.DUMMYFUNCTION("""COMPUTED_VALUE"""),"SMP-IX A")</f>
        <v>SMP-IX A</v>
      </c>
      <c r="H71" s="47" t="str">
        <f>IFERROR(__xludf.DUMMYFUNCTION("""COMPUTED_VALUE"""),"A")</f>
        <v>A</v>
      </c>
      <c r="I71" s="51" t="str">
        <f>IFERROR(__xludf.DUMMYFUNCTION("""COMPUTED_VALUE"""),"A-8")</f>
        <v>A-8</v>
      </c>
      <c r="J71" s="51">
        <f>IFERROR(__xludf.DUMMYFUNCTION("""COMPUTED_VALUE"""),3.0)</f>
        <v>3</v>
      </c>
      <c r="K71" s="51" t="str">
        <f>IFERROR(__xludf.DUMMYFUNCTION("""COMPUTED_VALUE"""),"3 ULA B PUTRA")</f>
        <v>3 ULA B PUTRA</v>
      </c>
      <c r="L71" s="50" t="str">
        <f>IFERROR(__xludf.DUMMYFUNCTION("""COMPUTED_VALUE"""),"6281230961334")</f>
        <v>6281230961334</v>
      </c>
      <c r="M71" s="54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7"/>
      <c r="BH71" s="57"/>
      <c r="BI71" s="57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</row>
    <row r="72">
      <c r="A72" s="36">
        <f>IFERROR(__xludf.DUMMYFUNCTION("""COMPUTED_VALUE"""),71.0)</f>
        <v>71</v>
      </c>
      <c r="B72" s="37" t="str">
        <f>IFERROR(__xludf.DUMMYFUNCTION("""COMPUTED_VALUE"""),"AHMAD AGUS JAZULI IRFAN")</f>
        <v>AHMAD AGUS JAZULI IRFAN</v>
      </c>
      <c r="C72" s="38">
        <f>IFERROR(__xludf.DUMMYFUNCTION("""COMPUTED_VALUE"""),2.024070719E9)</f>
        <v>2024070719</v>
      </c>
      <c r="D72" s="37" t="str">
        <f>IFERROR(__xludf.DUMMYFUNCTION("""COMPUTED_VALUE"""),"IRFANDI")</f>
        <v>IRFANDI</v>
      </c>
      <c r="E72" s="37" t="str">
        <f>IFERROR(__xludf.DUMMYFUNCTION("""COMPUTED_VALUE"""),"IMROATIN JALILAH")</f>
        <v>IMROATIN JALILAH</v>
      </c>
      <c r="F72" s="37" t="str">
        <f>IFERROR(__xludf.DUMMYFUNCTION("""COMPUTED_VALUE"""),"BOJOASRI RT  RW  KALITENGAH LAMONGAN")</f>
        <v>BOJOASRI RT  RW  KALITENGAH LAMONGAN</v>
      </c>
      <c r="G72" s="38" t="str">
        <f>IFERROR(__xludf.DUMMYFUNCTION("""COMPUTED_VALUE"""),"SMK-XII TKJ 1")</f>
        <v>SMK-XII TKJ 1</v>
      </c>
      <c r="H72" s="36" t="str">
        <f>IFERROR(__xludf.DUMMYFUNCTION("""COMPUTED_VALUE"""),"A")</f>
        <v>A</v>
      </c>
      <c r="I72" s="40" t="str">
        <f>IFERROR(__xludf.DUMMYFUNCTION("""COMPUTED_VALUE"""),"A-10")</f>
        <v>A-10</v>
      </c>
      <c r="J72" s="40">
        <f>IFERROR(__xludf.DUMMYFUNCTION("""COMPUTED_VALUE"""),3.0)</f>
        <v>3</v>
      </c>
      <c r="K72" s="40" t="str">
        <f>IFERROR(__xludf.DUMMYFUNCTION("""COMPUTED_VALUE"""),"3 WUSTHO PUTRA")</f>
        <v>3 WUSTHO PUTRA</v>
      </c>
      <c r="L72" s="39" t="str">
        <f>IFERROR(__xludf.DUMMYFUNCTION("""COMPUTED_VALUE"""),"6285648607075")</f>
        <v>6285648607075</v>
      </c>
      <c r="M72" s="4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3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3">
        <f>IFERROR(__xludf.DUMMYFUNCTION("""COMPUTED_VALUE"""),450000.0)</f>
        <v>450000</v>
      </c>
      <c r="AN72" s="43">
        <f>IFERROR(__xludf.DUMMYFUNCTION("""COMPUTED_VALUE"""),450000.0)</f>
        <v>450000</v>
      </c>
      <c r="AO72" s="43"/>
      <c r="AP72" s="43"/>
      <c r="AQ72" s="43"/>
      <c r="AR72" s="43"/>
      <c r="AS72" s="43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IFERROR(__xludf.DUMMYFUNCTION("""COMPUTED_VALUE"""),900000.0)</f>
        <v>900000</v>
      </c>
      <c r="BD72" s="43">
        <f>IFERROR(__xludf.DUMMYFUNCTION("""COMPUTED_VALUE"""),0.0)</f>
        <v>0</v>
      </c>
      <c r="BE72" s="43">
        <f>IFERROR(__xludf.DUMMYFUNCTION("""COMPUTED_VALUE"""),0.0)</f>
        <v>0</v>
      </c>
      <c r="BF72" s="44">
        <f>IFERROR(__xludf.DUMMYFUNCTION("""COMPUTED_VALUE"""),900000.0)</f>
        <v>900000</v>
      </c>
      <c r="BG72" s="56"/>
      <c r="BH72" s="56"/>
      <c r="BI72" s="5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</row>
    <row r="73">
      <c r="A73" s="47">
        <f>IFERROR(__xludf.DUMMYFUNCTION("""COMPUTED_VALUE"""),72.0)</f>
        <v>72</v>
      </c>
      <c r="B73" s="48" t="str">
        <f>IFERROR(__xludf.DUMMYFUNCTION("""COMPUTED_VALUE"""),"AHMAD GUTI JAELANI")</f>
        <v>AHMAD GUTI JAELANI</v>
      </c>
      <c r="C73" s="49">
        <f>IFERROR(__xludf.DUMMYFUNCTION("""COMPUTED_VALUE"""),2.02407006E9)</f>
        <v>2024070060</v>
      </c>
      <c r="D73" s="48" t="str">
        <f>IFERROR(__xludf.DUMMYFUNCTION("""COMPUTED_VALUE"""),"AGUNG JAZULI")</f>
        <v>AGUNG JAZULI</v>
      </c>
      <c r="E73" s="48" t="str">
        <f>IFERROR(__xludf.DUMMYFUNCTION("""COMPUTED_VALUE"""),"SITI MA`RUFAH")</f>
        <v>SITI MA`RUFAH</v>
      </c>
      <c r="F73" s="48" t="str">
        <f>IFERROR(__xludf.DUMMYFUNCTION("""COMPUTED_VALUE"""),"MADURAN RT 5 RW 2 MADURAN LAMONGAN")</f>
        <v>MADURAN RT 5 RW 2 MADURAN LAMONGAN</v>
      </c>
      <c r="G73" s="49" t="str">
        <f>IFERROR(__xludf.DUMMYFUNCTION("""COMPUTED_VALUE"""),"MA-XII.3")</f>
        <v>MA-XII.3</v>
      </c>
      <c r="H73" s="47" t="str">
        <f>IFERROR(__xludf.DUMMYFUNCTION("""COMPUTED_VALUE"""),"A")</f>
        <v>A</v>
      </c>
      <c r="I73" s="53" t="str">
        <f>IFERROR(__xludf.DUMMYFUNCTION("""COMPUTED_VALUE"""),"A-10")</f>
        <v>A-10</v>
      </c>
      <c r="J73" s="51">
        <f>IFERROR(__xludf.DUMMYFUNCTION("""COMPUTED_VALUE"""),3.0)</f>
        <v>3</v>
      </c>
      <c r="K73" s="51" t="str">
        <f>IFERROR(__xludf.DUMMYFUNCTION("""COMPUTED_VALUE"""),"3 WUSTHO PUTRA")</f>
        <v>3 WUSTHO PUTRA</v>
      </c>
      <c r="L73" s="50" t="str">
        <f>IFERROR(__xludf.DUMMYFUNCTION("""COMPUTED_VALUE"""),"6285646030802")</f>
        <v>6285646030802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>
        <f>IFERROR(__xludf.DUMMYFUNCTION("""COMPUTED_VALUE"""),450000.0)</f>
        <v>450000</v>
      </c>
      <c r="Y73" s="53">
        <f>IFERROR(__xludf.DUMMYFUNCTION("""COMPUTED_VALUE"""),450000.0)</f>
        <v>450000</v>
      </c>
      <c r="Z73" s="53">
        <f>IFERROR(__xludf.DUMMYFUNCTION("""COMPUTED_VALUE"""),450000.0)</f>
        <v>450000</v>
      </c>
      <c r="AA73" s="53"/>
      <c r="AB73" s="53"/>
      <c r="AC73" s="53">
        <f>IFERROR(__xludf.DUMMYFUNCTION("""COMPUTED_VALUE"""),450000.0)</f>
        <v>450000</v>
      </c>
      <c r="AD73" s="53">
        <f>IFERROR(__xludf.DUMMYFUNCTION("""COMPUTED_VALUE"""),450000.0)</f>
        <v>450000</v>
      </c>
      <c r="AE73" s="53">
        <f>IFERROR(__xludf.DUMMYFUNCTION("""COMPUTED_VALUE"""),450000.0)</f>
        <v>450000</v>
      </c>
      <c r="AF73" s="53">
        <f>IFERROR(__xludf.DUMMYFUNCTION("""COMPUTED_VALUE"""),450000.0)</f>
        <v>450000</v>
      </c>
      <c r="AG73" s="53">
        <f>IFERROR(__xludf.DUMMYFUNCTION("""COMPUTED_VALUE"""),450000.0)</f>
        <v>450000</v>
      </c>
      <c r="AH73" s="53">
        <f>IFERROR(__xludf.DUMMYFUNCTION("""COMPUTED_VALUE"""),450000.0)</f>
        <v>450000</v>
      </c>
      <c r="AI73" s="53">
        <f>IFERROR(__xludf.DUMMYFUNCTION("""COMPUTED_VALUE"""),450000.0)</f>
        <v>450000</v>
      </c>
      <c r="AJ73" s="53">
        <f>IFERROR(__xludf.DUMMYFUNCTION("""COMPUTED_VALUE"""),450000.0)</f>
        <v>450000</v>
      </c>
      <c r="AK73" s="53">
        <f>IFERROR(__xludf.DUMMYFUNCTION("""COMPUTED_VALUE"""),450000.0)</f>
        <v>450000</v>
      </c>
      <c r="AL73" s="53">
        <f>IFERROR(__xludf.DUMMYFUNCTION("""COMPUTED_VALUE"""),450000.0)</f>
        <v>450000</v>
      </c>
      <c r="AM73" s="53">
        <f>IFERROR(__xludf.DUMMYFUNCTION("""COMPUTED_VALUE"""),450000.0)</f>
        <v>450000</v>
      </c>
      <c r="AN73" s="53">
        <f>IFERROR(__xludf.DUMMYFUNCTION("""COMPUTED_VALUE"""),450000.0)</f>
        <v>450000</v>
      </c>
      <c r="AO73" s="54"/>
      <c r="AP73" s="53"/>
      <c r="AQ73" s="54"/>
      <c r="AR73" s="54"/>
      <c r="AS73" s="54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IFERROR(__xludf.DUMMYFUNCTION("""COMPUTED_VALUE"""),6750000.0)</f>
        <v>6750000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IFERROR(__xludf.DUMMYFUNCTION("""COMPUTED_VALUE"""),6750000.0)</f>
        <v>6750000</v>
      </c>
      <c r="BG73" s="57"/>
      <c r="BH73" s="57"/>
      <c r="BI73" s="57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</row>
    <row r="74">
      <c r="A74" s="36">
        <f>IFERROR(__xludf.DUMMYFUNCTION("""COMPUTED_VALUE"""),73.0)</f>
        <v>73</v>
      </c>
      <c r="B74" s="37" t="str">
        <f>IFERROR(__xludf.DUMMYFUNCTION("""COMPUTED_VALUE"""),"AHMAD MANSYAUL HIKAMI")</f>
        <v>AHMAD MANSYAUL HIKAMI</v>
      </c>
      <c r="C74" s="38">
        <f>IFERROR(__xludf.DUMMYFUNCTION("""COMPUTED_VALUE"""),2.024070402E9)</f>
        <v>2024070402</v>
      </c>
      <c r="D74" s="37" t="str">
        <f>IFERROR(__xludf.DUMMYFUNCTION("""COMPUTED_VALUE"""),"LUQMAN HAKIM")</f>
        <v>LUQMAN HAKIM</v>
      </c>
      <c r="E74" s="37" t="str">
        <f>IFERROR(__xludf.DUMMYFUNCTION("""COMPUTED_VALUE"""),"KHOIRIYAH")</f>
        <v>KHOIRIYAH</v>
      </c>
      <c r="F74" s="37" t="str">
        <f>IFERROR(__xludf.DUMMYFUNCTION("""COMPUTED_VALUE"""),"MAYONG NGABLAK RT 1 RW 2 KARANGBINANGUN LAMONGAN")</f>
        <v>MAYONG NGABLAK RT 1 RW 2 KARANGBINANGUN LAMONGAN</v>
      </c>
      <c r="G74" s="38" t="str">
        <f>IFERROR(__xludf.DUMMYFUNCTION("""COMPUTED_VALUE"""),"MA-XII.9")</f>
        <v>MA-XII.9</v>
      </c>
      <c r="H74" s="36" t="str">
        <f>IFERROR(__xludf.DUMMYFUNCTION("""COMPUTED_VALUE"""),"A")</f>
        <v>A</v>
      </c>
      <c r="I74" s="40" t="str">
        <f>IFERROR(__xludf.DUMMYFUNCTION("""COMPUTED_VALUE"""),"A-10")</f>
        <v>A-10</v>
      </c>
      <c r="J74" s="40">
        <f>IFERROR(__xludf.DUMMYFUNCTION("""COMPUTED_VALUE"""),3.0)</f>
        <v>3</v>
      </c>
      <c r="K74" s="40" t="str">
        <f>IFERROR(__xludf.DUMMYFUNCTION("""COMPUTED_VALUE"""),"3 WUSTHO PUTRA")</f>
        <v>3 WUSTHO PUTRA</v>
      </c>
      <c r="L74" s="39" t="str">
        <f>IFERROR(__xludf.DUMMYFUNCTION("""COMPUTED_VALUE"""),"6285852940999")</f>
        <v>6285852940999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3"/>
      <c r="AP74" s="42"/>
      <c r="AQ74" s="42"/>
      <c r="AR74" s="42"/>
      <c r="AS74" s="43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IFERROR(__xludf.DUMMYFUNCTION("""COMPUTED_VALUE"""),0.0)</f>
        <v>0</v>
      </c>
      <c r="BD74" s="43">
        <f>IFERROR(__xludf.DUMMYFUNCTION("""COMPUTED_VALUE"""),0.0)</f>
        <v>0</v>
      </c>
      <c r="BE74" s="43">
        <f>IFERROR(__xludf.DUMMYFUNCTION("""COMPUTED_VALUE"""),0.0)</f>
        <v>0</v>
      </c>
      <c r="BF74" s="44">
        <f>IFERROR(__xludf.DUMMYFUNCTION("""COMPUTED_VALUE"""),0.0)</f>
        <v>0</v>
      </c>
      <c r="BG74" s="56"/>
      <c r="BH74" s="56"/>
      <c r="BI74" s="5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</row>
    <row r="75">
      <c r="A75" s="47">
        <f>IFERROR(__xludf.DUMMYFUNCTION("""COMPUTED_VALUE"""),74.0)</f>
        <v>74</v>
      </c>
      <c r="B75" s="48" t="str">
        <f>IFERROR(__xludf.DUMMYFUNCTION("""COMPUTED_VALUE"""),"AHMAD NUR FAJAR ROMADHONI")</f>
        <v>AHMAD NUR FAJAR ROMADHONI</v>
      </c>
      <c r="C75" s="49">
        <f>IFERROR(__xludf.DUMMYFUNCTION("""COMPUTED_VALUE"""),2.024070403E9)</f>
        <v>2024070403</v>
      </c>
      <c r="D75" s="48" t="str">
        <f>IFERROR(__xludf.DUMMYFUNCTION("""COMPUTED_VALUE"""),"SAMULI")</f>
        <v>SAMULI</v>
      </c>
      <c r="E75" s="48" t="str">
        <f>IFERROR(__xludf.DUMMYFUNCTION("""COMPUTED_VALUE"""),"SITI ULFAH")</f>
        <v>SITI ULFAH</v>
      </c>
      <c r="F75" s="48" t="str">
        <f>IFERROR(__xludf.DUMMYFUNCTION("""COMPUTED_VALUE"""),"GENDONG RT 002 RW 004 LAREN LAMONGAN")</f>
        <v>GENDONG RT 002 RW 004 LAREN LAMONGAN</v>
      </c>
      <c r="G75" s="49" t="str">
        <f>IFERROR(__xludf.DUMMYFUNCTION("""COMPUTED_VALUE"""),"MA-XII.13")</f>
        <v>MA-XII.13</v>
      </c>
      <c r="H75" s="47" t="str">
        <f>IFERROR(__xludf.DUMMYFUNCTION("""COMPUTED_VALUE"""),"A")</f>
        <v>A</v>
      </c>
      <c r="I75" s="51" t="str">
        <f>IFERROR(__xludf.DUMMYFUNCTION("""COMPUTED_VALUE"""),"A-2")</f>
        <v>A-2</v>
      </c>
      <c r="J75" s="51">
        <f>IFERROR(__xludf.DUMMYFUNCTION("""COMPUTED_VALUE"""),3.0)</f>
        <v>3</v>
      </c>
      <c r="K75" s="51" t="str">
        <f>IFERROR(__xludf.DUMMYFUNCTION("""COMPUTED_VALUE"""),"3 MAK PUTRA")</f>
        <v>3 MAK PUTRA</v>
      </c>
      <c r="L75" s="50" t="str">
        <f>IFERROR(__xludf.DUMMYFUNCTION("""COMPUTED_VALUE"""),"685736441139")</f>
        <v>685736441139</v>
      </c>
      <c r="M75" s="53"/>
      <c r="N75" s="53"/>
      <c r="O75" s="53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7"/>
      <c r="BH75" s="57"/>
      <c r="BI75" s="57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</row>
    <row r="76">
      <c r="A76" s="36">
        <f>IFERROR(__xludf.DUMMYFUNCTION("""COMPUTED_VALUE"""),75.0)</f>
        <v>75</v>
      </c>
      <c r="B76" s="37" t="str">
        <f>IFERROR(__xludf.DUMMYFUNCTION("""COMPUTED_VALUE"""),"AKHMAD FATIKHUL IN`AM")</f>
        <v>AKHMAD FATIKHUL IN`AM</v>
      </c>
      <c r="C76" s="38">
        <f>IFERROR(__xludf.DUMMYFUNCTION("""COMPUTED_VALUE"""),2.024070404E9)</f>
        <v>2024070404</v>
      </c>
      <c r="D76" s="37" t="str">
        <f>IFERROR(__xludf.DUMMYFUNCTION("""COMPUTED_VALUE"""),"ACH. SAEKAN")</f>
        <v>ACH. SAEKAN</v>
      </c>
      <c r="E76" s="37" t="str">
        <f>IFERROR(__xludf.DUMMYFUNCTION("""COMPUTED_VALUE"""),"NURUL MUTHOHAROH")</f>
        <v>NURUL MUTHOHAROH</v>
      </c>
      <c r="F76" s="37" t="str">
        <f>IFERROR(__xludf.DUMMYFUNCTION("""COMPUTED_VALUE"""),"LUMBER KALIPANG RT 001 RW 001 SUGIO LAMONGAN")</f>
        <v>LUMBER KALIPANG RT 001 RW 001 SUGIO LAMONGAN</v>
      </c>
      <c r="G76" s="38" t="str">
        <f>IFERROR(__xludf.DUMMYFUNCTION("""COMPUTED_VALUE"""),"MA-XII.13")</f>
        <v>MA-XII.13</v>
      </c>
      <c r="H76" s="36" t="str">
        <f>IFERROR(__xludf.DUMMYFUNCTION("""COMPUTED_VALUE"""),"A")</f>
        <v>A</v>
      </c>
      <c r="I76" s="40" t="str">
        <f>IFERROR(__xludf.DUMMYFUNCTION("""COMPUTED_VALUE"""),"A-2")</f>
        <v>A-2</v>
      </c>
      <c r="J76" s="40">
        <f>IFERROR(__xludf.DUMMYFUNCTION("""COMPUTED_VALUE"""),3.0)</f>
        <v>3</v>
      </c>
      <c r="K76" s="40" t="str">
        <f>IFERROR(__xludf.DUMMYFUNCTION("""COMPUTED_VALUE"""),"3 MAK PUTRA")</f>
        <v>3 MAK PUTRA</v>
      </c>
      <c r="L76" s="39" t="str">
        <f>IFERROR(__xludf.DUMMYFUNCTION("""COMPUTED_VALUE"""),"6285645455467")</f>
        <v>6285645455467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3"/>
      <c r="AP76" s="42"/>
      <c r="AQ76" s="43"/>
      <c r="AR76" s="43"/>
      <c r="AS76" s="43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IFERROR(__xludf.DUMMYFUNCTION("""COMPUTED_VALUE"""),0.0)</f>
        <v>0</v>
      </c>
      <c r="BE76" s="43">
        <f>IFERROR(__xludf.DUMMYFUNCTION("""COMPUTED_VALUE"""),0.0)</f>
        <v>0</v>
      </c>
      <c r="BF76" s="44">
        <f>IFERROR(__xludf.DUMMYFUNCTION("""COMPUTED_VALUE"""),0.0)</f>
        <v>0</v>
      </c>
      <c r="BG76" s="56"/>
      <c r="BH76" s="56"/>
      <c r="BI76" s="5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</row>
    <row r="77">
      <c r="A77" s="47">
        <f>IFERROR(__xludf.DUMMYFUNCTION("""COMPUTED_VALUE"""),76.0)</f>
        <v>76</v>
      </c>
      <c r="B77" s="48" t="str">
        <f>IFERROR(__xludf.DUMMYFUNCTION("""COMPUTED_VALUE"""),"AZKA YAFIS FIRMANSYAH")</f>
        <v>AZKA YAFIS FIRMANSYAH</v>
      </c>
      <c r="C77" s="49">
        <f>IFERROR(__xludf.DUMMYFUNCTION("""COMPUTED_VALUE"""),2.024070306E9)</f>
        <v>2024070306</v>
      </c>
      <c r="D77" s="48" t="str">
        <f>IFERROR(__xludf.DUMMYFUNCTION("""COMPUTED_VALUE"""),"AFAN ARIS")</f>
        <v>AFAN ARIS</v>
      </c>
      <c r="E77" s="48" t="str">
        <f>IFERROR(__xludf.DUMMYFUNCTION("""COMPUTED_VALUE"""),"ISWATI")</f>
        <v>ISWATI</v>
      </c>
      <c r="F77" s="48" t="str">
        <f>IFERROR(__xludf.DUMMYFUNCTION("""COMPUTED_VALUE"""),"WIDHE SENDANGHARJO RT 006 RW 001 BRONDONG LAMONGAN")</f>
        <v>WIDHE SENDANGHARJO RT 006 RW 001 BRONDONG LAMONGAN</v>
      </c>
      <c r="G77" s="49" t="str">
        <f>IFERROR(__xludf.DUMMYFUNCTION("""COMPUTED_VALUE"""),"MA-XII.10")</f>
        <v>MA-XII.10</v>
      </c>
      <c r="H77" s="47" t="str">
        <f>IFERROR(__xludf.DUMMYFUNCTION("""COMPUTED_VALUE"""),"A")</f>
        <v>A</v>
      </c>
      <c r="I77" s="51" t="str">
        <f>IFERROR(__xludf.DUMMYFUNCTION("""COMPUTED_VALUE"""),"A-10")</f>
        <v>A-10</v>
      </c>
      <c r="J77" s="51">
        <f>IFERROR(__xludf.DUMMYFUNCTION("""COMPUTED_VALUE"""),3.0)</f>
        <v>3</v>
      </c>
      <c r="K77" s="51" t="str">
        <f>IFERROR(__xludf.DUMMYFUNCTION("""COMPUTED_VALUE"""),"3 WUSTHO PUTRA")</f>
        <v>3 WUSTHO PUTRA</v>
      </c>
      <c r="L77" s="61" t="str">
        <f>IFERROR(__xludf.DUMMYFUNCTION("""COMPUTED_VALUE"""),"628585028102")</f>
        <v>628585028102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4"/>
      <c r="AS77" s="54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IFERROR(__xludf.DUMMYFUNCTION("""COMPUTED_VALUE"""),0.0)</f>
        <v>0</v>
      </c>
      <c r="BD77" s="54">
        <f>IFERROR(__xludf.DUMMYFUNCTION("""COMPUTED_VALUE"""),0.0)</f>
        <v>0</v>
      </c>
      <c r="BE77" s="54">
        <f>IFERROR(__xludf.DUMMYFUNCTION("""COMPUTED_VALUE"""),0.0)</f>
        <v>0</v>
      </c>
      <c r="BF77" s="55">
        <f>IFERROR(__xludf.DUMMYFUNCTION("""COMPUTED_VALUE"""),0.0)</f>
        <v>0</v>
      </c>
      <c r="BG77" s="57"/>
      <c r="BH77" s="57"/>
      <c r="BI77" s="57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</row>
    <row r="78">
      <c r="A78" s="36">
        <f>IFERROR(__xludf.DUMMYFUNCTION("""COMPUTED_VALUE"""),77.0)</f>
        <v>77</v>
      </c>
      <c r="B78" s="37" t="str">
        <f>IFERROR(__xludf.DUMMYFUNCTION("""COMPUTED_VALUE"""),"IMAM ALI SAMUDRA ARIF")</f>
        <v>IMAM ALI SAMUDRA ARIF</v>
      </c>
      <c r="C78" s="38">
        <f>IFERROR(__xludf.DUMMYFUNCTION("""COMPUTED_VALUE"""),2.024070135E9)</f>
        <v>2024070135</v>
      </c>
      <c r="D78" s="37" t="str">
        <f>IFERROR(__xludf.DUMMYFUNCTION("""COMPUTED_VALUE"""),"SAIFUL ARIF")</f>
        <v>SAIFUL ARIF</v>
      </c>
      <c r="E78" s="37" t="str">
        <f>IFERROR(__xludf.DUMMYFUNCTION("""COMPUTED_VALUE"""),"AYSYYA ISLAMIAH")</f>
        <v>AYSYYA ISLAMIAH</v>
      </c>
      <c r="F78" s="37" t="str">
        <f>IFERROR(__xludf.DUMMYFUNCTION("""COMPUTED_VALUE"""),"KALITENGAH RT 1 RW 4 KALITENGAH LAMONGAN")</f>
        <v>KALITENGAH RT 1 RW 4 KALITENGAH LAMONGAN</v>
      </c>
      <c r="G78" s="38" t="str">
        <f>IFERROR(__xludf.DUMMYFUNCTION("""COMPUTED_VALUE"""),"MA-XII.7")</f>
        <v>MA-XII.7</v>
      </c>
      <c r="H78" s="36" t="str">
        <f>IFERROR(__xludf.DUMMYFUNCTION("""COMPUTED_VALUE"""),"A")</f>
        <v>A</v>
      </c>
      <c r="I78" s="40" t="str">
        <f>IFERROR(__xludf.DUMMYFUNCTION("""COMPUTED_VALUE"""),"A-10")</f>
        <v>A-10</v>
      </c>
      <c r="J78" s="40">
        <f>IFERROR(__xludf.DUMMYFUNCTION("""COMPUTED_VALUE"""),3.0)</f>
        <v>3</v>
      </c>
      <c r="K78" s="40" t="str">
        <f>IFERROR(__xludf.DUMMYFUNCTION("""COMPUTED_VALUE"""),"3 WUSTHO PUTRA")</f>
        <v>3 WUSTHO PUTRA</v>
      </c>
      <c r="L78" s="39" t="str">
        <f>IFERROR(__xludf.DUMMYFUNCTION("""COMPUTED_VALUE"""),"6285648494406")</f>
        <v>6285648494406</v>
      </c>
      <c r="M78" s="43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2"/>
      <c r="AD78" s="42"/>
      <c r="AE78" s="42"/>
      <c r="AF78" s="42"/>
      <c r="AG78" s="42"/>
      <c r="AH78" s="42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56"/>
      <c r="BH78" s="56"/>
      <c r="BI78" s="5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</row>
    <row r="79">
      <c r="A79" s="47">
        <f>IFERROR(__xludf.DUMMYFUNCTION("""COMPUTED_VALUE"""),78.0)</f>
        <v>78</v>
      </c>
      <c r="B79" s="48" t="str">
        <f>IFERROR(__xludf.DUMMYFUNCTION("""COMPUTED_VALUE"""),"IRSYAD KAHFI SOFYAN")</f>
        <v>IRSYAD KAHFI SOFYAN</v>
      </c>
      <c r="C79" s="49">
        <f>IFERROR(__xludf.DUMMYFUNCTION("""COMPUTED_VALUE"""),2.024070091E9)</f>
        <v>2024070091</v>
      </c>
      <c r="D79" s="48" t="str">
        <f>IFERROR(__xludf.DUMMYFUNCTION("""COMPUTED_VALUE"""),"AGUS SOFYAN ARIFIN")</f>
        <v>AGUS SOFYAN ARIFIN</v>
      </c>
      <c r="E79" s="48" t="str">
        <f>IFERROR(__xludf.DUMMYFUNCTION("""COMPUTED_VALUE"""),"FAIDATUN NISA'")</f>
        <v>FAIDATUN NISA'</v>
      </c>
      <c r="F79" s="48" t="str">
        <f>IFERROR(__xludf.DUMMYFUNCTION("""COMPUTED_VALUE"""),"KAUMAN REGENCY BLOK L NO. 6 RT 5 RW 9 MRANGGEN DEMAK")</f>
        <v>KAUMAN REGENCY BLOK L NO. 6 RT 5 RW 9 MRANGGEN DEMAK</v>
      </c>
      <c r="G79" s="49" t="str">
        <f>IFERROR(__xludf.DUMMYFUNCTION("""COMPUTED_VALUE"""),"MA-XII.4")</f>
        <v>MA-XII.4</v>
      </c>
      <c r="H79" s="47" t="str">
        <f>IFERROR(__xludf.DUMMYFUNCTION("""COMPUTED_VALUE"""),"A")</f>
        <v>A</v>
      </c>
      <c r="I79" s="51" t="str">
        <f>IFERROR(__xludf.DUMMYFUNCTION("""COMPUTED_VALUE"""),"A-10")</f>
        <v>A-10</v>
      </c>
      <c r="J79" s="51">
        <f>IFERROR(__xludf.DUMMYFUNCTION("""COMPUTED_VALUE"""),3.0)</f>
        <v>3</v>
      </c>
      <c r="K79" s="51" t="str">
        <f>IFERROR(__xludf.DUMMYFUNCTION("""COMPUTED_VALUE"""),"3 WUSTHO PUTRA")</f>
        <v>3 WUSTHO PUTRA</v>
      </c>
      <c r="L79" s="50" t="str">
        <f>IFERROR(__xludf.DUMMYFUNCTION("""COMPUTED_VALUE"""),"6285708222090")</f>
        <v>6285708222090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4"/>
      <c r="AS79" s="54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IFERROR(__xludf.DUMMYFUNCTION("""COMPUTED_VALUE"""),0.0)</f>
        <v>0</v>
      </c>
      <c r="BE79" s="54">
        <f>IFERROR(__xludf.DUMMYFUNCTION("""COMPUTED_VALUE"""),0.0)</f>
        <v>0</v>
      </c>
      <c r="BF79" s="55">
        <f>IFERROR(__xludf.DUMMYFUNCTION("""COMPUTED_VALUE"""),0.0)</f>
        <v>0</v>
      </c>
      <c r="BG79" s="57"/>
      <c r="BH79" s="57"/>
      <c r="BI79" s="57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</row>
    <row r="80">
      <c r="A80" s="36">
        <f>IFERROR(__xludf.DUMMYFUNCTION("""COMPUTED_VALUE"""),79.0)</f>
        <v>79</v>
      </c>
      <c r="B80" s="37" t="str">
        <f>IFERROR(__xludf.DUMMYFUNCTION("""COMPUTED_VALUE"""),"M. FAHMI ALFIYAN NURIL HAQ")</f>
        <v>M. FAHMI ALFIYAN NURIL HAQ</v>
      </c>
      <c r="C80" s="38">
        <f>IFERROR(__xludf.DUMMYFUNCTION("""COMPUTED_VALUE"""),2.024070718E9)</f>
        <v>2024070718</v>
      </c>
      <c r="D80" s="37" t="str">
        <f>IFERROR(__xludf.DUMMYFUNCTION("""COMPUTED_VALUE"""),"SUNARYO")</f>
        <v>SUNARYO</v>
      </c>
      <c r="E80" s="37" t="str">
        <f>IFERROR(__xludf.DUMMYFUNCTION("""COMPUTED_VALUE"""),"SUKARTI")</f>
        <v>SUKARTI</v>
      </c>
      <c r="F80" s="37" t="str">
        <f>IFERROR(__xludf.DUMMYFUNCTION("""COMPUTED_VALUE"""),"PLAKARAN SOMOSARI RT 3 RW 2 KALITENGAH LAMONGAN")</f>
        <v>PLAKARAN SOMOSARI RT 3 RW 2 KALITENGAH LAMONGAN</v>
      </c>
      <c r="G80" s="39" t="str">
        <f>IFERROR(__xludf.DUMMYFUNCTION("""COMPUTED_VALUE"""),"SMK-XII DKV")</f>
        <v>SMK-XII DKV</v>
      </c>
      <c r="H80" s="36" t="str">
        <f>IFERROR(__xludf.DUMMYFUNCTION("""COMPUTED_VALUE"""),"A")</f>
        <v>A</v>
      </c>
      <c r="I80" s="40" t="str">
        <f>IFERROR(__xludf.DUMMYFUNCTION("""COMPUTED_VALUE"""),"A-13")</f>
        <v>A-13</v>
      </c>
      <c r="J80" s="40">
        <f>IFERROR(__xludf.DUMMYFUNCTION("""COMPUTED_VALUE"""),3.0)</f>
        <v>3</v>
      </c>
      <c r="K80" s="40" t="str">
        <f>IFERROR(__xludf.DUMMYFUNCTION("""COMPUTED_VALUE"""),"")</f>
        <v/>
      </c>
      <c r="L80" s="39" t="str">
        <f>IFERROR(__xludf.DUMMYFUNCTION("""COMPUTED_VALUE"""),"6289677807375")</f>
        <v>6289677807375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>
        <f>IFERROR(__xludf.DUMMYFUNCTION("""COMPUTED_VALUE"""),410000.0)</f>
        <v>410000</v>
      </c>
      <c r="AO80" s="42"/>
      <c r="AP80" s="42"/>
      <c r="AQ80" s="42"/>
      <c r="AR80" s="42"/>
      <c r="AS80" s="43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IFERROR(__xludf.DUMMYFUNCTION("""COMPUTED_VALUE"""),410000.0)</f>
        <v>410000</v>
      </c>
      <c r="BD80" s="43">
        <f>IFERROR(__xludf.DUMMYFUNCTION("""COMPUTED_VALUE"""),0.0)</f>
        <v>0</v>
      </c>
      <c r="BE80" s="43">
        <f>IFERROR(__xludf.DUMMYFUNCTION("""COMPUTED_VALUE"""),0.0)</f>
        <v>0</v>
      </c>
      <c r="BF80" s="44">
        <f>IFERROR(__xludf.DUMMYFUNCTION("""COMPUTED_VALUE"""),410000.0)</f>
        <v>410000</v>
      </c>
      <c r="BG80" s="56"/>
      <c r="BH80" s="56"/>
      <c r="BI80" s="5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</row>
    <row r="81">
      <c r="A81" s="47">
        <f>IFERROR(__xludf.DUMMYFUNCTION("""COMPUTED_VALUE"""),80.0)</f>
        <v>80</v>
      </c>
      <c r="B81" s="48" t="str">
        <f>IFERROR(__xludf.DUMMYFUNCTION("""COMPUTED_VALUE"""),"M. SAFIUL REZA SELOHANDOYO")</f>
        <v>M. SAFIUL REZA SELOHANDOYO</v>
      </c>
      <c r="C81" s="49">
        <f>IFERROR(__xludf.DUMMYFUNCTION("""COMPUTED_VALUE"""),2.024070406E9)</f>
        <v>2024070406</v>
      </c>
      <c r="D81" s="48" t="str">
        <f>IFERROR(__xludf.DUMMYFUNCTION("""COMPUTED_VALUE"""),"ZAINAL ABIDIN")</f>
        <v>ZAINAL ABIDIN</v>
      </c>
      <c r="E81" s="48" t="str">
        <f>IFERROR(__xludf.DUMMYFUNCTION("""COMPUTED_VALUE"""),"SITI HALIMAH")</f>
        <v>SITI HALIMAH</v>
      </c>
      <c r="F81" s="48" t="str">
        <f>IFERROR(__xludf.DUMMYFUNCTION("""COMPUTED_VALUE"""),"GOWAH POMAHANJANGGAN RT 002 RW 001 TURI LAMONGAN")</f>
        <v>GOWAH POMAHANJANGGAN RT 002 RW 001 TURI LAMONGAN</v>
      </c>
      <c r="G81" s="50" t="str">
        <f>IFERROR(__xludf.DUMMYFUNCTION("""COMPUTED_VALUE"""),"MA-XII.13")</f>
        <v>MA-XII.13</v>
      </c>
      <c r="H81" s="47" t="str">
        <f>IFERROR(__xludf.DUMMYFUNCTION("""COMPUTED_VALUE"""),"A")</f>
        <v>A</v>
      </c>
      <c r="I81" s="51" t="str">
        <f>IFERROR(__xludf.DUMMYFUNCTION("""COMPUTED_VALUE"""),"A-2")</f>
        <v>A-2</v>
      </c>
      <c r="J81" s="51">
        <f>IFERROR(__xludf.DUMMYFUNCTION("""COMPUTED_VALUE"""),3.0)</f>
        <v>3</v>
      </c>
      <c r="K81" s="51" t="str">
        <f>IFERROR(__xludf.DUMMYFUNCTION("""COMPUTED_VALUE"""),"3 MAK PUTRA")</f>
        <v>3 MAK PUTRA</v>
      </c>
      <c r="L81" s="50" t="str">
        <f>IFERROR(__xludf.DUMMYFUNCTION("""COMPUTED_VALUE"""),"6282229847381")</f>
        <v>6282229847381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>
        <f>IFERROR(__xludf.DUMMYFUNCTION("""COMPUTED_VALUE"""),450000.0)</f>
        <v>450000</v>
      </c>
      <c r="AO81" s="53"/>
      <c r="AP81" s="53">
        <f>IFERROR(__xludf.DUMMYFUNCTION("""COMPUTED_VALUE"""),500000.0)</f>
        <v>500000</v>
      </c>
      <c r="AQ81" s="53"/>
      <c r="AR81" s="53"/>
      <c r="AS81" s="54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IFERROR(__xludf.DUMMYFUNCTION("""COMPUTED_VALUE"""),450000.0)</f>
        <v>450000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IFERROR(__xludf.DUMMYFUNCTION("""COMPUTED_VALUE"""),950000.0)</f>
        <v>950000</v>
      </c>
      <c r="BG81" s="57"/>
      <c r="BH81" s="57"/>
      <c r="BI81" s="57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</row>
    <row r="82">
      <c r="A82" s="36">
        <f>IFERROR(__xludf.DUMMYFUNCTION("""COMPUTED_VALUE"""),81.0)</f>
        <v>81</v>
      </c>
      <c r="B82" s="37" t="str">
        <f>IFERROR(__xludf.DUMMYFUNCTION("""COMPUTED_VALUE"""),"M. SATRIA PUTRA AMILINA")</f>
        <v>M. SATRIA PUTRA AMILINA</v>
      </c>
      <c r="C82" s="38">
        <f>IFERROR(__xludf.DUMMYFUNCTION("""COMPUTED_VALUE"""),2.024070092E9)</f>
        <v>2024070092</v>
      </c>
      <c r="D82" s="37" t="str">
        <f>IFERROR(__xludf.DUMMYFUNCTION("""COMPUTED_VALUE"""),"AHSANUL AMILIN")</f>
        <v>AHSANUL AMILIN</v>
      </c>
      <c r="E82" s="37" t="str">
        <f>IFERROR(__xludf.DUMMYFUNCTION("""COMPUTED_VALUE"""),"LINA ANGGRAINI")</f>
        <v>LINA ANGGRAINI</v>
      </c>
      <c r="F82" s="37" t="str">
        <f>IFERROR(__xludf.DUMMYFUNCTION("""COMPUTED_VALUE"""),"TALUN RT 4 RW 1 SUMBERREJO BOJONEGORO")</f>
        <v>TALUN RT 4 RW 1 SUMBERREJO BOJONEGORO</v>
      </c>
      <c r="G82" s="38" t="str">
        <f>IFERROR(__xludf.DUMMYFUNCTION("""COMPUTED_VALUE"""),"MA-XII.4")</f>
        <v>MA-XII.4</v>
      </c>
      <c r="H82" s="36" t="str">
        <f>IFERROR(__xludf.DUMMYFUNCTION("""COMPUTED_VALUE"""),"A")</f>
        <v>A</v>
      </c>
      <c r="I82" s="40" t="str">
        <f>IFERROR(__xludf.DUMMYFUNCTION("""COMPUTED_VALUE"""),"A-10")</f>
        <v>A-10</v>
      </c>
      <c r="J82" s="40">
        <f>IFERROR(__xludf.DUMMYFUNCTION("""COMPUTED_VALUE"""),3.0)</f>
        <v>3</v>
      </c>
      <c r="K82" s="40" t="str">
        <f>IFERROR(__xludf.DUMMYFUNCTION("""COMPUTED_VALUE"""),"3 WUSTHO PUTRA")</f>
        <v>3 WUSTHO PUTRA</v>
      </c>
      <c r="L82" s="39" t="str">
        <f>IFERROR(__xludf.DUMMYFUNCTION("""COMPUTED_VALUE"""),"628568406710")</f>
        <v>628568406710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3"/>
      <c r="AN82" s="43">
        <f>IFERROR(__xludf.DUMMYFUNCTION("""COMPUTED_VALUE"""),450000.0)</f>
        <v>450000</v>
      </c>
      <c r="AO82" s="43"/>
      <c r="AP82" s="42"/>
      <c r="AQ82" s="43"/>
      <c r="AR82" s="43"/>
      <c r="AS82" s="43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IFERROR(__xludf.DUMMYFUNCTION("""COMPUTED_VALUE"""),450000.0)</f>
        <v>450000</v>
      </c>
      <c r="BD82" s="43">
        <f>IFERROR(__xludf.DUMMYFUNCTION("""COMPUTED_VALUE"""),0.0)</f>
        <v>0</v>
      </c>
      <c r="BE82" s="43">
        <f>IFERROR(__xludf.DUMMYFUNCTION("""COMPUTED_VALUE"""),0.0)</f>
        <v>0</v>
      </c>
      <c r="BF82" s="44">
        <f>IFERROR(__xludf.DUMMYFUNCTION("""COMPUTED_VALUE"""),450000.0)</f>
        <v>450000</v>
      </c>
      <c r="BG82" s="56"/>
      <c r="BH82" s="56"/>
      <c r="BI82" s="5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</row>
    <row r="83">
      <c r="A83" s="47">
        <f>IFERROR(__xludf.DUMMYFUNCTION("""COMPUTED_VALUE"""),82.0)</f>
        <v>82</v>
      </c>
      <c r="B83" s="48" t="str">
        <f>IFERROR(__xludf.DUMMYFUNCTION("""COMPUTED_VALUE"""),"MAEKAL RAHMAT")</f>
        <v>MAEKAL RAHMAT</v>
      </c>
      <c r="C83" s="49">
        <f>IFERROR(__xludf.DUMMYFUNCTION("""COMPUTED_VALUE"""),2.024070311E9)</f>
        <v>2024070311</v>
      </c>
      <c r="D83" s="48" t="str">
        <f>IFERROR(__xludf.DUMMYFUNCTION("""COMPUTED_VALUE"""),"AGUS SUPRAYITNO")</f>
        <v>AGUS SUPRAYITNO</v>
      </c>
      <c r="E83" s="48" t="str">
        <f>IFERROR(__xludf.DUMMYFUNCTION("""COMPUTED_VALUE"""),"WIWIK WIDAYATI")</f>
        <v>WIWIK WIDAYATI</v>
      </c>
      <c r="F83" s="48" t="str">
        <f>IFERROR(__xludf.DUMMYFUNCTION("""COMPUTED_VALUE"""),"JL. PUTER DALAM SELATAN 39 A TANJUNGREJO RT 10 RW 12 SUKUN MALANG")</f>
        <v>JL. PUTER DALAM SELATAN 39 A TANJUNGREJO RT 10 RW 12 SUKUN MALANG</v>
      </c>
      <c r="G83" s="49" t="str">
        <f>IFERROR(__xludf.DUMMYFUNCTION("""COMPUTED_VALUE"""),"MA-XII.10")</f>
        <v>MA-XII.10</v>
      </c>
      <c r="H83" s="47" t="str">
        <f>IFERROR(__xludf.DUMMYFUNCTION("""COMPUTED_VALUE"""),"A")</f>
        <v>A</v>
      </c>
      <c r="I83" s="51" t="str">
        <f>IFERROR(__xludf.DUMMYFUNCTION("""COMPUTED_VALUE"""),"A-10")</f>
        <v>A-10</v>
      </c>
      <c r="J83" s="51">
        <f>IFERROR(__xludf.DUMMYFUNCTION("""COMPUTED_VALUE"""),3.0)</f>
        <v>3</v>
      </c>
      <c r="K83" s="51" t="str">
        <f>IFERROR(__xludf.DUMMYFUNCTION("""COMPUTED_VALUE"""),"3 WUSTHO PUTRA")</f>
        <v>3 WUSTHO PUTRA</v>
      </c>
      <c r="L83" s="50" t="str">
        <f>IFERROR(__xludf.DUMMYFUNCTION("""COMPUTED_VALUE"""),"6281998985638")</f>
        <v>6281998985638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4"/>
      <c r="AR83" s="54"/>
      <c r="AS83" s="54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7"/>
      <c r="BH83" s="57"/>
      <c r="BI83" s="57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</row>
    <row r="84">
      <c r="A84" s="36">
        <f>IFERROR(__xludf.DUMMYFUNCTION("""COMPUTED_VALUE"""),83.0)</f>
        <v>83</v>
      </c>
      <c r="B84" s="37" t="str">
        <f>IFERROR(__xludf.DUMMYFUNCTION("""COMPUTED_VALUE"""),"MAHATMA SATYA GRAHA")</f>
        <v>MAHATMA SATYA GRAHA</v>
      </c>
      <c r="C84" s="38">
        <f>IFERROR(__xludf.DUMMYFUNCTION("""COMPUTED_VALUE"""),2.024070407E9)</f>
        <v>2024070407</v>
      </c>
      <c r="D84" s="37" t="str">
        <f>IFERROR(__xludf.DUMMYFUNCTION("""COMPUTED_VALUE"""),"MUHAMMAD KAHAR")</f>
        <v>MUHAMMAD KAHAR</v>
      </c>
      <c r="E84" s="37" t="str">
        <f>IFERROR(__xludf.DUMMYFUNCTION("""COMPUTED_VALUE"""),"AIYINATUL JAMILAH")</f>
        <v>AIYINATUL JAMILAH</v>
      </c>
      <c r="F84" s="37" t="str">
        <f>IFERROR(__xludf.DUMMYFUNCTION("""COMPUTED_VALUE"""),"JELAK JELAKCATUR RT 001 RW 004 KALITENGAH LAMONGAN")</f>
        <v>JELAK JELAKCATUR RT 001 RW 004 KALITENGAH LAMONGAN</v>
      </c>
      <c r="G84" s="38" t="str">
        <f>IFERROR(__xludf.DUMMYFUNCTION("""COMPUTED_VALUE"""),"MA-XII.9")</f>
        <v>MA-XII.9</v>
      </c>
      <c r="H84" s="36" t="str">
        <f>IFERROR(__xludf.DUMMYFUNCTION("""COMPUTED_VALUE"""),"A")</f>
        <v>A</v>
      </c>
      <c r="I84" s="40" t="str">
        <f>IFERROR(__xludf.DUMMYFUNCTION("""COMPUTED_VALUE"""),"A-10")</f>
        <v>A-10</v>
      </c>
      <c r="J84" s="40">
        <f>IFERROR(__xludf.DUMMYFUNCTION("""COMPUTED_VALUE"""),3.0)</f>
        <v>3</v>
      </c>
      <c r="K84" s="40" t="str">
        <f>IFERROR(__xludf.DUMMYFUNCTION("""COMPUTED_VALUE"""),"3 WUSTHO PUTRA")</f>
        <v>3 WUSTHO PUTRA</v>
      </c>
      <c r="L84" s="39" t="str">
        <f>IFERROR(__xludf.DUMMYFUNCTION("""COMPUTED_VALUE"""),"628557692330")</f>
        <v>628557692330</v>
      </c>
      <c r="M84" s="43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3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3">
        <f>IFERROR(__xludf.DUMMYFUNCTION("""COMPUTED_VALUE"""),450000.0)</f>
        <v>450000</v>
      </c>
      <c r="AO84" s="42"/>
      <c r="AP84" s="43"/>
      <c r="AQ84" s="43"/>
      <c r="AR84" s="43"/>
      <c r="AS84" s="43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IFERROR(__xludf.DUMMYFUNCTION("""COMPUTED_VALUE"""),450000.0)</f>
        <v>450000</v>
      </c>
      <c r="BD84" s="43">
        <f>IFERROR(__xludf.DUMMYFUNCTION("""COMPUTED_VALUE"""),0.0)</f>
        <v>0</v>
      </c>
      <c r="BE84" s="43">
        <f>IFERROR(__xludf.DUMMYFUNCTION("""COMPUTED_VALUE"""),0.0)</f>
        <v>0</v>
      </c>
      <c r="BF84" s="44">
        <f>IFERROR(__xludf.DUMMYFUNCTION("""COMPUTED_VALUE"""),450000.0)</f>
        <v>450000</v>
      </c>
      <c r="BG84" s="56"/>
      <c r="BH84" s="56"/>
      <c r="BI84" s="5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</row>
    <row r="85">
      <c r="A85" s="47">
        <f>IFERROR(__xludf.DUMMYFUNCTION("""COMPUTED_VALUE"""),84.0)</f>
        <v>84</v>
      </c>
      <c r="B85" s="48" t="str">
        <f>IFERROR(__xludf.DUMMYFUNCTION("""COMPUTED_VALUE"""),"MARVELL RIZIQ AMIN")</f>
        <v>MARVELL RIZIQ AMIN</v>
      </c>
      <c r="C85" s="49">
        <f>IFERROR(__xludf.DUMMYFUNCTION("""COMPUTED_VALUE"""),2.02407021E9)</f>
        <v>2024070210</v>
      </c>
      <c r="D85" s="48" t="str">
        <f>IFERROR(__xludf.DUMMYFUNCTION("""COMPUTED_VALUE"""),"AJI SUNARJI")</f>
        <v>AJI SUNARJI</v>
      </c>
      <c r="E85" s="48" t="str">
        <f>IFERROR(__xludf.DUMMYFUNCTION("""COMPUTED_VALUE"""),"SITI ANISAH")</f>
        <v>SITI ANISAH</v>
      </c>
      <c r="F85" s="48" t="str">
        <f>IFERROR(__xludf.DUMMYFUNCTION("""COMPUTED_VALUE"""),"GENENG RT 5 RW 8 BRONDONG LAMONGAN")</f>
        <v>GENENG RT 5 RW 8 BRONDONG LAMONGAN</v>
      </c>
      <c r="G85" s="57" t="str">
        <f>IFERROR(__xludf.DUMMYFUNCTION("""COMPUTED_VALUE"""),"MA-XII.6")</f>
        <v>MA-XII.6</v>
      </c>
      <c r="H85" s="47" t="str">
        <f>IFERROR(__xludf.DUMMYFUNCTION("""COMPUTED_VALUE"""),"A")</f>
        <v>A</v>
      </c>
      <c r="I85" s="51" t="str">
        <f>IFERROR(__xludf.DUMMYFUNCTION("""COMPUTED_VALUE"""),"A-10")</f>
        <v>A-10</v>
      </c>
      <c r="J85" s="51">
        <f>IFERROR(__xludf.DUMMYFUNCTION("""COMPUTED_VALUE"""),3.0)</f>
        <v>3</v>
      </c>
      <c r="K85" s="51" t="str">
        <f>IFERROR(__xludf.DUMMYFUNCTION("""COMPUTED_VALUE"""),"3 WUSTHO PUTRA")</f>
        <v>3 WUSTHO PUTRA</v>
      </c>
      <c r="L85" s="50" t="str">
        <f>IFERROR(__xludf.DUMMYFUNCTION("""COMPUTED_VALUE"""),"62895323652394")</f>
        <v>62895323652394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4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4"/>
      <c r="AP85" s="54"/>
      <c r="AQ85" s="54"/>
      <c r="AR85" s="54"/>
      <c r="AS85" s="54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IFERROR(__xludf.DUMMYFUNCTION("""COMPUTED_VALUE"""),0.0)</f>
        <v>0</v>
      </c>
      <c r="BD85" s="54">
        <f>IFERROR(__xludf.DUMMYFUNCTION("""COMPUTED_VALUE"""),0.0)</f>
        <v>0</v>
      </c>
      <c r="BE85" s="54">
        <f>IFERROR(__xludf.DUMMYFUNCTION("""COMPUTED_VALUE"""),0.0)</f>
        <v>0</v>
      </c>
      <c r="BF85" s="55">
        <f>IFERROR(__xludf.DUMMYFUNCTION("""COMPUTED_VALUE"""),0.0)</f>
        <v>0</v>
      </c>
      <c r="BG85" s="57"/>
      <c r="BH85" s="57"/>
      <c r="BI85" s="57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</row>
    <row r="86">
      <c r="A86" s="36">
        <f>IFERROR(__xludf.DUMMYFUNCTION("""COMPUTED_VALUE"""),85.0)</f>
        <v>85</v>
      </c>
      <c r="B86" s="37" t="str">
        <f>IFERROR(__xludf.DUMMYFUNCTION("""COMPUTED_VALUE"""),"MOCH. FAJAR QOMARUDIN FEBRIAN")</f>
        <v>MOCH. FAJAR QOMARUDIN FEBRIAN</v>
      </c>
      <c r="C86" s="38">
        <f>IFERROR(__xludf.DUMMYFUNCTION("""COMPUTED_VALUE"""),2.024070678E9)</f>
        <v>2024070678</v>
      </c>
      <c r="D86" s="37" t="str">
        <f>IFERROR(__xludf.DUMMYFUNCTION("""COMPUTED_VALUE"""),"WARDI")</f>
        <v>WARDI</v>
      </c>
      <c r="E86" s="37" t="str">
        <f>IFERROR(__xludf.DUMMYFUNCTION("""COMPUTED_VALUE"""),"SA'ADATUN NI'MAH")</f>
        <v>SA'ADATUN NI'MAH</v>
      </c>
      <c r="F86" s="37" t="str">
        <f>IFERROR(__xludf.DUMMYFUNCTION("""COMPUTED_VALUE"""),"KANDANGAN CANDISARI RT 012 RW 002 SAMBENG LAMONGAN")</f>
        <v>KANDANGAN CANDISARI RT 012 RW 002 SAMBENG LAMONGAN</v>
      </c>
      <c r="G86" s="56" t="str">
        <f>IFERROR(__xludf.DUMMYFUNCTION("""COMPUTED_VALUE"""),"SMK-XII TKJ 1")</f>
        <v>SMK-XII TKJ 1</v>
      </c>
      <c r="H86" s="36" t="str">
        <f>IFERROR(__xludf.DUMMYFUNCTION("""COMPUTED_VALUE"""),"A")</f>
        <v>A</v>
      </c>
      <c r="I86" s="40" t="str">
        <f>IFERROR(__xludf.DUMMYFUNCTION("""COMPUTED_VALUE"""),"A-10")</f>
        <v>A-10</v>
      </c>
      <c r="J86" s="40">
        <f>IFERROR(__xludf.DUMMYFUNCTION("""COMPUTED_VALUE"""),3.0)</f>
        <v>3</v>
      </c>
      <c r="K86" s="40" t="str">
        <f>IFERROR(__xludf.DUMMYFUNCTION("""COMPUTED_VALUE"""),"3 WUSTHO PUTRA")</f>
        <v>3 WUSTHO PUTRA</v>
      </c>
      <c r="L86" s="39" t="str">
        <f>IFERROR(__xludf.DUMMYFUNCTION("""COMPUTED_VALUE"""),"6285809004813")</f>
        <v>6285809004813</v>
      </c>
      <c r="M86" s="42"/>
      <c r="N86" s="42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>
        <f>IFERROR(__xludf.DUMMYFUNCTION("""COMPUTED_VALUE"""),250000.0)</f>
        <v>250000</v>
      </c>
      <c r="AB86" s="42"/>
      <c r="AC86" s="43"/>
      <c r="AD86" s="43"/>
      <c r="AE86" s="43"/>
      <c r="AF86" s="43"/>
      <c r="AG86" s="43"/>
      <c r="AH86" s="43">
        <f>IFERROR(__xludf.DUMMYFUNCTION("""COMPUTED_VALUE"""),270000.0)</f>
        <v>270000</v>
      </c>
      <c r="AI86" s="43">
        <f>IFERROR(__xludf.DUMMYFUNCTION("""COMPUTED_VALUE"""),270000.0)</f>
        <v>270000</v>
      </c>
      <c r="AJ86" s="43">
        <f>IFERROR(__xludf.DUMMYFUNCTION("""COMPUTED_VALUE"""),270000.0)</f>
        <v>270000</v>
      </c>
      <c r="AK86" s="43">
        <f>IFERROR(__xludf.DUMMYFUNCTION("""COMPUTED_VALUE"""),270000.0)</f>
        <v>270000</v>
      </c>
      <c r="AL86" s="43">
        <f>IFERROR(__xludf.DUMMYFUNCTION("""COMPUTED_VALUE"""),270000.0)</f>
        <v>270000</v>
      </c>
      <c r="AM86" s="43">
        <f>IFERROR(__xludf.DUMMYFUNCTION("""COMPUTED_VALUE"""),270000.0)</f>
        <v>270000</v>
      </c>
      <c r="AN86" s="43">
        <f>IFERROR(__xludf.DUMMYFUNCTION("""COMPUTED_VALUE"""),270000.0)</f>
        <v>270000</v>
      </c>
      <c r="AO86" s="43"/>
      <c r="AP86" s="42"/>
      <c r="AQ86" s="43"/>
      <c r="AR86" s="43"/>
      <c r="AS86" s="43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IFERROR(__xludf.DUMMYFUNCTION("""COMPUTED_VALUE"""),1890000.0)</f>
        <v>1890000</v>
      </c>
      <c r="BD86" s="43">
        <f>IFERROR(__xludf.DUMMYFUNCTION("""COMPUTED_VALUE"""),0.0)</f>
        <v>0</v>
      </c>
      <c r="BE86" s="43">
        <f>IFERROR(__xludf.DUMMYFUNCTION("""COMPUTED_VALUE"""),250000.0)</f>
        <v>250000</v>
      </c>
      <c r="BF86" s="44">
        <f>IFERROR(__xludf.DUMMYFUNCTION("""COMPUTED_VALUE"""),2140000.0)</f>
        <v>2140000</v>
      </c>
      <c r="BG86" s="56"/>
      <c r="BH86" s="56"/>
      <c r="BI86" s="5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</row>
    <row r="87">
      <c r="A87" s="47">
        <f>IFERROR(__xludf.DUMMYFUNCTION("""COMPUTED_VALUE"""),86.0)</f>
        <v>86</v>
      </c>
      <c r="B87" s="48" t="str">
        <f>IFERROR(__xludf.DUMMYFUNCTION("""COMPUTED_VALUE"""),"MOH. RAFY ANDIKA ROHMAN")</f>
        <v>MOH. RAFY ANDIKA ROHMAN</v>
      </c>
      <c r="C87" s="49">
        <f>IFERROR(__xludf.DUMMYFUNCTION("""COMPUTED_VALUE"""),2.024070676E9)</f>
        <v>2024070676</v>
      </c>
      <c r="D87" s="48" t="str">
        <f>IFERROR(__xludf.DUMMYFUNCTION("""COMPUTED_VALUE"""),"SURATNO")</f>
        <v>SURATNO</v>
      </c>
      <c r="E87" s="48" t="str">
        <f>IFERROR(__xludf.DUMMYFUNCTION("""COMPUTED_VALUE"""),"SUTATIK")</f>
        <v>SUTATIK</v>
      </c>
      <c r="F87" s="48" t="str">
        <f>IFERROR(__xludf.DUMMYFUNCTION("""COMPUTED_VALUE"""),"PUTATREJO PUTATBANGAH RT 002 RW 003 KARANGBINANGUN LAMONGAN")</f>
        <v>PUTATREJO PUTATBANGAH RT 002 RW 003 KARANGBINANGUN LAMONGAN</v>
      </c>
      <c r="G87" s="49" t="str">
        <f>IFERROR(__xludf.DUMMYFUNCTION("""COMPUTED_VALUE"""),"SMK-XII TKR 2")</f>
        <v>SMK-XII TKR 2</v>
      </c>
      <c r="H87" s="47" t="str">
        <f>IFERROR(__xludf.DUMMYFUNCTION("""COMPUTED_VALUE"""),"A")</f>
        <v>A</v>
      </c>
      <c r="I87" s="51" t="str">
        <f>IFERROR(__xludf.DUMMYFUNCTION("""COMPUTED_VALUE"""),"A-10")</f>
        <v>A-10</v>
      </c>
      <c r="J87" s="51">
        <f>IFERROR(__xludf.DUMMYFUNCTION("""COMPUTED_VALUE"""),3.0)</f>
        <v>3</v>
      </c>
      <c r="K87" s="51" t="str">
        <f>IFERROR(__xludf.DUMMYFUNCTION("""COMPUTED_VALUE"""),"3 WUSTHO PUTRA")</f>
        <v>3 WUSTHO PUTRA</v>
      </c>
      <c r="L87" s="50" t="str">
        <f>IFERROR(__xludf.DUMMYFUNCTION("""COMPUTED_VALUE"""),"6285730854693")</f>
        <v>6285730854693</v>
      </c>
      <c r="M87" s="54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4"/>
      <c r="AC87" s="53"/>
      <c r="AD87" s="53"/>
      <c r="AE87" s="53"/>
      <c r="AF87" s="53"/>
      <c r="AG87" s="53">
        <f>IFERROR(__xludf.DUMMYFUNCTION("""COMPUTED_VALUE"""),450000.0)</f>
        <v>450000</v>
      </c>
      <c r="AH87" s="53">
        <f>IFERROR(__xludf.DUMMYFUNCTION("""COMPUTED_VALUE"""),450000.0)</f>
        <v>450000</v>
      </c>
      <c r="AI87" s="53">
        <f>IFERROR(__xludf.DUMMYFUNCTION("""COMPUTED_VALUE"""),450000.0)</f>
        <v>450000</v>
      </c>
      <c r="AJ87" s="53">
        <f>IFERROR(__xludf.DUMMYFUNCTION("""COMPUTED_VALUE"""),450000.0)</f>
        <v>450000</v>
      </c>
      <c r="AK87" s="53">
        <f>IFERROR(__xludf.DUMMYFUNCTION("""COMPUTED_VALUE"""),450000.0)</f>
        <v>450000</v>
      </c>
      <c r="AL87" s="53">
        <f>IFERROR(__xludf.DUMMYFUNCTION("""COMPUTED_VALUE"""),450000.0)</f>
        <v>450000</v>
      </c>
      <c r="AM87" s="53">
        <f>IFERROR(__xludf.DUMMYFUNCTION("""COMPUTED_VALUE"""),450000.0)</f>
        <v>450000</v>
      </c>
      <c r="AN87" s="53">
        <f>IFERROR(__xludf.DUMMYFUNCTION("""COMPUTED_VALUE"""),450000.0)</f>
        <v>450000</v>
      </c>
      <c r="AO87" s="53"/>
      <c r="AP87" s="54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IFERROR(__xludf.DUMMYFUNCTION("""COMPUTED_VALUE"""),3600000.0)</f>
        <v>3600000</v>
      </c>
      <c r="BD87" s="54">
        <f>IFERROR(__xludf.DUMMYFUNCTION("""COMPUTED_VALUE"""),0.0)</f>
        <v>0</v>
      </c>
      <c r="BE87" s="54">
        <f>IFERROR(__xludf.DUMMYFUNCTION("""COMPUTED_VALUE"""),0.0)</f>
        <v>0</v>
      </c>
      <c r="BF87" s="55">
        <f>IFERROR(__xludf.DUMMYFUNCTION("""COMPUTED_VALUE"""),3600000.0)</f>
        <v>3600000</v>
      </c>
      <c r="BG87" s="57"/>
      <c r="BH87" s="57"/>
      <c r="BI87" s="57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</row>
    <row r="88">
      <c r="A88" s="36">
        <f>IFERROR(__xludf.DUMMYFUNCTION("""COMPUTED_VALUE"""),87.0)</f>
        <v>87</v>
      </c>
      <c r="B88" s="37" t="str">
        <f>IFERROR(__xludf.DUMMYFUNCTION("""COMPUTED_VALUE"""),"MUHAMMAD ARIS IBRAHIM")</f>
        <v>MUHAMMAD ARIS IBRAHIM</v>
      </c>
      <c r="C88" s="38">
        <f>IFERROR(__xludf.DUMMYFUNCTION("""COMPUTED_VALUE"""),2.024070691E9)</f>
        <v>2024070691</v>
      </c>
      <c r="D88" s="37" t="str">
        <f>IFERROR(__xludf.DUMMYFUNCTION("""COMPUTED_VALUE"""),"HARTOYO")</f>
        <v>HARTOYO</v>
      </c>
      <c r="E88" s="37" t="str">
        <f>IFERROR(__xludf.DUMMYFUNCTION("""COMPUTED_VALUE"""),"EMI LAKSEMI ZAHARA")</f>
        <v>EMI LAKSEMI ZAHARA</v>
      </c>
      <c r="F88" s="37" t="str">
        <f>IFERROR(__xludf.DUMMYFUNCTION("""COMPUTED_VALUE"""),"WANAR RT 001 RW 007 PUCUK LAMONGAN")</f>
        <v>WANAR RT 001 RW 007 PUCUK LAMONGAN</v>
      </c>
      <c r="G88" s="38" t="str">
        <f>IFERROR(__xludf.DUMMYFUNCTION("""COMPUTED_VALUE"""),"SMK-XII TKJ 1")</f>
        <v>SMK-XII TKJ 1</v>
      </c>
      <c r="H88" s="36" t="str">
        <f>IFERROR(__xludf.DUMMYFUNCTION("""COMPUTED_VALUE"""),"A")</f>
        <v>A</v>
      </c>
      <c r="I88" s="40" t="str">
        <f>IFERROR(__xludf.DUMMYFUNCTION("""COMPUTED_VALUE"""),"A-10")</f>
        <v>A-10</v>
      </c>
      <c r="J88" s="40">
        <f>IFERROR(__xludf.DUMMYFUNCTION("""COMPUTED_VALUE"""),3.0)</f>
        <v>3</v>
      </c>
      <c r="K88" s="40" t="str">
        <f>IFERROR(__xludf.DUMMYFUNCTION("""COMPUTED_VALUE"""),"3 WUSTHO PUTRA")</f>
        <v>3 WUSTHO PUTRA</v>
      </c>
      <c r="L88" s="39" t="str">
        <f>IFERROR(__xludf.DUMMYFUNCTION("""COMPUTED_VALUE"""),"6289523611658")</f>
        <v>6289523611658</v>
      </c>
      <c r="M88" s="43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3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3"/>
      <c r="AN88" s="43"/>
      <c r="AO88" s="43"/>
      <c r="AP88" s="43"/>
      <c r="AQ88" s="43"/>
      <c r="AR88" s="43"/>
      <c r="AS88" s="43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IFERROR(__xludf.DUMMYFUNCTION("""COMPUTED_VALUE"""),0.0)</f>
        <v>0</v>
      </c>
      <c r="BE88" s="43">
        <f>IFERROR(__xludf.DUMMYFUNCTION("""COMPUTED_VALUE"""),0.0)</f>
        <v>0</v>
      </c>
      <c r="BF88" s="44">
        <f>IFERROR(__xludf.DUMMYFUNCTION("""COMPUTED_VALUE"""),0.0)</f>
        <v>0</v>
      </c>
      <c r="BG88" s="56"/>
      <c r="BH88" s="56"/>
      <c r="BI88" s="5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</row>
    <row r="89">
      <c r="A89" s="47">
        <f>IFERROR(__xludf.DUMMYFUNCTION("""COMPUTED_VALUE"""),88.0)</f>
        <v>88</v>
      </c>
      <c r="B89" s="48" t="str">
        <f>IFERROR(__xludf.DUMMYFUNCTION("""COMPUTED_VALUE"""),"MUHAMMAD FIRDAUS AL AYYUBI")</f>
        <v>MUHAMMAD FIRDAUS AL AYYUBI</v>
      </c>
      <c r="C89" s="49">
        <f>IFERROR(__xludf.DUMMYFUNCTION("""COMPUTED_VALUE"""),2.02407068E9)</f>
        <v>2024070680</v>
      </c>
      <c r="D89" s="48" t="str">
        <f>IFERROR(__xludf.DUMMYFUNCTION("""COMPUTED_VALUE"""),"DAYUS NUR AFNI")</f>
        <v>DAYUS NUR AFNI</v>
      </c>
      <c r="E89" s="48" t="str">
        <f>IFERROR(__xludf.DUMMYFUNCTION("""COMPUTED_VALUE"""),"SITI NASRIYATUN")</f>
        <v>SITI NASRIYATUN</v>
      </c>
      <c r="F89" s="48" t="str">
        <f>IFERROR(__xludf.DUMMYFUNCTION("""COMPUTED_VALUE"""),"DAGAN RT 002 RW 002 SOLOKURO LAMONGAN")</f>
        <v>DAGAN RT 002 RW 002 SOLOKURO LAMONGAN</v>
      </c>
      <c r="G89" s="49" t="str">
        <f>IFERROR(__xludf.DUMMYFUNCTION("""COMPUTED_VALUE"""),"SMK-XII TKJ 1")</f>
        <v>SMK-XII TKJ 1</v>
      </c>
      <c r="H89" s="47" t="str">
        <f>IFERROR(__xludf.DUMMYFUNCTION("""COMPUTED_VALUE"""),"A")</f>
        <v>A</v>
      </c>
      <c r="I89" s="53" t="str">
        <f>IFERROR(__xludf.DUMMYFUNCTION("""COMPUTED_VALUE"""),"A-10")</f>
        <v>A-10</v>
      </c>
      <c r="J89" s="51">
        <f>IFERROR(__xludf.DUMMYFUNCTION("""COMPUTED_VALUE"""),3.0)</f>
        <v>3</v>
      </c>
      <c r="K89" s="51" t="str">
        <f>IFERROR(__xludf.DUMMYFUNCTION("""COMPUTED_VALUE"""),"3 WUSTHO PUTRA")</f>
        <v>3 WUSTHO PUTRA</v>
      </c>
      <c r="L89" s="50" t="str">
        <f>IFERROR(__xludf.DUMMYFUNCTION("""COMPUTED_VALUE"""),"6285648339606")</f>
        <v>6285648339606</v>
      </c>
      <c r="M89" s="54"/>
      <c r="N89" s="53"/>
      <c r="O89" s="53"/>
      <c r="P89" s="53"/>
      <c r="Q89" s="53"/>
      <c r="R89" s="53"/>
      <c r="S89" s="53"/>
      <c r="T89" s="53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IFERROR(__xludf.DUMMYFUNCTION("""COMPUTED_VALUE"""),0.0)</f>
        <v>0</v>
      </c>
      <c r="BE89" s="54">
        <f>IFERROR(__xludf.DUMMYFUNCTION("""COMPUTED_VALUE"""),0.0)</f>
        <v>0</v>
      </c>
      <c r="BF89" s="55">
        <f>IFERROR(__xludf.DUMMYFUNCTION("""COMPUTED_VALUE"""),0.0)</f>
        <v>0</v>
      </c>
      <c r="BG89" s="57"/>
      <c r="BH89" s="57"/>
      <c r="BI89" s="57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</row>
    <row r="90">
      <c r="A90" s="36">
        <f>IFERROR(__xludf.DUMMYFUNCTION("""COMPUTED_VALUE"""),89.0)</f>
        <v>89</v>
      </c>
      <c r="B90" s="37" t="str">
        <f>IFERROR(__xludf.DUMMYFUNCTION("""COMPUTED_VALUE"""),"MUHAMMAD HIBATULLAH TSAQIF")</f>
        <v>MUHAMMAD HIBATULLAH TSAQIF</v>
      </c>
      <c r="C90" s="38">
        <f>IFERROR(__xludf.DUMMYFUNCTION("""COMPUTED_VALUE"""),2.024070097E9)</f>
        <v>2024070097</v>
      </c>
      <c r="D90" s="37" t="str">
        <f>IFERROR(__xludf.DUMMYFUNCTION("""COMPUTED_VALUE"""),"NUR AINI")</f>
        <v>NUR AINI</v>
      </c>
      <c r="E90" s="37" t="str">
        <f>IFERROR(__xludf.DUMMYFUNCTION("""COMPUTED_VALUE"""),"RIRIN FITYATUN YUNIS SA'IDAH")</f>
        <v>RIRIN FITYATUN YUNIS SA'IDAH</v>
      </c>
      <c r="F90" s="37" t="str">
        <f>IFERROR(__xludf.DUMMYFUNCTION("""COMPUTED_VALUE"""),"SOLOKURO RT 004 RW 003 SOLOKURO LAMONGAN")</f>
        <v>SOLOKURO RT 004 RW 003 SOLOKURO LAMONGAN</v>
      </c>
      <c r="G90" s="39" t="str">
        <f>IFERROR(__xludf.DUMMYFUNCTION("""COMPUTED_VALUE"""),"MA-XII.4")</f>
        <v>MA-XII.4</v>
      </c>
      <c r="H90" s="36" t="str">
        <f>IFERROR(__xludf.DUMMYFUNCTION("""COMPUTED_VALUE"""),"A")</f>
        <v>A</v>
      </c>
      <c r="I90" s="40" t="str">
        <f>IFERROR(__xludf.DUMMYFUNCTION("""COMPUTED_VALUE"""),"A-10")</f>
        <v>A-10</v>
      </c>
      <c r="J90" s="40">
        <f>IFERROR(__xludf.DUMMYFUNCTION("""COMPUTED_VALUE"""),3.0)</f>
        <v>3</v>
      </c>
      <c r="K90" s="40" t="str">
        <f>IFERROR(__xludf.DUMMYFUNCTION("""COMPUTED_VALUE"""),"3 WUSTHO PUTRA")</f>
        <v>3 WUSTHO PUTRA</v>
      </c>
      <c r="L90" s="39" t="str">
        <f>IFERROR(__xludf.DUMMYFUNCTION("""COMPUTED_VALUE"""),"6285182276192")</f>
        <v>6285182276192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3"/>
      <c r="AP90" s="42"/>
      <c r="AQ90" s="43"/>
      <c r="AR90" s="43"/>
      <c r="AS90" s="43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IFERROR(__xludf.DUMMYFUNCTION("""COMPUTED_VALUE"""),0.0)</f>
        <v>0</v>
      </c>
      <c r="BE90" s="43">
        <f>IFERROR(__xludf.DUMMYFUNCTION("""COMPUTED_VALUE"""),0.0)</f>
        <v>0</v>
      </c>
      <c r="BF90" s="44">
        <f>IFERROR(__xludf.DUMMYFUNCTION("""COMPUTED_VALUE"""),0.0)</f>
        <v>0</v>
      </c>
      <c r="BG90" s="56"/>
      <c r="BH90" s="56"/>
      <c r="BI90" s="5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</row>
    <row r="91">
      <c r="A91" s="47">
        <f>IFERROR(__xludf.DUMMYFUNCTION("""COMPUTED_VALUE"""),90.0)</f>
        <v>90</v>
      </c>
      <c r="B91" s="48" t="str">
        <f>IFERROR(__xludf.DUMMYFUNCTION("""COMPUTED_VALUE"""),"MUHAMMAD NASRUL FALAQ")</f>
        <v>MUHAMMAD NASRUL FALAQ</v>
      </c>
      <c r="C91" s="49">
        <f>IFERROR(__xludf.DUMMYFUNCTION("""COMPUTED_VALUE"""),2.024070695E9)</f>
        <v>2024070695</v>
      </c>
      <c r="D91" s="48" t="str">
        <f>IFERROR(__xludf.DUMMYFUNCTION("""COMPUTED_VALUE"""),"SUPRIYANTO")</f>
        <v>SUPRIYANTO</v>
      </c>
      <c r="E91" s="48" t="str">
        <f>IFERROR(__xludf.DUMMYFUNCTION("""COMPUTED_VALUE"""),"IFA TRIANA")</f>
        <v>IFA TRIANA</v>
      </c>
      <c r="F91" s="48" t="str">
        <f>IFERROR(__xludf.DUMMYFUNCTION("""COMPUTED_VALUE"""),"WONOKERTO RT 017 RW 003 DUKUN GRESIK")</f>
        <v>WONOKERTO RT 017 RW 003 DUKUN GRESIK</v>
      </c>
      <c r="G91" s="57" t="str">
        <f>IFERROR(__xludf.DUMMYFUNCTION("""COMPUTED_VALUE"""),"SMK-XII TKJ 1")</f>
        <v>SMK-XII TKJ 1</v>
      </c>
      <c r="H91" s="47" t="str">
        <f>IFERROR(__xludf.DUMMYFUNCTION("""COMPUTED_VALUE"""),"A")</f>
        <v>A</v>
      </c>
      <c r="I91" s="51" t="str">
        <f>IFERROR(__xludf.DUMMYFUNCTION("""COMPUTED_VALUE"""),"A-12")</f>
        <v>A-12</v>
      </c>
      <c r="J91" s="51">
        <f>IFERROR(__xludf.DUMMYFUNCTION("""COMPUTED_VALUE"""),3.0)</f>
        <v>3</v>
      </c>
      <c r="K91" s="51" t="str">
        <f>IFERROR(__xludf.DUMMYFUNCTION("""COMPUTED_VALUE"""),"3 WUSTHO PUTRA")</f>
        <v>3 WUSTHO PUTRA</v>
      </c>
      <c r="L91" s="50" t="str">
        <f>IFERROR(__xludf.DUMMYFUNCTION("""COMPUTED_VALUE"""),"6285602657179")</f>
        <v>6285602657179</v>
      </c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>
        <f>IFERROR(__xludf.DUMMYFUNCTION("""COMPUTED_VALUE"""),500000.0)</f>
        <v>500000</v>
      </c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4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IFERROR(__xludf.DUMMYFUNCTION("""COMPUTED_VALUE"""),0.0)</f>
        <v>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IFERROR(__xludf.DUMMYFUNCTION("""COMPUTED_VALUE"""),1000000.0)</f>
        <v>1000000</v>
      </c>
      <c r="BG91" s="57"/>
      <c r="BH91" s="57"/>
      <c r="BI91" s="57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</row>
    <row r="92">
      <c r="A92" s="36">
        <f>IFERROR(__xludf.DUMMYFUNCTION("""COMPUTED_VALUE"""),91.0)</f>
        <v>91</v>
      </c>
      <c r="B92" s="37" t="str">
        <f>IFERROR(__xludf.DUMMYFUNCTION("""COMPUTED_VALUE"""),"MUHAMMAD SYA`DANA")</f>
        <v>MUHAMMAD SYA`DANA</v>
      </c>
      <c r="C92" s="38">
        <f>IFERROR(__xludf.DUMMYFUNCTION("""COMPUTED_VALUE"""),2.024070715E9)</f>
        <v>2024070715</v>
      </c>
      <c r="D92" s="37" t="str">
        <f>IFERROR(__xludf.DUMMYFUNCTION("""COMPUTED_VALUE"""),"ACHMAD MU'ID")</f>
        <v>ACHMAD MU'ID</v>
      </c>
      <c r="E92" s="37" t="str">
        <f>IFERROR(__xludf.DUMMYFUNCTION("""COMPUTED_VALUE"""),"FATMAWATI")</f>
        <v>FATMAWATI</v>
      </c>
      <c r="F92" s="37" t="str">
        <f>IFERROR(__xludf.DUMMYFUNCTION("""COMPUTED_VALUE"""),"PARENGAN RT 4 RW 3 MADURAN LAMONGAN")</f>
        <v>PARENGAN RT 4 RW 3 MADURAN LAMONGAN</v>
      </c>
      <c r="G92" s="38" t="str">
        <f>IFERROR(__xludf.DUMMYFUNCTION("""COMPUTED_VALUE"""),"SMK-XII TKJ 2")</f>
        <v>SMK-XII TKJ 2</v>
      </c>
      <c r="H92" s="36" t="str">
        <f>IFERROR(__xludf.DUMMYFUNCTION("""COMPUTED_VALUE"""),"A")</f>
        <v>A</v>
      </c>
      <c r="I92" s="42" t="str">
        <f>IFERROR(__xludf.DUMMYFUNCTION("""COMPUTED_VALUE"""),"A-10")</f>
        <v>A-10</v>
      </c>
      <c r="J92" s="40">
        <f>IFERROR(__xludf.DUMMYFUNCTION("""COMPUTED_VALUE"""),3.0)</f>
        <v>3</v>
      </c>
      <c r="K92" s="40" t="str">
        <f>IFERROR(__xludf.DUMMYFUNCTION("""COMPUTED_VALUE"""),"3 WUSTHO PUTRA")</f>
        <v>3 WUSTHO PUTRA</v>
      </c>
      <c r="L92" s="39" t="str">
        <f>IFERROR(__xludf.DUMMYFUNCTION("""COMPUTED_VALUE"""),"6281216068509")</f>
        <v>6281216068509</v>
      </c>
      <c r="M92" s="42"/>
      <c r="N92" s="42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2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>
        <f>IFERROR(__xludf.DUMMYFUNCTION("""COMPUTED_VALUE"""),450000.0)</f>
        <v>450000</v>
      </c>
      <c r="AO92" s="43"/>
      <c r="AP92" s="42"/>
      <c r="AQ92" s="43"/>
      <c r="AR92" s="43"/>
      <c r="AS92" s="43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IFERROR(__xludf.DUMMYFUNCTION("""COMPUTED_VALUE"""),450000.0)</f>
        <v>450000</v>
      </c>
      <c r="BD92" s="43">
        <f>IFERROR(__xludf.DUMMYFUNCTION("""COMPUTED_VALUE"""),0.0)</f>
        <v>0</v>
      </c>
      <c r="BE92" s="43">
        <f>IFERROR(__xludf.DUMMYFUNCTION("""COMPUTED_VALUE"""),0.0)</f>
        <v>0</v>
      </c>
      <c r="BF92" s="44">
        <f>IFERROR(__xludf.DUMMYFUNCTION("""COMPUTED_VALUE"""),450000.0)</f>
        <v>450000</v>
      </c>
      <c r="BG92" s="56"/>
      <c r="BH92" s="56"/>
      <c r="BI92" s="5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</row>
    <row r="93">
      <c r="A93" s="47">
        <f>IFERROR(__xludf.DUMMYFUNCTION("""COMPUTED_VALUE"""),92.0)</f>
        <v>92</v>
      </c>
      <c r="B93" s="48" t="str">
        <f>IFERROR(__xludf.DUMMYFUNCTION("""COMPUTED_VALUE"""),"MUHAMMAD ULINNUHA")</f>
        <v>MUHAMMAD ULINNUHA</v>
      </c>
      <c r="C93" s="49">
        <f>IFERROR(__xludf.DUMMYFUNCTION("""COMPUTED_VALUE"""),2.024070034E9)</f>
        <v>2024070034</v>
      </c>
      <c r="D93" s="48" t="str">
        <f>IFERROR(__xludf.DUMMYFUNCTION("""COMPUTED_VALUE"""),"MOH. MUSTA`IN")</f>
        <v>MOH. MUSTA`IN</v>
      </c>
      <c r="E93" s="48" t="str">
        <f>IFERROR(__xludf.DUMMYFUNCTION("""COMPUTED_VALUE"""),"RUKHOYATN")</f>
        <v>RUKHOYATN</v>
      </c>
      <c r="F93" s="48" t="str">
        <f>IFERROR(__xludf.DUMMYFUNCTION("""COMPUTED_VALUE"""),"WARUK RT 001 RW 002 KARANGBINANGUN LAMONGAN")</f>
        <v>WARUK RT 001 RW 002 KARANGBINANGUN LAMONGAN</v>
      </c>
      <c r="G93" s="57" t="str">
        <f>IFERROR(__xludf.DUMMYFUNCTION("""COMPUTED_VALUE"""),"MA-XII.2")</f>
        <v>MA-XII.2</v>
      </c>
      <c r="H93" s="47" t="str">
        <f>IFERROR(__xludf.DUMMYFUNCTION("""COMPUTED_VALUE"""),"A")</f>
        <v>A</v>
      </c>
      <c r="I93" s="51" t="str">
        <f>IFERROR(__xludf.DUMMYFUNCTION("""COMPUTED_VALUE"""),"A-4")</f>
        <v>A-4</v>
      </c>
      <c r="J93" s="51">
        <f>IFERROR(__xludf.DUMMYFUNCTION("""COMPUTED_VALUE"""),3.0)</f>
        <v>3</v>
      </c>
      <c r="K93" s="51" t="str">
        <f>IFERROR(__xludf.DUMMYFUNCTION("""COMPUTED_VALUE"""),"3 WUSTHO PUTRA")</f>
        <v>3 WUSTHO PUTRA</v>
      </c>
      <c r="L93" s="50" t="str">
        <f>IFERROR(__xludf.DUMMYFUNCTION("""COMPUTED_VALUE"""),"6285230868111")</f>
        <v>6285230868111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4"/>
      <c r="AP93" s="53"/>
      <c r="AQ93" s="53"/>
      <c r="AR93" s="53"/>
      <c r="AS93" s="54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IFERROR(__xludf.DUMMYFUNCTION("""COMPUTED_VALUE"""),0.0)</f>
        <v>0</v>
      </c>
      <c r="BE93" s="54">
        <f>IFERROR(__xludf.DUMMYFUNCTION("""COMPUTED_VALUE"""),0.0)</f>
        <v>0</v>
      </c>
      <c r="BF93" s="55">
        <f>IFERROR(__xludf.DUMMYFUNCTION("""COMPUTED_VALUE"""),0.0)</f>
        <v>0</v>
      </c>
      <c r="BG93" s="57"/>
      <c r="BH93" s="57"/>
      <c r="BI93" s="57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</row>
    <row r="94">
      <c r="A94" s="36">
        <f>IFERROR(__xludf.DUMMYFUNCTION("""COMPUTED_VALUE"""),93.0)</f>
        <v>93</v>
      </c>
      <c r="B94" s="37" t="str">
        <f>IFERROR(__xludf.DUMMYFUNCTION("""COMPUTED_VALUE"""),"MUHYIDDIN FAQIH")</f>
        <v>MUHYIDDIN FAQIH</v>
      </c>
      <c r="C94" s="38">
        <f>IFERROR(__xludf.DUMMYFUNCTION("""COMPUTED_VALUE"""),2.024070299E9)</f>
        <v>2024070299</v>
      </c>
      <c r="D94" s="37" t="str">
        <f>IFERROR(__xludf.DUMMYFUNCTION("""COMPUTED_VALUE"""),"LAM KUDRON")</f>
        <v>LAM KUDRON</v>
      </c>
      <c r="E94" s="37" t="str">
        <f>IFERROR(__xludf.DUMMYFUNCTION("""COMPUTED_VALUE"""),"SUHARNIK")</f>
        <v>SUHARNIK</v>
      </c>
      <c r="F94" s="37" t="str">
        <f>IFERROR(__xludf.DUMMYFUNCTION("""COMPUTED_VALUE"""),"SAWO RT 003 RW 002 DUKUN GRESIK")</f>
        <v>SAWO RT 003 RW 002 DUKUN GRESIK</v>
      </c>
      <c r="G94" s="56" t="str">
        <f>IFERROR(__xludf.DUMMYFUNCTION("""COMPUTED_VALUE"""),"MA-XII.9")</f>
        <v>MA-XII.9</v>
      </c>
      <c r="H94" s="36" t="str">
        <f>IFERROR(__xludf.DUMMYFUNCTION("""COMPUTED_VALUE"""),"A")</f>
        <v>A</v>
      </c>
      <c r="I94" s="40" t="str">
        <f>IFERROR(__xludf.DUMMYFUNCTION("""COMPUTED_VALUE"""),"A-10")</f>
        <v>A-10</v>
      </c>
      <c r="J94" s="40">
        <f>IFERROR(__xludf.DUMMYFUNCTION("""COMPUTED_VALUE"""),3.0)</f>
        <v>3</v>
      </c>
      <c r="K94" s="40" t="str">
        <f>IFERROR(__xludf.DUMMYFUNCTION("""COMPUTED_VALUE"""),"3 WUSTHO PUTRA")</f>
        <v>3 WUSTHO PUTRA</v>
      </c>
      <c r="L94" s="39" t="str">
        <f>IFERROR(__xludf.DUMMYFUNCTION("""COMPUTED_VALUE"""),"6281554403924")</f>
        <v>6281554403924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>
        <f>IFERROR(__xludf.DUMMYFUNCTION("""COMPUTED_VALUE"""),450000.0)</f>
        <v>450000</v>
      </c>
      <c r="AO94" s="42"/>
      <c r="AP94" s="42">
        <f>IFERROR(__xludf.DUMMYFUNCTION("""COMPUTED_VALUE"""),500000.0)</f>
        <v>500000</v>
      </c>
      <c r="AQ94" s="42"/>
      <c r="AR94" s="42"/>
      <c r="AS94" s="43"/>
      <c r="AT94" s="42"/>
      <c r="AU94" s="42"/>
      <c r="AV94" s="42"/>
      <c r="AW94" s="42"/>
      <c r="AX94" s="42"/>
      <c r="AY94" s="42"/>
      <c r="AZ94" s="42"/>
      <c r="BA94" s="42"/>
      <c r="BB94" s="42"/>
      <c r="BC94" s="43">
        <f>IFERROR(__xludf.DUMMYFUNCTION("""COMPUTED_VALUE"""),450000.0)</f>
        <v>450000</v>
      </c>
      <c r="BD94" s="43">
        <f>IFERROR(__xludf.DUMMYFUNCTION("""COMPUTED_VALUE"""),500000.0)</f>
        <v>500000</v>
      </c>
      <c r="BE94" s="43">
        <f>IFERROR(__xludf.DUMMYFUNCTION("""COMPUTED_VALUE"""),0.0)</f>
        <v>0</v>
      </c>
      <c r="BF94" s="44">
        <f>IFERROR(__xludf.DUMMYFUNCTION("""COMPUTED_VALUE"""),950000.0)</f>
        <v>950000</v>
      </c>
      <c r="BG94" s="56"/>
      <c r="BH94" s="56"/>
      <c r="BI94" s="5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</row>
    <row r="95">
      <c r="A95" s="47">
        <f>IFERROR(__xludf.DUMMYFUNCTION("""COMPUTED_VALUE"""),94.0)</f>
        <v>94</v>
      </c>
      <c r="B95" s="48" t="str">
        <f>IFERROR(__xludf.DUMMYFUNCTION("""COMPUTED_VALUE"""),"NASHIH AMIN")</f>
        <v>NASHIH AMIN</v>
      </c>
      <c r="C95" s="49">
        <f>IFERROR(__xludf.DUMMYFUNCTION("""COMPUTED_VALUE"""),2.024070409E9)</f>
        <v>2024070409</v>
      </c>
      <c r="D95" s="48" t="str">
        <f>IFERROR(__xludf.DUMMYFUNCTION("""COMPUTED_VALUE"""),"SABAR NARIMO")</f>
        <v>SABAR NARIMO</v>
      </c>
      <c r="E95" s="48" t="str">
        <f>IFERROR(__xludf.DUMMYFUNCTION("""COMPUTED_VALUE"""),"LISTIANAH")</f>
        <v>LISTIANAH</v>
      </c>
      <c r="F95" s="48" t="str">
        <f>IFERROR(__xludf.DUMMYFUNCTION("""COMPUTED_VALUE"""),"TAMBAK ASRI 262-C MOROKREMBANGAN RT 008 RW 009 KREMBANGAN SURABAYA")</f>
        <v>TAMBAK ASRI 262-C MOROKREMBANGAN RT 008 RW 009 KREMBANGAN SURABAYA</v>
      </c>
      <c r="G95" s="57" t="str">
        <f>IFERROR(__xludf.DUMMYFUNCTION("""COMPUTED_VALUE"""),"MA-XII.13")</f>
        <v>MA-XII.13</v>
      </c>
      <c r="H95" s="47" t="str">
        <f>IFERROR(__xludf.DUMMYFUNCTION("""COMPUTED_VALUE"""),"A")</f>
        <v>A</v>
      </c>
      <c r="I95" s="51" t="str">
        <f>IFERROR(__xludf.DUMMYFUNCTION("""COMPUTED_VALUE"""),"A-2")</f>
        <v>A-2</v>
      </c>
      <c r="J95" s="51">
        <f>IFERROR(__xludf.DUMMYFUNCTION("""COMPUTED_VALUE"""),3.0)</f>
        <v>3</v>
      </c>
      <c r="K95" s="51" t="str">
        <f>IFERROR(__xludf.DUMMYFUNCTION("""COMPUTED_VALUE"""),"3 MAK PUTRA")</f>
        <v>3 MAK PUTRA</v>
      </c>
      <c r="L95" s="50" t="str">
        <f>IFERROR(__xludf.DUMMYFUNCTION("""COMPUTED_VALUE"""),"6285715548194")</f>
        <v>6285715548194</v>
      </c>
      <c r="M95" s="54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4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>
        <f>IFERROR(__xludf.DUMMYFUNCTION("""COMPUTED_VALUE"""),450000.0)</f>
        <v>450000</v>
      </c>
      <c r="AN95" s="53">
        <f>IFERROR(__xludf.DUMMYFUNCTION("""COMPUTED_VALUE"""),450000.0)</f>
        <v>450000</v>
      </c>
      <c r="AO95" s="54"/>
      <c r="AP95" s="54">
        <f>IFERROR(__xludf.DUMMYFUNCTION("""COMPUTED_VALUE"""),500000.0)</f>
        <v>500000</v>
      </c>
      <c r="AQ95" s="53"/>
      <c r="AR95" s="53"/>
      <c r="AS95" s="54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IFERROR(__xludf.DUMMYFUNCTION("""COMPUTED_VALUE"""),900000.0)</f>
        <v>900000</v>
      </c>
      <c r="BD95" s="54">
        <f>IFERROR(__xludf.DUMMYFUNCTION("""COMPUTED_VALUE"""),500000.0)</f>
        <v>500000</v>
      </c>
      <c r="BE95" s="54">
        <f>IFERROR(__xludf.DUMMYFUNCTION("""COMPUTED_VALUE"""),0.0)</f>
        <v>0</v>
      </c>
      <c r="BF95" s="55">
        <f>IFERROR(__xludf.DUMMYFUNCTION("""COMPUTED_VALUE"""),1400000.0)</f>
        <v>1400000</v>
      </c>
      <c r="BG95" s="57"/>
      <c r="BH95" s="57"/>
      <c r="BI95" s="57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</row>
    <row r="96">
      <c r="A96" s="36">
        <f>IFERROR(__xludf.DUMMYFUNCTION("""COMPUTED_VALUE"""),95.0)</f>
        <v>95</v>
      </c>
      <c r="B96" s="37" t="str">
        <f>IFERROR(__xludf.DUMMYFUNCTION("""COMPUTED_VALUE"""),"NAURIL ASTRA DIRGANTARA")</f>
        <v>NAURIL ASTRA DIRGANTARA</v>
      </c>
      <c r="C96" s="38">
        <f>IFERROR(__xludf.DUMMYFUNCTION("""COMPUTED_VALUE"""),2.024070713E9)</f>
        <v>2024070713</v>
      </c>
      <c r="D96" s="37" t="str">
        <f>IFERROR(__xludf.DUMMYFUNCTION("""COMPUTED_VALUE"""),"SUNARTO")</f>
        <v>SUNARTO</v>
      </c>
      <c r="E96" s="37" t="str">
        <f>IFERROR(__xludf.DUMMYFUNCTION("""COMPUTED_VALUE"""),"ERTINA YAROH")</f>
        <v>ERTINA YAROH</v>
      </c>
      <c r="F96" s="37" t="str">
        <f>IFERROR(__xludf.DUMMYFUNCTION("""COMPUTED_VALUE"""),"BANJARANYAR RT 007 RW 002 BAURENO BOJONEGORO")</f>
        <v>BANJARANYAR RT 007 RW 002 BAURENO BOJONEGORO</v>
      </c>
      <c r="G96" s="38" t="str">
        <f>IFERROR(__xludf.DUMMYFUNCTION("""COMPUTED_VALUE"""),"SMK-XII TKJ 1")</f>
        <v>SMK-XII TKJ 1</v>
      </c>
      <c r="H96" s="36" t="str">
        <f>IFERROR(__xludf.DUMMYFUNCTION("""COMPUTED_VALUE"""),"A")</f>
        <v>A</v>
      </c>
      <c r="I96" s="40" t="str">
        <f>IFERROR(__xludf.DUMMYFUNCTION("""COMPUTED_VALUE"""),"A-10")</f>
        <v>A-10</v>
      </c>
      <c r="J96" s="40">
        <f>IFERROR(__xludf.DUMMYFUNCTION("""COMPUTED_VALUE"""),3.0)</f>
        <v>3</v>
      </c>
      <c r="K96" s="40" t="str">
        <f>IFERROR(__xludf.DUMMYFUNCTION("""COMPUTED_VALUE"""),"3 WUSTHO PUTRA")</f>
        <v>3 WUSTHO PUTRA</v>
      </c>
      <c r="L96" s="58" t="str">
        <f>IFERROR(__xludf.DUMMYFUNCTION("""COMPUTED_VALUE"""),"6281286452697")</f>
        <v>6281286452697</v>
      </c>
      <c r="M96" s="43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3"/>
      <c r="AB96" s="43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3"/>
      <c r="AO96" s="43"/>
      <c r="AP96" s="43"/>
      <c r="AQ96" s="43"/>
      <c r="AR96" s="43"/>
      <c r="AS96" s="43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IFERROR(__xludf.DUMMYFUNCTION("""COMPUTED_VALUE"""),0.0)</f>
        <v>0</v>
      </c>
      <c r="BE96" s="43">
        <f>IFERROR(__xludf.DUMMYFUNCTION("""COMPUTED_VALUE"""),0.0)</f>
        <v>0</v>
      </c>
      <c r="BF96" s="44">
        <f>IFERROR(__xludf.DUMMYFUNCTION("""COMPUTED_VALUE"""),0.0)</f>
        <v>0</v>
      </c>
      <c r="BG96" s="56"/>
      <c r="BH96" s="56"/>
      <c r="BI96" s="5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</row>
    <row r="97">
      <c r="A97" s="47">
        <f>IFERROR(__xludf.DUMMYFUNCTION("""COMPUTED_VALUE"""),96.0)</f>
        <v>96</v>
      </c>
      <c r="B97" s="48" t="str">
        <f>IFERROR(__xludf.DUMMYFUNCTION("""COMPUTED_VALUE"""),"RAHMAT NURRUZAMAN AL ALI")</f>
        <v>RAHMAT NURRUZAMAN AL ALI</v>
      </c>
      <c r="C97" s="49">
        <f>IFERROR(__xludf.DUMMYFUNCTION("""COMPUTED_VALUE"""),2.02407018E9)</f>
        <v>2024070180</v>
      </c>
      <c r="D97" s="48" t="str">
        <f>IFERROR(__xludf.DUMMYFUNCTION("""COMPUTED_VALUE"""),"ALI SHODIKIN")</f>
        <v>ALI SHODIKIN</v>
      </c>
      <c r="E97" s="48" t="str">
        <f>IFERROR(__xludf.DUMMYFUNCTION("""COMPUTED_VALUE"""),"SITI MAIDAH")</f>
        <v>SITI MAIDAH</v>
      </c>
      <c r="F97" s="48" t="str">
        <f>IFERROR(__xludf.DUMMYFUNCTION("""COMPUTED_VALUE"""),"PUCANGRO RT 1 RW 1 KALITENGAH LAMONGAN")</f>
        <v>PUCANGRO RT 1 RW 1 KALITENGAH LAMONGAN</v>
      </c>
      <c r="G97" s="49" t="str">
        <f>IFERROR(__xludf.DUMMYFUNCTION("""COMPUTED_VALUE"""),"MA-XII.5")</f>
        <v>MA-XII.5</v>
      </c>
      <c r="H97" s="47" t="str">
        <f>IFERROR(__xludf.DUMMYFUNCTION("""COMPUTED_VALUE"""),"A")</f>
        <v>A</v>
      </c>
      <c r="I97" s="51" t="str">
        <f>IFERROR(__xludf.DUMMYFUNCTION("""COMPUTED_VALUE"""),"A-2")</f>
        <v>A-2</v>
      </c>
      <c r="J97" s="51">
        <f>IFERROR(__xludf.DUMMYFUNCTION("""COMPUTED_VALUE"""),3.0)</f>
        <v>3</v>
      </c>
      <c r="K97" s="51" t="str">
        <f>IFERROR(__xludf.DUMMYFUNCTION("""COMPUTED_VALUE"""),"3 WUSTHO PUTRA")</f>
        <v>3 WUSTHO PUTRA</v>
      </c>
      <c r="L97" s="50" t="str">
        <f>IFERROR(__xludf.DUMMYFUNCTION("""COMPUTED_VALUE"""),"62895605958887")</f>
        <v>62895605958887</v>
      </c>
      <c r="M97" s="54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4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4"/>
      <c r="AP97" s="54"/>
      <c r="AQ97" s="54"/>
      <c r="AR97" s="54"/>
      <c r="AS97" s="54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IFERROR(__xludf.DUMMYFUNCTION("""COMPUTED_VALUE"""),0.0)</f>
        <v>0</v>
      </c>
      <c r="BD97" s="54">
        <f>IFERROR(__xludf.DUMMYFUNCTION("""COMPUTED_VALUE"""),0.0)</f>
        <v>0</v>
      </c>
      <c r="BE97" s="54">
        <f>IFERROR(__xludf.DUMMYFUNCTION("""COMPUTED_VALUE"""),0.0)</f>
        <v>0</v>
      </c>
      <c r="BF97" s="55">
        <f>IFERROR(__xludf.DUMMYFUNCTION("""COMPUTED_VALUE"""),0.0)</f>
        <v>0</v>
      </c>
      <c r="BG97" s="57"/>
      <c r="BH97" s="57"/>
      <c r="BI97" s="57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</row>
    <row r="98">
      <c r="A98" s="36">
        <f>IFERROR(__xludf.DUMMYFUNCTION("""COMPUTED_VALUE"""),97.0)</f>
        <v>97</v>
      </c>
      <c r="B98" s="37" t="str">
        <f>IFERROR(__xludf.DUMMYFUNCTION("""COMPUTED_VALUE"""),"RIDHO BINTANG PAMUNGKAS")</f>
        <v>RIDHO BINTANG PAMUNGKAS</v>
      </c>
      <c r="C98" s="38">
        <f>IFERROR(__xludf.DUMMYFUNCTION("""COMPUTED_VALUE"""),2.024070181E9)</f>
        <v>2024070181</v>
      </c>
      <c r="D98" s="37" t="str">
        <f>IFERROR(__xludf.DUMMYFUNCTION("""COMPUTED_VALUE"""),"ABDUL AZIZ")</f>
        <v>ABDUL AZIZ</v>
      </c>
      <c r="E98" s="37" t="str">
        <f>IFERROR(__xludf.DUMMYFUNCTION("""COMPUTED_VALUE"""),"SITI FATIMAH")</f>
        <v>SITI FATIMAH</v>
      </c>
      <c r="F98" s="37" t="str">
        <f>IFERROR(__xludf.DUMMYFUNCTION("""COMPUTED_VALUE"""),"PETIYIN TAKERHARJO RT 002 RW 005 SOLOKURO LAMONGAN")</f>
        <v>PETIYIN TAKERHARJO RT 002 RW 005 SOLOKURO LAMONGAN</v>
      </c>
      <c r="G98" s="56" t="str">
        <f>IFERROR(__xludf.DUMMYFUNCTION("""COMPUTED_VALUE"""),"MA-XII.5")</f>
        <v>MA-XII.5</v>
      </c>
      <c r="H98" s="36" t="str">
        <f>IFERROR(__xludf.DUMMYFUNCTION("""COMPUTED_VALUE"""),"A")</f>
        <v>A</v>
      </c>
      <c r="I98" s="40" t="str">
        <f>IFERROR(__xludf.DUMMYFUNCTION("""COMPUTED_VALUE"""),"A-10")</f>
        <v>A-10</v>
      </c>
      <c r="J98" s="40">
        <f>IFERROR(__xludf.DUMMYFUNCTION("""COMPUTED_VALUE"""),3.0)</f>
        <v>3</v>
      </c>
      <c r="K98" s="40" t="str">
        <f>IFERROR(__xludf.DUMMYFUNCTION("""COMPUTED_VALUE"""),"3 WUSTHO PUTRA")</f>
        <v>3 WUSTHO PUTRA</v>
      </c>
      <c r="L98" s="39" t="str">
        <f>IFERROR(__xludf.DUMMYFUNCTION("""COMPUTED_VALUE"""),"6285732113931")</f>
        <v>6285732113931</v>
      </c>
      <c r="M98" s="43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IFERROR(__xludf.DUMMYFUNCTION("""COMPUTED_VALUE"""),0.0)</f>
        <v>0</v>
      </c>
      <c r="BE98" s="43">
        <f>IFERROR(__xludf.DUMMYFUNCTION("""COMPUTED_VALUE"""),0.0)</f>
        <v>0</v>
      </c>
      <c r="BF98" s="44">
        <f>IFERROR(__xludf.DUMMYFUNCTION("""COMPUTED_VALUE"""),0.0)</f>
        <v>0</v>
      </c>
      <c r="BG98" s="56"/>
      <c r="BH98" s="56"/>
      <c r="BI98" s="5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</row>
    <row r="99">
      <c r="A99" s="47">
        <f>IFERROR(__xludf.DUMMYFUNCTION("""COMPUTED_VALUE"""),98.0)</f>
        <v>98</v>
      </c>
      <c r="B99" s="48" t="str">
        <f>IFERROR(__xludf.DUMMYFUNCTION("""COMPUTED_VALUE"""),"RIJALU FACHRI NA`IM")</f>
        <v>RIJALU FACHRI NA`IM</v>
      </c>
      <c r="C99" s="49">
        <f>IFERROR(__xludf.DUMMYFUNCTION("""COMPUTED_VALUE"""),2.024070099E9)</f>
        <v>2024070099</v>
      </c>
      <c r="D99" s="48" t="str">
        <f>IFERROR(__xludf.DUMMYFUNCTION("""COMPUTED_VALUE"""),"SAUPIN")</f>
        <v>SAUPIN</v>
      </c>
      <c r="E99" s="48" t="str">
        <f>IFERROR(__xludf.DUMMYFUNCTION("""COMPUTED_VALUE"""),"RIZKUL MAFTUHAH")</f>
        <v>RIZKUL MAFTUHAH</v>
      </c>
      <c r="F99" s="48" t="str">
        <f>IFERROR(__xludf.DUMMYFUNCTION("""COMPUTED_VALUE"""),"GENENG INDAH RT 5 RW 8 BRONDONG LAMONGAN")</f>
        <v>GENENG INDAH RT 5 RW 8 BRONDONG LAMONGAN</v>
      </c>
      <c r="G99" s="49" t="str">
        <f>IFERROR(__xludf.DUMMYFUNCTION("""COMPUTED_VALUE"""),"MA-XII.4")</f>
        <v>MA-XII.4</v>
      </c>
      <c r="H99" s="47" t="str">
        <f>IFERROR(__xludf.DUMMYFUNCTION("""COMPUTED_VALUE"""),"A")</f>
        <v>A</v>
      </c>
      <c r="I99" s="51" t="str">
        <f>IFERROR(__xludf.DUMMYFUNCTION("""COMPUTED_VALUE"""),"A-10")</f>
        <v>A-10</v>
      </c>
      <c r="J99" s="51">
        <f>IFERROR(__xludf.DUMMYFUNCTION("""COMPUTED_VALUE"""),3.0)</f>
        <v>3</v>
      </c>
      <c r="K99" s="51" t="str">
        <f>IFERROR(__xludf.DUMMYFUNCTION("""COMPUTED_VALUE"""),"3 WUSTHO PUTRA")</f>
        <v>3 WUSTHO PUTRA</v>
      </c>
      <c r="L99" s="61" t="str">
        <f>IFERROR(__xludf.DUMMYFUNCTION("""COMPUTED_VALUE"""),"6281333389848")</f>
        <v>6281333389848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4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IFERROR(__xludf.DUMMYFUNCTION("""COMPUTED_VALUE"""),0.0)</f>
        <v>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IFERROR(__xludf.DUMMYFUNCTION("""COMPUTED_VALUE"""),0.0)</f>
        <v>0</v>
      </c>
      <c r="BG99" s="57"/>
      <c r="BH99" s="57"/>
      <c r="BI99" s="57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</row>
    <row r="100">
      <c r="A100" s="36">
        <f>IFERROR(__xludf.DUMMYFUNCTION("""COMPUTED_VALUE"""),99.0)</f>
        <v>99</v>
      </c>
      <c r="B100" s="37" t="str">
        <f>IFERROR(__xludf.DUMMYFUNCTION("""COMPUTED_VALUE"""),"ROKHMAT")</f>
        <v>ROKHMAT</v>
      </c>
      <c r="C100" s="38">
        <f>IFERROR(__xludf.DUMMYFUNCTION("""COMPUTED_VALUE"""),2.024070145E9)</f>
        <v>2024070145</v>
      </c>
      <c r="D100" s="37" t="str">
        <f>IFERROR(__xludf.DUMMYFUNCTION("""COMPUTED_VALUE"""),"BAMBANG SUPRAYITNO")</f>
        <v>BAMBANG SUPRAYITNO</v>
      </c>
      <c r="E100" s="37" t="str">
        <f>IFERROR(__xludf.DUMMYFUNCTION("""COMPUTED_VALUE"""),"SITI AMINAH")</f>
        <v>SITI AMINAH</v>
      </c>
      <c r="F100" s="37" t="str">
        <f>IFERROR(__xludf.DUMMYFUNCTION("""COMPUTED_VALUE"""),"PERTANIAN RT 002 RW 002 SEKARAN LAMONGAN")</f>
        <v>PERTANIAN RT 002 RW 002 SEKARAN LAMONGAN</v>
      </c>
      <c r="G100" s="38" t="str">
        <f>IFERROR(__xludf.DUMMYFUNCTION("""COMPUTED_VALUE"""),"MA-XII.5")</f>
        <v>MA-XII.5</v>
      </c>
      <c r="H100" s="36" t="str">
        <f>IFERROR(__xludf.DUMMYFUNCTION("""COMPUTED_VALUE"""),"A")</f>
        <v>A</v>
      </c>
      <c r="I100" s="40" t="str">
        <f>IFERROR(__xludf.DUMMYFUNCTION("""COMPUTED_VALUE"""),"A-10")</f>
        <v>A-10</v>
      </c>
      <c r="J100" s="40">
        <f>IFERROR(__xludf.DUMMYFUNCTION("""COMPUTED_VALUE"""),3.0)</f>
        <v>3</v>
      </c>
      <c r="K100" s="40" t="str">
        <f>IFERROR(__xludf.DUMMYFUNCTION("""COMPUTED_VALUE"""),"3 WUSTHO PUTRA")</f>
        <v>3 WUSTHO PUTRA</v>
      </c>
      <c r="L100" s="39" t="str">
        <f>IFERROR(__xludf.DUMMYFUNCTION("""COMPUTED_VALUE"""),"628564609510")</f>
        <v>628564609510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3"/>
      <c r="AP100" s="42"/>
      <c r="AQ100" s="43"/>
      <c r="AR100" s="43"/>
      <c r="AS100" s="43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IFERROR(__xludf.DUMMYFUNCTION("""COMPUTED_VALUE"""),0.0)</f>
        <v>0</v>
      </c>
      <c r="BE100" s="43">
        <f>IFERROR(__xludf.DUMMYFUNCTION("""COMPUTED_VALUE"""),0.0)</f>
        <v>0</v>
      </c>
      <c r="BF100" s="44">
        <f>IFERROR(__xludf.DUMMYFUNCTION("""COMPUTED_VALUE"""),0.0)</f>
        <v>0</v>
      </c>
      <c r="BG100" s="56"/>
      <c r="BH100" s="56"/>
      <c r="BI100" s="5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</row>
    <row r="101">
      <c r="A101" s="47">
        <f>IFERROR(__xludf.DUMMYFUNCTION("""COMPUTED_VALUE"""),100.0)</f>
        <v>100</v>
      </c>
      <c r="B101" s="48" t="str">
        <f>IFERROR(__xludf.DUMMYFUNCTION("""COMPUTED_VALUE"""),"SYAHRUL MAULANA ARIF")</f>
        <v>SYAHRUL MAULANA ARIF</v>
      </c>
      <c r="C101" s="49">
        <f>IFERROR(__xludf.DUMMYFUNCTION("""COMPUTED_VALUE"""),2.02407041E9)</f>
        <v>2024070410</v>
      </c>
      <c r="D101" s="48" t="str">
        <f>IFERROR(__xludf.DUMMYFUNCTION("""COMPUTED_VALUE"""),"MOKHAMAD ASIKIN KURNIAWAN")</f>
        <v>MOKHAMAD ASIKIN KURNIAWAN</v>
      </c>
      <c r="E101" s="48" t="str">
        <f>IFERROR(__xludf.DUMMYFUNCTION("""COMPUTED_VALUE"""),"IRMAWATI")</f>
        <v>IRMAWATI</v>
      </c>
      <c r="F101" s="48" t="str">
        <f>IFERROR(__xludf.DUMMYFUNCTION("""COMPUTED_VALUE"""),"PATALAN SUMBERJO RT 3 RW 1 PUCUK LAMONGAN")</f>
        <v>PATALAN SUMBERJO RT 3 RW 1 PUCUK LAMONGAN</v>
      </c>
      <c r="G101" s="49" t="str">
        <f>IFERROR(__xludf.DUMMYFUNCTION("""COMPUTED_VALUE"""),"MA-XII.9")</f>
        <v>MA-XII.9</v>
      </c>
      <c r="H101" s="47" t="str">
        <f>IFERROR(__xludf.DUMMYFUNCTION("""COMPUTED_VALUE"""),"A")</f>
        <v>A</v>
      </c>
      <c r="I101" s="51" t="str">
        <f>IFERROR(__xludf.DUMMYFUNCTION("""COMPUTED_VALUE"""),"A-10")</f>
        <v>A-10</v>
      </c>
      <c r="J101" s="51">
        <f>IFERROR(__xludf.DUMMYFUNCTION("""COMPUTED_VALUE"""),3.0)</f>
        <v>3</v>
      </c>
      <c r="K101" s="51" t="str">
        <f>IFERROR(__xludf.DUMMYFUNCTION("""COMPUTED_VALUE"""),"3 WUSTHO PUTRA")</f>
        <v>3 WUSTHO PUTRA</v>
      </c>
      <c r="L101" s="50" t="str">
        <f>IFERROR(__xludf.DUMMYFUNCTION("""COMPUTED_VALUE"""),"6285606326321")</f>
        <v>6285606326321</v>
      </c>
      <c r="M101" s="54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4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IFERROR(__xludf.DUMMYFUNCTION("""COMPUTED_VALUE"""),0.0)</f>
        <v>0</v>
      </c>
      <c r="BE101" s="54">
        <f>IFERROR(__xludf.DUMMYFUNCTION("""COMPUTED_VALUE"""),0.0)</f>
        <v>0</v>
      </c>
      <c r="BF101" s="55">
        <f>IFERROR(__xludf.DUMMYFUNCTION("""COMPUTED_VALUE"""),0.0)</f>
        <v>0</v>
      </c>
      <c r="BG101" s="57"/>
      <c r="BH101" s="57"/>
      <c r="BI101" s="57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</row>
    <row r="102">
      <c r="A102" s="36">
        <f>IFERROR(__xludf.DUMMYFUNCTION("""COMPUTED_VALUE"""),101.0)</f>
        <v>101</v>
      </c>
      <c r="B102" s="37" t="str">
        <f>IFERROR(__xludf.DUMMYFUNCTION("""COMPUTED_VALUE"""),"WAHYU UBAIDHILLAH")</f>
        <v>WAHYU UBAIDHILLAH</v>
      </c>
      <c r="C102" s="38">
        <f>IFERROR(__xludf.DUMMYFUNCTION("""COMPUTED_VALUE"""),2.024070065E9)</f>
        <v>2024070065</v>
      </c>
      <c r="D102" s="37" t="str">
        <f>IFERROR(__xludf.DUMMYFUNCTION("""COMPUTED_VALUE"""),"SUBEKAN")</f>
        <v>SUBEKAN</v>
      </c>
      <c r="E102" s="37" t="str">
        <f>IFERROR(__xludf.DUMMYFUNCTION("""COMPUTED_VALUE"""),"LEMU SA`ADAH")</f>
        <v>LEMU SA`ADAH</v>
      </c>
      <c r="F102" s="37" t="str">
        <f>IFERROR(__xludf.DUMMYFUNCTION("""COMPUTED_VALUE"""),"KARANGGAYAM CT. VIII CATURTUNGGAL RT 2 RW 1 DEPOK SLEMAN")</f>
        <v>KARANGGAYAM CT. VIII CATURTUNGGAL RT 2 RW 1 DEPOK SLEMAN</v>
      </c>
      <c r="G102" s="56" t="str">
        <f>IFERROR(__xludf.DUMMYFUNCTION("""COMPUTED_VALUE"""),"MA-XII.3")</f>
        <v>MA-XII.3</v>
      </c>
      <c r="H102" s="36" t="str">
        <f>IFERROR(__xludf.DUMMYFUNCTION("""COMPUTED_VALUE"""),"A")</f>
        <v>A</v>
      </c>
      <c r="I102" s="40" t="str">
        <f>IFERROR(__xludf.DUMMYFUNCTION("""COMPUTED_VALUE"""),"A-10")</f>
        <v>A-10</v>
      </c>
      <c r="J102" s="40">
        <f>IFERROR(__xludf.DUMMYFUNCTION("""COMPUTED_VALUE"""),3.0)</f>
        <v>3</v>
      </c>
      <c r="K102" s="40" t="str">
        <f>IFERROR(__xludf.DUMMYFUNCTION("""COMPUTED_VALUE"""),"3 WUSTHO PUTRA")</f>
        <v>3 WUSTHO PUTRA</v>
      </c>
      <c r="L102" s="58" t="str">
        <f>IFERROR(__xludf.DUMMYFUNCTION("""COMPUTED_VALUE"""),"6285640124812")</f>
        <v>6285640124812</v>
      </c>
      <c r="M102" s="43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3"/>
      <c r="AC102" s="42"/>
      <c r="AD102" s="42"/>
      <c r="AE102" s="42"/>
      <c r="AF102" s="42"/>
      <c r="AG102" s="42"/>
      <c r="AH102" s="42"/>
      <c r="AI102" s="42"/>
      <c r="AJ102" s="42"/>
      <c r="AK102" s="42">
        <f>IFERROR(__xludf.DUMMYFUNCTION("""COMPUTED_VALUE"""),450000.0)</f>
        <v>450000</v>
      </c>
      <c r="AL102" s="42">
        <f>IFERROR(__xludf.DUMMYFUNCTION("""COMPUTED_VALUE"""),450000.0)</f>
        <v>450000</v>
      </c>
      <c r="AM102" s="42">
        <f>IFERROR(__xludf.DUMMYFUNCTION("""COMPUTED_VALUE"""),450000.0)</f>
        <v>450000</v>
      </c>
      <c r="AN102" s="42">
        <f>IFERROR(__xludf.DUMMYFUNCTION("""COMPUTED_VALUE"""),450000.0)</f>
        <v>450000</v>
      </c>
      <c r="AO102" s="42"/>
      <c r="AP102" s="43"/>
      <c r="AQ102" s="42"/>
      <c r="AR102" s="42"/>
      <c r="AS102" s="43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IFERROR(__xludf.DUMMYFUNCTION("""COMPUTED_VALUE"""),1800000.0)</f>
        <v>1800000</v>
      </c>
      <c r="BD102" s="43">
        <f>IFERROR(__xludf.DUMMYFUNCTION("""COMPUTED_VALUE"""),0.0)</f>
        <v>0</v>
      </c>
      <c r="BE102" s="43">
        <f>IFERROR(__xludf.DUMMYFUNCTION("""COMPUTED_VALUE"""),0.0)</f>
        <v>0</v>
      </c>
      <c r="BF102" s="44">
        <f>IFERROR(__xludf.DUMMYFUNCTION("""COMPUTED_VALUE"""),1800000.0)</f>
        <v>1800000</v>
      </c>
      <c r="BG102" s="56"/>
      <c r="BH102" s="56"/>
      <c r="BI102" s="5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</row>
    <row r="103">
      <c r="A103" s="47">
        <f>IFERROR(__xludf.DUMMYFUNCTION("""COMPUTED_VALUE"""),102.0)</f>
        <v>102</v>
      </c>
      <c r="B103" s="48" t="str">
        <f>IFERROR(__xludf.DUMMYFUNCTION("""COMPUTED_VALUE"""),"WILDAN ARFIAN")</f>
        <v>WILDAN ARFIAN</v>
      </c>
      <c r="C103" s="49">
        <f>IFERROR(__xludf.DUMMYFUNCTION("""COMPUTED_VALUE"""),2.024070411E9)</f>
        <v>2024070411</v>
      </c>
      <c r="D103" s="48" t="str">
        <f>IFERROR(__xludf.DUMMYFUNCTION("""COMPUTED_VALUE"""),"ZAENAL ARIFIN")</f>
        <v>ZAENAL ARIFIN</v>
      </c>
      <c r="E103" s="48" t="str">
        <f>IFERROR(__xludf.DUMMYFUNCTION("""COMPUTED_VALUE"""),"MARATUL MUKARROMAH")</f>
        <v>MARATUL MUKARROMAH</v>
      </c>
      <c r="F103" s="48" t="str">
        <f>IFERROR(__xludf.DUMMYFUNCTION("""COMPUTED_VALUE"""),"KREBET KAYULEMAH RT 006 RW 002 SUMBERREJO BOJONEGORO")</f>
        <v>KREBET KAYULEMAH RT 006 RW 002 SUMBERREJO BOJONEGORO</v>
      </c>
      <c r="G103" s="49" t="str">
        <f>IFERROR(__xludf.DUMMYFUNCTION("""COMPUTED_VALUE"""),"MA-XII.13")</f>
        <v>MA-XII.13</v>
      </c>
      <c r="H103" s="47" t="str">
        <f>IFERROR(__xludf.DUMMYFUNCTION("""COMPUTED_VALUE"""),"A")</f>
        <v>A</v>
      </c>
      <c r="I103" s="53" t="str">
        <f>IFERROR(__xludf.DUMMYFUNCTION("""COMPUTED_VALUE"""),"A-2")</f>
        <v>A-2</v>
      </c>
      <c r="J103" s="51">
        <f>IFERROR(__xludf.DUMMYFUNCTION("""COMPUTED_VALUE"""),3.0)</f>
        <v>3</v>
      </c>
      <c r="K103" s="51" t="str">
        <f>IFERROR(__xludf.DUMMYFUNCTION("""COMPUTED_VALUE"""),"3 MAK PUTRA")</f>
        <v>3 MAK PUTRA</v>
      </c>
      <c r="L103" s="50" t="str">
        <f>IFERROR(__xludf.DUMMYFUNCTION("""COMPUTED_VALUE"""),"6282275756518")</f>
        <v>6282275756518</v>
      </c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4"/>
      <c r="AJ103" s="54"/>
      <c r="AK103" s="54"/>
      <c r="AL103" s="54"/>
      <c r="AM103" s="54"/>
      <c r="AN103" s="54"/>
      <c r="AO103" s="54"/>
      <c r="AP103" s="54">
        <f>IFERROR(__xludf.DUMMYFUNCTION("""COMPUTED_VALUE"""),500000.0)</f>
        <v>500000</v>
      </c>
      <c r="AQ103" s="54"/>
      <c r="AR103" s="54"/>
      <c r="AS103" s="54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IFERROR(__xludf.DUMMYFUNCTION("""COMPUTED_VALUE"""),0.0)</f>
        <v>0</v>
      </c>
      <c r="BD103" s="54">
        <f>IFERROR(__xludf.DUMMYFUNCTION("""COMPUTED_VALUE"""),500000.0)</f>
        <v>500000</v>
      </c>
      <c r="BE103" s="54">
        <f>IFERROR(__xludf.DUMMYFUNCTION("""COMPUTED_VALUE"""),0.0)</f>
        <v>0</v>
      </c>
      <c r="BF103" s="55">
        <f>IFERROR(__xludf.DUMMYFUNCTION("""COMPUTED_VALUE"""),500000.0)</f>
        <v>500000</v>
      </c>
      <c r="BG103" s="57"/>
      <c r="BH103" s="57"/>
      <c r="BI103" s="57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</row>
    <row r="104">
      <c r="A104" s="36">
        <f>IFERROR(__xludf.DUMMYFUNCTION("""COMPUTED_VALUE"""),103.0)</f>
        <v>103</v>
      </c>
      <c r="B104" s="37" t="str">
        <f>IFERROR(__xludf.DUMMYFUNCTION("""COMPUTED_VALUE"""),"ADELIAH PUTRI FEBRIANI")</f>
        <v>ADELIAH PUTRI FEBRIANI</v>
      </c>
      <c r="C104" s="38">
        <f>IFERROR(__xludf.DUMMYFUNCTION("""COMPUTED_VALUE"""),2.024070735E9)</f>
        <v>2024070735</v>
      </c>
      <c r="D104" s="37" t="str">
        <f>IFERROR(__xludf.DUMMYFUNCTION("""COMPUTED_VALUE"""),"MASKUN")</f>
        <v>MASKUN</v>
      </c>
      <c r="E104" s="37" t="str">
        <f>IFERROR(__xludf.DUMMYFUNCTION("""COMPUTED_VALUE"""),"NASHOHAH")</f>
        <v>NASHOHAH</v>
      </c>
      <c r="F104" s="37" t="str">
        <f>IFERROR(__xludf.DUMMYFUNCTION("""COMPUTED_VALUE"""),"DORO KARANGWEDORO RT 001 RW 001 TURI LAMONGAN")</f>
        <v>DORO KARANGWEDORO RT 001 RW 001 TURI LAMONGAN</v>
      </c>
      <c r="G104" s="38" t="str">
        <f>IFERROR(__xludf.DUMMYFUNCTION("""COMPUTED_VALUE"""),"SMP-IX C")</f>
        <v>SMP-IX C</v>
      </c>
      <c r="H104" s="36" t="str">
        <f>IFERROR(__xludf.DUMMYFUNCTION("""COMPUTED_VALUE"""),"B")</f>
        <v>B</v>
      </c>
      <c r="I104" s="40" t="str">
        <f>IFERROR(__xludf.DUMMYFUNCTION("""COMPUTED_VALUE"""),"B-9")</f>
        <v>B-9</v>
      </c>
      <c r="J104" s="40">
        <f>IFERROR(__xludf.DUMMYFUNCTION("""COMPUTED_VALUE"""),3.0)</f>
        <v>3</v>
      </c>
      <c r="K104" s="40" t="str">
        <f>IFERROR(__xludf.DUMMYFUNCTION("""COMPUTED_VALUE"""),"3 ULA C PUTRI")</f>
        <v>3 ULA C PUTRI</v>
      </c>
      <c r="L104" s="39" t="str">
        <f>IFERROR(__xludf.DUMMYFUNCTION("""COMPUTED_VALUE"""),"6285706603124")</f>
        <v>6285706603124</v>
      </c>
      <c r="M104" s="43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3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3">
        <f>IFERROR(__xludf.DUMMYFUNCTION("""COMPUTED_VALUE"""),450000.0)</f>
        <v>450000</v>
      </c>
      <c r="AO104" s="43"/>
      <c r="AP104" s="43">
        <f>IFERROR(__xludf.DUMMYFUNCTION("""COMPUTED_VALUE"""),500000.0)</f>
        <v>500000</v>
      </c>
      <c r="AQ104" s="43"/>
      <c r="AR104" s="43"/>
      <c r="AS104" s="43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IFERROR(__xludf.DUMMYFUNCTION("""COMPUTED_VALUE"""),450000.0)</f>
        <v>450000</v>
      </c>
      <c r="BD104" s="43">
        <f>IFERROR(__xludf.DUMMYFUNCTION("""COMPUTED_VALUE"""),500000.0)</f>
        <v>500000</v>
      </c>
      <c r="BE104" s="43">
        <f>IFERROR(__xludf.DUMMYFUNCTION("""COMPUTED_VALUE"""),0.0)</f>
        <v>0</v>
      </c>
      <c r="BF104" s="44">
        <f>IFERROR(__xludf.DUMMYFUNCTION("""COMPUTED_VALUE"""),950000.0)</f>
        <v>950000</v>
      </c>
      <c r="BG104" s="56"/>
      <c r="BH104" s="56"/>
      <c r="BI104" s="5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</row>
    <row r="105">
      <c r="A105" s="47">
        <f>IFERROR(__xludf.DUMMYFUNCTION("""COMPUTED_VALUE"""),104.0)</f>
        <v>104</v>
      </c>
      <c r="B105" s="48" t="str">
        <f>IFERROR(__xludf.DUMMYFUNCTION("""COMPUTED_VALUE"""),"ALIFIA SEPTIANI AZ ZAHRA")</f>
        <v>ALIFIA SEPTIANI AZ ZAHRA</v>
      </c>
      <c r="C105" s="49">
        <f>IFERROR(__xludf.DUMMYFUNCTION("""COMPUTED_VALUE"""),2.024090773E9)</f>
        <v>2024090773</v>
      </c>
      <c r="D105" s="48" t="str">
        <f>IFERROR(__xludf.DUMMYFUNCTION("""COMPUTED_VALUE"""),"JOKO SUTRISNO")</f>
        <v>JOKO SUTRISNO</v>
      </c>
      <c r="E105" s="48" t="str">
        <f>IFERROR(__xludf.DUMMYFUNCTION("""COMPUTED_VALUE"""),"KHOIRUL FITRI")</f>
        <v>KHOIRUL FITRI</v>
      </c>
      <c r="F105" s="48" t="str">
        <f>IFERROR(__xludf.DUMMYFUNCTION("""COMPUTED_VALUE"""),"DORO KARANGWEDORO RT 006 RW 002 TURI LAMONGAN")</f>
        <v>DORO KARANGWEDORO RT 006 RW 002 TURI LAMONGAN</v>
      </c>
      <c r="G105" s="49" t="str">
        <f>IFERROR(__xludf.DUMMYFUNCTION("""COMPUTED_VALUE"""),"MTS-9 C")</f>
        <v>MTS-9 C</v>
      </c>
      <c r="H105" s="47" t="str">
        <f>IFERROR(__xludf.DUMMYFUNCTION("""COMPUTED_VALUE"""),"B")</f>
        <v>B</v>
      </c>
      <c r="I105" s="51" t="str">
        <f>IFERROR(__xludf.DUMMYFUNCTION("""COMPUTED_VALUE"""),"B-9")</f>
        <v>B-9</v>
      </c>
      <c r="J105" s="51">
        <f>IFERROR(__xludf.DUMMYFUNCTION("""COMPUTED_VALUE"""),3.0)</f>
        <v>3</v>
      </c>
      <c r="K105" s="51" t="str">
        <f>IFERROR(__xludf.DUMMYFUNCTION("""COMPUTED_VALUE"""),"3 ULA C PUTRI")</f>
        <v>3 ULA C PUTRI</v>
      </c>
      <c r="L105" s="50" t="str">
        <f>IFERROR(__xludf.DUMMYFUNCTION("""COMPUTED_VALUE"""),"6281556637615")</f>
        <v>6281556637615</v>
      </c>
      <c r="M105" s="54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4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>
        <f>IFERROR(__xludf.DUMMYFUNCTION("""COMPUTED_VALUE"""),450000.0)</f>
        <v>450000</v>
      </c>
      <c r="AN105" s="53">
        <f>IFERROR(__xludf.DUMMYFUNCTION("""COMPUTED_VALUE"""),450000.0)</f>
        <v>450000</v>
      </c>
      <c r="AO105" s="54"/>
      <c r="AP105" s="54">
        <f>IFERROR(__xludf.DUMMYFUNCTION("""COMPUTED_VALUE"""),500000.0)</f>
        <v>500000</v>
      </c>
      <c r="AQ105" s="54"/>
      <c r="AR105" s="54"/>
      <c r="AS105" s="54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IFERROR(__xludf.DUMMYFUNCTION("""COMPUTED_VALUE"""),900000.0)</f>
        <v>900000</v>
      </c>
      <c r="BD105" s="54">
        <f>IFERROR(__xludf.DUMMYFUNCTION("""COMPUTED_VALUE"""),500000.0)</f>
        <v>500000</v>
      </c>
      <c r="BE105" s="54">
        <f>IFERROR(__xludf.DUMMYFUNCTION("""COMPUTED_VALUE"""),0.0)</f>
        <v>0</v>
      </c>
      <c r="BF105" s="55">
        <f>IFERROR(__xludf.DUMMYFUNCTION("""COMPUTED_VALUE"""),1400000.0)</f>
        <v>1400000</v>
      </c>
      <c r="BG105" s="57"/>
      <c r="BH105" s="57"/>
      <c r="BI105" s="57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</row>
    <row r="106">
      <c r="A106" s="36">
        <f>IFERROR(__xludf.DUMMYFUNCTION("""COMPUTED_VALUE"""),105.0)</f>
        <v>105</v>
      </c>
      <c r="B106" s="37" t="str">
        <f>IFERROR(__xludf.DUMMYFUNCTION("""COMPUTED_VALUE"""),"ALYA SHIFA AZZAHRA")</f>
        <v>ALYA SHIFA AZZAHRA</v>
      </c>
      <c r="C106" s="38">
        <f>IFERROR(__xludf.DUMMYFUNCTION("""COMPUTED_VALUE"""),2.024070579E9)</f>
        <v>2024070579</v>
      </c>
      <c r="D106" s="37" t="str">
        <f>IFERROR(__xludf.DUMMYFUNCTION("""COMPUTED_VALUE"""),"ARIF ROHMAN")</f>
        <v>ARIF ROHMAN</v>
      </c>
      <c r="E106" s="37" t="str">
        <f>IFERROR(__xludf.DUMMYFUNCTION("""COMPUTED_VALUE"""),"SULASTRI")</f>
        <v>SULASTRI</v>
      </c>
      <c r="F106" s="37" t="str">
        <f>IFERROR(__xludf.DUMMYFUNCTION("""COMPUTED_VALUE"""),"BANJARAN TURI RT 008 RW 002 MADURAN LAMONGAN")</f>
        <v>BANJARAN TURI RT 008 RW 002 MADURAN LAMONGAN</v>
      </c>
      <c r="G106" s="39" t="str">
        <f>IFERROR(__xludf.DUMMYFUNCTION("""COMPUTED_VALUE"""),"MTS-9 G")</f>
        <v>MTS-9 G</v>
      </c>
      <c r="H106" s="36" t="str">
        <f>IFERROR(__xludf.DUMMYFUNCTION("""COMPUTED_VALUE"""),"B")</f>
        <v>B</v>
      </c>
      <c r="I106" s="40" t="str">
        <f>IFERROR(__xludf.DUMMYFUNCTION("""COMPUTED_VALUE"""),"B-9")</f>
        <v>B-9</v>
      </c>
      <c r="J106" s="40">
        <f>IFERROR(__xludf.DUMMYFUNCTION("""COMPUTED_VALUE"""),3.0)</f>
        <v>3</v>
      </c>
      <c r="K106" s="40" t="str">
        <f>IFERROR(__xludf.DUMMYFUNCTION("""COMPUTED_VALUE"""),"3 ULA B PUTRI")</f>
        <v>3 ULA B PUTRI</v>
      </c>
      <c r="L106" s="39" t="str">
        <f>IFERROR(__xludf.DUMMYFUNCTION("""COMPUTED_VALUE"""),"6285738896773")</f>
        <v>6285738896773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3"/>
      <c r="AR106" s="43"/>
      <c r="AS106" s="43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56"/>
      <c r="BH106" s="56"/>
      <c r="BI106" s="5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</row>
    <row r="107">
      <c r="A107" s="47">
        <f>IFERROR(__xludf.DUMMYFUNCTION("""COMPUTED_VALUE"""),106.0)</f>
        <v>106</v>
      </c>
      <c r="B107" s="48" t="str">
        <f>IFERROR(__xludf.DUMMYFUNCTION("""COMPUTED_VALUE"""),"AYUNDA KIRANA QURROTUL ISHAQIYYAH")</f>
        <v>AYUNDA KIRANA QURROTUL ISHAQIYYAH</v>
      </c>
      <c r="C107" s="49">
        <f>IFERROR(__xludf.DUMMYFUNCTION("""COMPUTED_VALUE"""),2.024070742E9)</f>
        <v>2024070742</v>
      </c>
      <c r="D107" s="48" t="str">
        <f>IFERROR(__xludf.DUMMYFUNCTION("""COMPUTED_VALUE"""),"ERWANTO")</f>
        <v>ERWANTO</v>
      </c>
      <c r="E107" s="48" t="str">
        <f>IFERROR(__xludf.DUMMYFUNCTION("""COMPUTED_VALUE"""),"ZUMAROH")</f>
        <v>ZUMAROH</v>
      </c>
      <c r="F107" s="48" t="str">
        <f>IFERROR(__xludf.DUMMYFUNCTION("""COMPUTED_VALUE"""),"PANGEAN RT 008 RW 002 MADURAN LAMONGAN")</f>
        <v>PANGEAN RT 008 RW 002 MADURAN LAMONGAN</v>
      </c>
      <c r="G107" s="57" t="str">
        <f>IFERROR(__xludf.DUMMYFUNCTION("""COMPUTED_VALUE"""),"SMP-IX B")</f>
        <v>SMP-IX B</v>
      </c>
      <c r="H107" s="47" t="str">
        <f>IFERROR(__xludf.DUMMYFUNCTION("""COMPUTED_VALUE"""),"B")</f>
        <v>B</v>
      </c>
      <c r="I107" s="51" t="str">
        <f>IFERROR(__xludf.DUMMYFUNCTION("""COMPUTED_VALUE"""),"B-10")</f>
        <v>B-10</v>
      </c>
      <c r="J107" s="51">
        <f>IFERROR(__xludf.DUMMYFUNCTION("""COMPUTED_VALUE"""),3.0)</f>
        <v>3</v>
      </c>
      <c r="K107" s="51" t="str">
        <f>IFERROR(__xludf.DUMMYFUNCTION("""COMPUTED_VALUE"""),"3 ULA A PUTRI")</f>
        <v>3 ULA A PUTRI</v>
      </c>
      <c r="L107" s="61" t="str">
        <f>IFERROR(__xludf.DUMMYFUNCTION("""COMPUTED_VALUE"""),"6285648522402")</f>
        <v>6285648522402</v>
      </c>
      <c r="M107" s="54"/>
      <c r="N107" s="53"/>
      <c r="O107" s="53"/>
      <c r="P107" s="53"/>
      <c r="Q107" s="53"/>
      <c r="R107" s="53"/>
      <c r="S107" s="53">
        <f>IFERROR(__xludf.DUMMYFUNCTION("""COMPUTED_VALUE"""),450000.0)</f>
        <v>450000</v>
      </c>
      <c r="T107" s="53">
        <f>IFERROR(__xludf.DUMMYFUNCTION("""COMPUTED_VALUE"""),450000.0)</f>
        <v>450000</v>
      </c>
      <c r="U107" s="53">
        <f>IFERROR(__xludf.DUMMYFUNCTION("""COMPUTED_VALUE"""),450000.0)</f>
        <v>450000</v>
      </c>
      <c r="V107" s="53">
        <f>IFERROR(__xludf.DUMMYFUNCTION("""COMPUTED_VALUE"""),450000.0)</f>
        <v>450000</v>
      </c>
      <c r="W107" s="53">
        <f>IFERROR(__xludf.DUMMYFUNCTION("""COMPUTED_VALUE"""),450000.0)</f>
        <v>450000</v>
      </c>
      <c r="X107" s="53">
        <f>IFERROR(__xludf.DUMMYFUNCTION("""COMPUTED_VALUE"""),450000.0)</f>
        <v>450000</v>
      </c>
      <c r="Y107" s="53">
        <f>IFERROR(__xludf.DUMMYFUNCTION("""COMPUTED_VALUE"""),450000.0)</f>
        <v>450000</v>
      </c>
      <c r="Z107" s="53">
        <f>IFERROR(__xludf.DUMMYFUNCTION("""COMPUTED_VALUE"""),450000.0)</f>
        <v>450000</v>
      </c>
      <c r="AA107" s="53"/>
      <c r="AB107" s="54">
        <f>IFERROR(__xludf.DUMMYFUNCTION("""COMPUTED_VALUE"""),500000.0)</f>
        <v>500000</v>
      </c>
      <c r="AC107" s="53">
        <f>IFERROR(__xludf.DUMMYFUNCTION("""COMPUTED_VALUE"""),450000.0)</f>
        <v>450000</v>
      </c>
      <c r="AD107" s="53">
        <f>IFERROR(__xludf.DUMMYFUNCTION("""COMPUTED_VALUE"""),450000.0)</f>
        <v>450000</v>
      </c>
      <c r="AE107" s="53">
        <f>IFERROR(__xludf.DUMMYFUNCTION("""COMPUTED_VALUE"""),450000.0)</f>
        <v>450000</v>
      </c>
      <c r="AF107" s="53">
        <f>IFERROR(__xludf.DUMMYFUNCTION("""COMPUTED_VALUE"""),450000.0)</f>
        <v>450000</v>
      </c>
      <c r="AG107" s="54">
        <f>IFERROR(__xludf.DUMMYFUNCTION("""COMPUTED_VALUE"""),450000.0)</f>
        <v>450000</v>
      </c>
      <c r="AH107" s="54">
        <f>IFERROR(__xludf.DUMMYFUNCTION("""COMPUTED_VALUE"""),450000.0)</f>
        <v>450000</v>
      </c>
      <c r="AI107" s="54">
        <f>IFERROR(__xludf.DUMMYFUNCTION("""COMPUTED_VALUE"""),450000.0)</f>
        <v>450000</v>
      </c>
      <c r="AJ107" s="54">
        <f>IFERROR(__xludf.DUMMYFUNCTION("""COMPUTED_VALUE"""),450000.0)</f>
        <v>450000</v>
      </c>
      <c r="AK107" s="54">
        <f>IFERROR(__xludf.DUMMYFUNCTION("""COMPUTED_VALUE"""),450000.0)</f>
        <v>450000</v>
      </c>
      <c r="AL107" s="54">
        <f>IFERROR(__xludf.DUMMYFUNCTION("""COMPUTED_VALUE"""),450000.0)</f>
        <v>450000</v>
      </c>
      <c r="AM107" s="54">
        <f>IFERROR(__xludf.DUMMYFUNCTION("""COMPUTED_VALUE"""),450000.0)</f>
        <v>450000</v>
      </c>
      <c r="AN107" s="54">
        <f>IFERROR(__xludf.DUMMYFUNCTION("""COMPUTED_VALUE"""),450000.0)</f>
        <v>450000</v>
      </c>
      <c r="AO107" s="54"/>
      <c r="AP107" s="54">
        <f>IFERROR(__xludf.DUMMYFUNCTION("""COMPUTED_VALUE"""),500000.0)</f>
        <v>500000</v>
      </c>
      <c r="AQ107" s="54"/>
      <c r="AR107" s="54"/>
      <c r="AS107" s="54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IFERROR(__xludf.DUMMYFUNCTION("""COMPUTED_VALUE"""),9000000.0)</f>
        <v>9000000</v>
      </c>
      <c r="BD107" s="54">
        <f>IFERROR(__xludf.DUMMYFUNCTION("""COMPUTED_VALUE"""),1000000.0)</f>
        <v>1000000</v>
      </c>
      <c r="BE107" s="54">
        <f>IFERROR(__xludf.DUMMYFUNCTION("""COMPUTED_VALUE"""),0.0)</f>
        <v>0</v>
      </c>
      <c r="BF107" s="55">
        <f>IFERROR(__xludf.DUMMYFUNCTION("""COMPUTED_VALUE"""),1.0E7)</f>
        <v>10000000</v>
      </c>
      <c r="BG107" s="57"/>
      <c r="BH107" s="57"/>
      <c r="BI107" s="57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</row>
    <row r="108">
      <c r="A108" s="36">
        <f>IFERROR(__xludf.DUMMYFUNCTION("""COMPUTED_VALUE"""),107.0)</f>
        <v>107</v>
      </c>
      <c r="B108" s="37" t="str">
        <f>IFERROR(__xludf.DUMMYFUNCTION("""COMPUTED_VALUE"""),"DESTIYA NUR LAILI")</f>
        <v>DESTIYA NUR LAILI</v>
      </c>
      <c r="C108" s="38">
        <f>IFERROR(__xludf.DUMMYFUNCTION("""COMPUTED_VALUE"""),2.024070758E9)</f>
        <v>2024070758</v>
      </c>
      <c r="D108" s="37" t="str">
        <f>IFERROR(__xludf.DUMMYFUNCTION("""COMPUTED_VALUE"""),"ARIS SAMSUDIN")</f>
        <v>ARIS SAMSUDIN</v>
      </c>
      <c r="E108" s="37" t="str">
        <f>IFERROR(__xludf.DUMMYFUNCTION("""COMPUTED_VALUE"""),"LUTFI NUR ROHMAWATI")</f>
        <v>LUTFI NUR ROHMAWATI</v>
      </c>
      <c r="F108" s="37" t="str">
        <f>IFERROR(__xludf.DUMMYFUNCTION("""COMPUTED_VALUE"""),"LERAN BARU KEYONGAN RT 003 RW 006 BABAT LAMONGAN")</f>
        <v>LERAN BARU KEYONGAN RT 003 RW 006 BABAT LAMONGAN</v>
      </c>
      <c r="G108" s="38" t="str">
        <f>IFERROR(__xludf.DUMMYFUNCTION("""COMPUTED_VALUE"""),"SMP-IX C")</f>
        <v>SMP-IX C</v>
      </c>
      <c r="H108" s="36" t="str">
        <f>IFERROR(__xludf.DUMMYFUNCTION("""COMPUTED_VALUE"""),"B")</f>
        <v>B</v>
      </c>
      <c r="I108" s="40" t="str">
        <f>IFERROR(__xludf.DUMMYFUNCTION("""COMPUTED_VALUE"""),"B-9")</f>
        <v>B-9</v>
      </c>
      <c r="J108" s="40">
        <f>IFERROR(__xludf.DUMMYFUNCTION("""COMPUTED_VALUE"""),3.0)</f>
        <v>3</v>
      </c>
      <c r="K108" s="40" t="str">
        <f>IFERROR(__xludf.DUMMYFUNCTION("""COMPUTED_VALUE"""),"3 ULA B PUTRI")</f>
        <v>3 ULA B PUTRI</v>
      </c>
      <c r="L108" s="39" t="str">
        <f>IFERROR(__xludf.DUMMYFUNCTION("""COMPUTED_VALUE"""),"6285745740702")</f>
        <v>6285745740702</v>
      </c>
      <c r="M108" s="43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3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>
        <f>IFERROR(__xludf.DUMMYFUNCTION("""COMPUTED_VALUE"""),450000.0)</f>
        <v>450000</v>
      </c>
      <c r="AO108" s="42"/>
      <c r="AP108" s="43">
        <f>IFERROR(__xludf.DUMMYFUNCTION("""COMPUTED_VALUE"""),500000.0)</f>
        <v>500000</v>
      </c>
      <c r="AQ108" s="42"/>
      <c r="AR108" s="43"/>
      <c r="AS108" s="43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IFERROR(__xludf.DUMMYFUNCTION("""COMPUTED_VALUE"""),450000.0)</f>
        <v>450000</v>
      </c>
      <c r="BD108" s="43">
        <f>IFERROR(__xludf.DUMMYFUNCTION("""COMPUTED_VALUE"""),500000.0)</f>
        <v>500000</v>
      </c>
      <c r="BE108" s="43">
        <f>IFERROR(__xludf.DUMMYFUNCTION("""COMPUTED_VALUE"""),0.0)</f>
        <v>0</v>
      </c>
      <c r="BF108" s="44">
        <f>IFERROR(__xludf.DUMMYFUNCTION("""COMPUTED_VALUE"""),950000.0)</f>
        <v>950000</v>
      </c>
      <c r="BG108" s="56"/>
      <c r="BH108" s="56"/>
      <c r="BI108" s="5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</row>
    <row r="109">
      <c r="A109" s="47">
        <f>IFERROR(__xludf.DUMMYFUNCTION("""COMPUTED_VALUE"""),108.0)</f>
        <v>108</v>
      </c>
      <c r="B109" s="48" t="str">
        <f>IFERROR(__xludf.DUMMYFUNCTION("""COMPUTED_VALUE"""),"FAHDINA ZAHRA RAMADHANI")</f>
        <v>FAHDINA ZAHRA RAMADHANI</v>
      </c>
      <c r="C109" s="49">
        <f>IFERROR(__xludf.DUMMYFUNCTION("""COMPUTED_VALUE"""),2.024070514E9)</f>
        <v>2024070514</v>
      </c>
      <c r="D109" s="48" t="str">
        <f>IFERROR(__xludf.DUMMYFUNCTION("""COMPUTED_VALUE"""),"MOH. ANDIK")</f>
        <v>MOH. ANDIK</v>
      </c>
      <c r="E109" s="48" t="str">
        <f>IFERROR(__xludf.DUMMYFUNCTION("""COMPUTED_VALUE"""),"DEFI NUR CHUSAINI")</f>
        <v>DEFI NUR CHUSAINI</v>
      </c>
      <c r="F109" s="48" t="str">
        <f>IFERROR(__xludf.DUMMYFUNCTION("""COMPUTED_VALUE"""),"SIDOMULYO RT 004 RW 003 DEKET LAMONGAN")</f>
        <v>SIDOMULYO RT 004 RW 003 DEKET LAMONGAN</v>
      </c>
      <c r="G109" s="49" t="str">
        <f>IFERROR(__xludf.DUMMYFUNCTION("""COMPUTED_VALUE"""),"MTS-9 C")</f>
        <v>MTS-9 C</v>
      </c>
      <c r="H109" s="47" t="str">
        <f>IFERROR(__xludf.DUMMYFUNCTION("""COMPUTED_VALUE"""),"B")</f>
        <v>B</v>
      </c>
      <c r="I109" s="51" t="str">
        <f>IFERROR(__xludf.DUMMYFUNCTION("""COMPUTED_VALUE"""),"B-9")</f>
        <v>B-9</v>
      </c>
      <c r="J109" s="51">
        <f>IFERROR(__xludf.DUMMYFUNCTION("""COMPUTED_VALUE"""),3.0)</f>
        <v>3</v>
      </c>
      <c r="K109" s="51" t="str">
        <f>IFERROR(__xludf.DUMMYFUNCTION("""COMPUTED_VALUE"""),"3 ULA B PUTRI")</f>
        <v>3 ULA B PUTRI</v>
      </c>
      <c r="L109" s="50" t="str">
        <f>IFERROR(__xludf.DUMMYFUNCTION("""COMPUTED_VALUE"""),"6285748441057")</f>
        <v>6285748441057</v>
      </c>
      <c r="M109" s="54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4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4"/>
      <c r="AP109" s="54"/>
      <c r="AQ109" s="53"/>
      <c r="AR109" s="54"/>
      <c r="AS109" s="54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IFERROR(__xludf.DUMMYFUNCTION("""COMPUTED_VALUE"""),0.0)</f>
        <v>0</v>
      </c>
      <c r="BE109" s="54">
        <f>IFERROR(__xludf.DUMMYFUNCTION("""COMPUTED_VALUE"""),0.0)</f>
        <v>0</v>
      </c>
      <c r="BF109" s="55">
        <f>IFERROR(__xludf.DUMMYFUNCTION("""COMPUTED_VALUE"""),0.0)</f>
        <v>0</v>
      </c>
      <c r="BG109" s="57"/>
      <c r="BH109" s="57"/>
      <c r="BI109" s="57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</row>
    <row r="110">
      <c r="A110" s="36">
        <f>IFERROR(__xludf.DUMMYFUNCTION("""COMPUTED_VALUE"""),109.0)</f>
        <v>109</v>
      </c>
      <c r="B110" s="37" t="str">
        <f>IFERROR(__xludf.DUMMYFUNCTION("""COMPUTED_VALUE"""),"FATIMAH AZ-ZAHRAH")</f>
        <v>FATIMAH AZ-ZAHRAH</v>
      </c>
      <c r="C110" s="38">
        <f>IFERROR(__xludf.DUMMYFUNCTION("""COMPUTED_VALUE"""),2.024070507E9)</f>
        <v>2024070507</v>
      </c>
      <c r="D110" s="37" t="str">
        <f>IFERROR(__xludf.DUMMYFUNCTION("""COMPUTED_VALUE"""),"AHMAD ZUHDI")</f>
        <v>AHMAD ZUHDI</v>
      </c>
      <c r="E110" s="37" t="str">
        <f>IFERROR(__xludf.DUMMYFUNCTION("""COMPUTED_VALUE"""),"SITI LUTHFIYAH")</f>
        <v>SITI LUTHFIYAH</v>
      </c>
      <c r="F110" s="37" t="str">
        <f>IFERROR(__xludf.DUMMYFUNCTION("""COMPUTED_VALUE"""),"SONGO SUKOSONGO RT 013 RW 006 KEMBANGBAHU LAMONGAN")</f>
        <v>SONGO SUKOSONGO RT 013 RW 006 KEMBANGBAHU LAMONGAN</v>
      </c>
      <c r="G110" s="38" t="str">
        <f>IFERROR(__xludf.DUMMYFUNCTION("""COMPUTED_VALUE"""),"MTS-9 H")</f>
        <v>MTS-9 H</v>
      </c>
      <c r="H110" s="36" t="str">
        <f>IFERROR(__xludf.DUMMYFUNCTION("""COMPUTED_VALUE"""),"B")</f>
        <v>B</v>
      </c>
      <c r="I110" s="40" t="str">
        <f>IFERROR(__xludf.DUMMYFUNCTION("""COMPUTED_VALUE"""),"B-9")</f>
        <v>B-9</v>
      </c>
      <c r="J110" s="40">
        <f>IFERROR(__xludf.DUMMYFUNCTION("""COMPUTED_VALUE"""),3.0)</f>
        <v>3</v>
      </c>
      <c r="K110" s="40" t="str">
        <f>IFERROR(__xludf.DUMMYFUNCTION("""COMPUTED_VALUE"""),"3 ULA B PUTRI")</f>
        <v>3 ULA B PUTRI</v>
      </c>
      <c r="L110" s="39" t="str">
        <f>IFERROR(__xludf.DUMMYFUNCTION("""COMPUTED_VALUE"""),"6285706056735")</f>
        <v>6285706056735</v>
      </c>
      <c r="M110" s="43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3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3"/>
      <c r="AP110" s="43">
        <f>IFERROR(__xludf.DUMMYFUNCTION("""COMPUTED_VALUE"""),500000.0)</f>
        <v>500000</v>
      </c>
      <c r="AQ110" s="43"/>
      <c r="AR110" s="43"/>
      <c r="AS110" s="43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IFERROR(__xludf.DUMMYFUNCTION("""COMPUTED_VALUE"""),500000.0)</f>
        <v>500000</v>
      </c>
      <c r="BE110" s="43">
        <f>IFERROR(__xludf.DUMMYFUNCTION("""COMPUTED_VALUE"""),0.0)</f>
        <v>0</v>
      </c>
      <c r="BF110" s="44">
        <f>IFERROR(__xludf.DUMMYFUNCTION("""COMPUTED_VALUE"""),500000.0)</f>
        <v>500000</v>
      </c>
      <c r="BG110" s="56"/>
      <c r="BH110" s="56"/>
      <c r="BI110" s="5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</row>
    <row r="111">
      <c r="A111" s="47">
        <f>IFERROR(__xludf.DUMMYFUNCTION("""COMPUTED_VALUE"""),110.0)</f>
        <v>110</v>
      </c>
      <c r="B111" s="48" t="str">
        <f>IFERROR(__xludf.DUMMYFUNCTION("""COMPUTED_VALUE"""),"IMELDA CAHYA ANGGRAENI")</f>
        <v>IMELDA CAHYA ANGGRAENI</v>
      </c>
      <c r="C111" s="49">
        <f>IFERROR(__xludf.DUMMYFUNCTION("""COMPUTED_VALUE"""),2.024070515E9)</f>
        <v>2024070515</v>
      </c>
      <c r="D111" s="48" t="str">
        <f>IFERROR(__xludf.DUMMYFUNCTION("""COMPUTED_VALUE"""),"IMAM MUJIANTO")</f>
        <v>IMAM MUJIANTO</v>
      </c>
      <c r="E111" s="48" t="str">
        <f>IFERROR(__xludf.DUMMYFUNCTION("""COMPUTED_VALUE"""),"ELIYAH LUTFIANAH")</f>
        <v>ELIYAH LUTFIANAH</v>
      </c>
      <c r="F111" s="48" t="str">
        <f>IFERROR(__xludf.DUMMYFUNCTION("""COMPUTED_VALUE"""),"MELUKE SIDOMULYO RT 002 RW 003 DEKET LAMONGAN")</f>
        <v>MELUKE SIDOMULYO RT 002 RW 003 DEKET LAMONGAN</v>
      </c>
      <c r="G111" s="49" t="str">
        <f>IFERROR(__xludf.DUMMYFUNCTION("""COMPUTED_VALUE"""),"MTS-9 D")</f>
        <v>MTS-9 D</v>
      </c>
      <c r="H111" s="47" t="str">
        <f>IFERROR(__xludf.DUMMYFUNCTION("""COMPUTED_VALUE"""),"B")</f>
        <v>B</v>
      </c>
      <c r="I111" s="51" t="str">
        <f>IFERROR(__xludf.DUMMYFUNCTION("""COMPUTED_VALUE"""),"B-9")</f>
        <v>B-9</v>
      </c>
      <c r="J111" s="51">
        <f>IFERROR(__xludf.DUMMYFUNCTION("""COMPUTED_VALUE"""),3.0)</f>
        <v>3</v>
      </c>
      <c r="K111" s="51" t="str">
        <f>IFERROR(__xludf.DUMMYFUNCTION("""COMPUTED_VALUE"""),"3 ULA B PUTRI")</f>
        <v>3 ULA B PUTRI</v>
      </c>
      <c r="L111" s="50" t="str">
        <f>IFERROR(__xludf.DUMMYFUNCTION("""COMPUTED_VALUE"""),"6285604272784")</f>
        <v>6285604272784</v>
      </c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4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7"/>
      <c r="BH111" s="57"/>
      <c r="BI111" s="57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</row>
    <row r="112">
      <c r="A112" s="36">
        <f>IFERROR(__xludf.DUMMYFUNCTION("""COMPUTED_VALUE"""),111.0)</f>
        <v>111</v>
      </c>
      <c r="B112" s="37" t="str">
        <f>IFERROR(__xludf.DUMMYFUNCTION("""COMPUTED_VALUE"""),"KAYYISA ILMI RAFANDA")</f>
        <v>KAYYISA ILMI RAFANDA</v>
      </c>
      <c r="C112" s="38">
        <f>IFERROR(__xludf.DUMMYFUNCTION("""COMPUTED_VALUE"""),2.024070723E9)</f>
        <v>2024070723</v>
      </c>
      <c r="D112" s="37" t="str">
        <f>IFERROR(__xludf.DUMMYFUNCTION("""COMPUTED_VALUE"""),"MAFTUKIN")</f>
        <v>MAFTUKIN</v>
      </c>
      <c r="E112" s="37" t="str">
        <f>IFERROR(__xludf.DUMMYFUNCTION("""COMPUTED_VALUE"""),"MAFTUKHAH")</f>
        <v>MAFTUKHAH</v>
      </c>
      <c r="F112" s="37" t="str">
        <f>IFERROR(__xludf.DUMMYFUNCTION("""COMPUTED_VALUE"""),"PANGEAN RT 002 RW 001 MADURAN LAMONGAN")</f>
        <v>PANGEAN RT 002 RW 001 MADURAN LAMONGAN</v>
      </c>
      <c r="G112" s="56" t="str">
        <f>IFERROR(__xludf.DUMMYFUNCTION("""COMPUTED_VALUE"""),"SMP-IX B")</f>
        <v>SMP-IX B</v>
      </c>
      <c r="H112" s="36" t="str">
        <f>IFERROR(__xludf.DUMMYFUNCTION("""COMPUTED_VALUE"""),"B")</f>
        <v>B</v>
      </c>
      <c r="I112" s="40" t="str">
        <f>IFERROR(__xludf.DUMMYFUNCTION("""COMPUTED_VALUE"""),"B-10")</f>
        <v>B-10</v>
      </c>
      <c r="J112" s="40">
        <f>IFERROR(__xludf.DUMMYFUNCTION("""COMPUTED_VALUE"""),3.0)</f>
        <v>3</v>
      </c>
      <c r="K112" s="40" t="str">
        <f>IFERROR(__xludf.DUMMYFUNCTION("""COMPUTED_VALUE"""),"3 ULA A PUTRI")</f>
        <v>3 ULA A PUTRI</v>
      </c>
      <c r="L112" s="39" t="str">
        <f>IFERROR(__xludf.DUMMYFUNCTION("""COMPUTED_VALUE"""),"6282139931854")</f>
        <v>6282139931854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3"/>
      <c r="AC112" s="42"/>
      <c r="AD112" s="42"/>
      <c r="AE112" s="42"/>
      <c r="AF112" s="42"/>
      <c r="AG112" s="42"/>
      <c r="AH112" s="42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IFERROR(__xludf.DUMMYFUNCTION("""COMPUTED_VALUE"""),0.0)</f>
        <v>0</v>
      </c>
      <c r="BD112" s="43">
        <f>IFERROR(__xludf.DUMMYFUNCTION("""COMPUTED_VALUE"""),0.0)</f>
        <v>0</v>
      </c>
      <c r="BE112" s="43">
        <f>IFERROR(__xludf.DUMMYFUNCTION("""COMPUTED_VALUE"""),0.0)</f>
        <v>0</v>
      </c>
      <c r="BF112" s="44">
        <f>IFERROR(__xludf.DUMMYFUNCTION("""COMPUTED_VALUE"""),0.0)</f>
        <v>0</v>
      </c>
      <c r="BG112" s="56"/>
      <c r="BH112" s="56"/>
      <c r="BI112" s="5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</row>
    <row r="113">
      <c r="A113" s="47">
        <f>IFERROR(__xludf.DUMMYFUNCTION("""COMPUTED_VALUE"""),112.0)</f>
        <v>112</v>
      </c>
      <c r="B113" s="48" t="str">
        <f>IFERROR(__xludf.DUMMYFUNCTION("""COMPUTED_VALUE"""),"KHAYLA NOVITA PUTRI")</f>
        <v>KHAYLA NOVITA PUTRI</v>
      </c>
      <c r="C113" s="49">
        <f>IFERROR(__xludf.DUMMYFUNCTION("""COMPUTED_VALUE"""),2.0240705E9)</f>
        <v>2024070500</v>
      </c>
      <c r="D113" s="48" t="str">
        <f>IFERROR(__xludf.DUMMYFUNCTION("""COMPUTED_VALUE"""),"SISWANTO")</f>
        <v>SISWANTO</v>
      </c>
      <c r="E113" s="48" t="str">
        <f>IFERROR(__xludf.DUMMYFUNCTION("""COMPUTED_VALUE"""),"DWI KRISTINA")</f>
        <v>DWI KRISTINA</v>
      </c>
      <c r="F113" s="48" t="str">
        <f>IFERROR(__xludf.DUMMYFUNCTION("""COMPUTED_VALUE"""),"BUCUKIDUL MENGANTI RT 004 RW 001 GLAGAH LAMONGAN")</f>
        <v>BUCUKIDUL MENGANTI RT 004 RW 001 GLAGAH LAMONGAN</v>
      </c>
      <c r="G113" s="49" t="str">
        <f>IFERROR(__xludf.DUMMYFUNCTION("""COMPUTED_VALUE"""),"MTS-9 D")</f>
        <v>MTS-9 D</v>
      </c>
      <c r="H113" s="47" t="str">
        <f>IFERROR(__xludf.DUMMYFUNCTION("""COMPUTED_VALUE"""),"B")</f>
        <v>B</v>
      </c>
      <c r="I113" s="51" t="str">
        <f>IFERROR(__xludf.DUMMYFUNCTION("""COMPUTED_VALUE"""),"B-9")</f>
        <v>B-9</v>
      </c>
      <c r="J113" s="51">
        <f>IFERROR(__xludf.DUMMYFUNCTION("""COMPUTED_VALUE"""),3.0)</f>
        <v>3</v>
      </c>
      <c r="K113" s="51" t="str">
        <f>IFERROR(__xludf.DUMMYFUNCTION("""COMPUTED_VALUE"""),"3 ULA B PUTRI")</f>
        <v>3 ULA B PUTRI</v>
      </c>
      <c r="L113" s="50" t="str">
        <f>IFERROR(__xludf.DUMMYFUNCTION("""COMPUTED_VALUE"""),"6281259310643")</f>
        <v>6281259310643</v>
      </c>
      <c r="M113" s="54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4"/>
      <c r="AC113" s="53"/>
      <c r="AD113" s="53"/>
      <c r="AE113" s="53"/>
      <c r="AF113" s="53"/>
      <c r="AG113" s="53"/>
      <c r="AH113" s="53"/>
      <c r="AI113" s="53"/>
      <c r="AJ113" s="53"/>
      <c r="AK113" s="54"/>
      <c r="AL113" s="54"/>
      <c r="AM113" s="54">
        <f>IFERROR(__xludf.DUMMYFUNCTION("""COMPUTED_VALUE"""),450000.0)</f>
        <v>450000</v>
      </c>
      <c r="AN113" s="54">
        <f>IFERROR(__xludf.DUMMYFUNCTION("""COMPUTED_VALUE"""),450000.0)</f>
        <v>450000</v>
      </c>
      <c r="AO113" s="54"/>
      <c r="AP113" s="54">
        <f>IFERROR(__xludf.DUMMYFUNCTION("""COMPUTED_VALUE"""),500000.0)</f>
        <v>500000</v>
      </c>
      <c r="AQ113" s="54"/>
      <c r="AR113" s="54"/>
      <c r="AS113" s="54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IFERROR(__xludf.DUMMYFUNCTION("""COMPUTED_VALUE"""),500000.0)</f>
        <v>500000</v>
      </c>
      <c r="BE113" s="54">
        <f>IFERROR(__xludf.DUMMYFUNCTION("""COMPUTED_VALUE"""),0.0)</f>
        <v>0</v>
      </c>
      <c r="BF113" s="55">
        <f>IFERROR(__xludf.DUMMYFUNCTION("""COMPUTED_VALUE"""),1400000.0)</f>
        <v>1400000</v>
      </c>
      <c r="BG113" s="57"/>
      <c r="BH113" s="57"/>
      <c r="BI113" s="57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</row>
    <row r="114">
      <c r="A114" s="36">
        <f>IFERROR(__xludf.DUMMYFUNCTION("""COMPUTED_VALUE"""),113.0)</f>
        <v>113</v>
      </c>
      <c r="B114" s="37" t="str">
        <f>IFERROR(__xludf.DUMMYFUNCTION("""COMPUTED_VALUE"""),"KHOLIFAH AMIYZANI NUR ISNAINI")</f>
        <v>KHOLIFAH AMIYZANI NUR ISNAINI</v>
      </c>
      <c r="C114" s="38">
        <f>IFERROR(__xludf.DUMMYFUNCTION("""COMPUTED_VALUE"""),2.024070752E9)</f>
        <v>2024070752</v>
      </c>
      <c r="D114" s="37" t="str">
        <f>IFERROR(__xludf.DUMMYFUNCTION("""COMPUTED_VALUE"""),"MUHAMMAD SYAIFUL MUNIR")</f>
        <v>MUHAMMAD SYAIFUL MUNIR</v>
      </c>
      <c r="E114" s="37" t="str">
        <f>IFERROR(__xludf.DUMMYFUNCTION("""COMPUTED_VALUE"""),"INARIYATI")</f>
        <v>INARIYATI</v>
      </c>
      <c r="F114" s="37" t="str">
        <f>IFERROR(__xludf.DUMMYFUNCTION("""COMPUTED_VALUE"""),"WONOKERTO RT 014 RW 003 DUKUN GRESIK")</f>
        <v>WONOKERTO RT 014 RW 003 DUKUN GRESIK</v>
      </c>
      <c r="G114" s="39" t="str">
        <f>IFERROR(__xludf.DUMMYFUNCTION("""COMPUTED_VALUE"""),"SMP-IX B")</f>
        <v>SMP-IX B</v>
      </c>
      <c r="H114" s="36" t="str">
        <f>IFERROR(__xludf.DUMMYFUNCTION("""COMPUTED_VALUE"""),"B")</f>
        <v>B</v>
      </c>
      <c r="I114" s="40" t="str">
        <f>IFERROR(__xludf.DUMMYFUNCTION("""COMPUTED_VALUE"""),"B-10")</f>
        <v>B-10</v>
      </c>
      <c r="J114" s="40">
        <f>IFERROR(__xludf.DUMMYFUNCTION("""COMPUTED_VALUE"""),3.0)</f>
        <v>3</v>
      </c>
      <c r="K114" s="40" t="str">
        <f>IFERROR(__xludf.DUMMYFUNCTION("""COMPUTED_VALUE"""),"3 ULA A PUTRI")</f>
        <v>3 ULA A PUTRI</v>
      </c>
      <c r="L114" s="39" t="str">
        <f>IFERROR(__xludf.DUMMYFUNCTION("""COMPUTED_VALUE"""),"6285855453839")</f>
        <v>6285855453839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3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3"/>
      <c r="AO114" s="43"/>
      <c r="AP114" s="43"/>
      <c r="AQ114" s="43"/>
      <c r="AR114" s="43"/>
      <c r="AS114" s="43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IFERROR(__xludf.DUMMYFUNCTION("""COMPUTED_VALUE"""),0.0)</f>
        <v>0</v>
      </c>
      <c r="BE114" s="43">
        <f>IFERROR(__xludf.DUMMYFUNCTION("""COMPUTED_VALUE"""),0.0)</f>
        <v>0</v>
      </c>
      <c r="BF114" s="44">
        <f>IFERROR(__xludf.DUMMYFUNCTION("""COMPUTED_VALUE"""),0.0)</f>
        <v>0</v>
      </c>
      <c r="BG114" s="56"/>
      <c r="BH114" s="56"/>
      <c r="BI114" s="5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</row>
    <row r="115">
      <c r="A115" s="47">
        <f>IFERROR(__xludf.DUMMYFUNCTION("""COMPUTED_VALUE"""),114.0)</f>
        <v>114</v>
      </c>
      <c r="B115" s="48" t="str">
        <f>IFERROR(__xludf.DUMMYFUNCTION("""COMPUTED_VALUE"""),"KHUMAIRO FAUZIA")</f>
        <v>KHUMAIRO FAUZIA</v>
      </c>
      <c r="C115" s="49">
        <f>IFERROR(__xludf.DUMMYFUNCTION("""COMPUTED_VALUE"""),2.024070642E9)</f>
        <v>2024070642</v>
      </c>
      <c r="D115" s="48" t="str">
        <f>IFERROR(__xludf.DUMMYFUNCTION("""COMPUTED_VALUE"""),"RUDI SANTOSO")</f>
        <v>RUDI SANTOSO</v>
      </c>
      <c r="E115" s="48" t="str">
        <f>IFERROR(__xludf.DUMMYFUNCTION("""COMPUTED_VALUE"""),"SITI MUFARROKHAH")</f>
        <v>SITI MUFARROKHAH</v>
      </c>
      <c r="F115" s="48" t="str">
        <f>IFERROR(__xludf.DUMMYFUNCTION("""COMPUTED_VALUE"""),"KESAMBI RT 002 RW 002 PUCUK LAMONGAN")</f>
        <v>KESAMBI RT 002 RW 002 PUCUK LAMONGAN</v>
      </c>
      <c r="G115" s="49" t="str">
        <f>IFERROR(__xludf.DUMMYFUNCTION("""COMPUTED_VALUE"""),"MTS-9 G")</f>
        <v>MTS-9 G</v>
      </c>
      <c r="H115" s="47" t="str">
        <f>IFERROR(__xludf.DUMMYFUNCTION("""COMPUTED_VALUE"""),"B")</f>
        <v>B</v>
      </c>
      <c r="I115" s="51" t="str">
        <f>IFERROR(__xludf.DUMMYFUNCTION("""COMPUTED_VALUE"""),"B-9")</f>
        <v>B-9</v>
      </c>
      <c r="J115" s="51">
        <f>IFERROR(__xludf.DUMMYFUNCTION("""COMPUTED_VALUE"""),3.0)</f>
        <v>3</v>
      </c>
      <c r="K115" s="51" t="str">
        <f>IFERROR(__xludf.DUMMYFUNCTION("""COMPUTED_VALUE"""),"3 ULA C PUTRI")</f>
        <v>3 ULA C PUTRI</v>
      </c>
      <c r="L115" s="50" t="str">
        <f>IFERROR(__xludf.DUMMYFUNCTION("""COMPUTED_VALUE"""),"6281216463303")</f>
        <v>6281216463303</v>
      </c>
      <c r="M115" s="53"/>
      <c r="N115" s="53"/>
      <c r="O115" s="53"/>
      <c r="P115" s="53"/>
      <c r="Q115" s="53"/>
      <c r="R115" s="53"/>
      <c r="S115" s="53"/>
      <c r="T115" s="53"/>
      <c r="U115" s="53">
        <f>IFERROR(__xludf.DUMMYFUNCTION("""COMPUTED_VALUE"""),450000.0)</f>
        <v>450000</v>
      </c>
      <c r="V115" s="53">
        <f>IFERROR(__xludf.DUMMYFUNCTION("""COMPUTED_VALUE"""),450000.0)</f>
        <v>450000</v>
      </c>
      <c r="W115" s="53">
        <f>IFERROR(__xludf.DUMMYFUNCTION("""COMPUTED_VALUE"""),450000.0)</f>
        <v>450000</v>
      </c>
      <c r="X115" s="53">
        <f>IFERROR(__xludf.DUMMYFUNCTION("""COMPUTED_VALUE"""),450000.0)</f>
        <v>450000</v>
      </c>
      <c r="Y115" s="53">
        <f>IFERROR(__xludf.DUMMYFUNCTION("""COMPUTED_VALUE"""),450000.0)</f>
        <v>450000</v>
      </c>
      <c r="Z115" s="53">
        <f>IFERROR(__xludf.DUMMYFUNCTION("""COMPUTED_VALUE"""),450000.0)</f>
        <v>450000</v>
      </c>
      <c r="AA115" s="54">
        <f>IFERROR(__xludf.DUMMYFUNCTION("""COMPUTED_VALUE"""),350000.0)</f>
        <v>350000</v>
      </c>
      <c r="AB115" s="53">
        <f>IFERROR(__xludf.DUMMYFUNCTION("""COMPUTED_VALUE"""),500000.0)</f>
        <v>500000</v>
      </c>
      <c r="AC115" s="53">
        <f>IFERROR(__xludf.DUMMYFUNCTION("""COMPUTED_VALUE"""),450000.0)</f>
        <v>450000</v>
      </c>
      <c r="AD115" s="53">
        <f>IFERROR(__xludf.DUMMYFUNCTION("""COMPUTED_VALUE"""),450000.0)</f>
        <v>450000</v>
      </c>
      <c r="AE115" s="53">
        <f>IFERROR(__xludf.DUMMYFUNCTION("""COMPUTED_VALUE"""),450000.0)</f>
        <v>450000</v>
      </c>
      <c r="AF115" s="53">
        <f>IFERROR(__xludf.DUMMYFUNCTION("""COMPUTED_VALUE"""),450000.0)</f>
        <v>450000</v>
      </c>
      <c r="AG115" s="53">
        <f>IFERROR(__xludf.DUMMYFUNCTION("""COMPUTED_VALUE"""),450000.0)</f>
        <v>450000</v>
      </c>
      <c r="AH115" s="53">
        <f>IFERROR(__xludf.DUMMYFUNCTION("""COMPUTED_VALUE"""),450000.0)</f>
        <v>450000</v>
      </c>
      <c r="AI115" s="53">
        <f>IFERROR(__xludf.DUMMYFUNCTION("""COMPUTED_VALUE"""),450000.0)</f>
        <v>450000</v>
      </c>
      <c r="AJ115" s="53">
        <f>IFERROR(__xludf.DUMMYFUNCTION("""COMPUTED_VALUE"""),450000.0)</f>
        <v>450000</v>
      </c>
      <c r="AK115" s="53">
        <f>IFERROR(__xludf.DUMMYFUNCTION("""COMPUTED_VALUE"""),450000.0)</f>
        <v>450000</v>
      </c>
      <c r="AL115" s="53">
        <f>IFERROR(__xludf.DUMMYFUNCTION("""COMPUTED_VALUE"""),450000.0)</f>
        <v>450000</v>
      </c>
      <c r="AM115" s="53">
        <f>IFERROR(__xludf.DUMMYFUNCTION("""COMPUTED_VALUE"""),450000.0)</f>
        <v>450000</v>
      </c>
      <c r="AN115" s="53">
        <f>IFERROR(__xludf.DUMMYFUNCTION("""COMPUTED_VALUE"""),450000.0)</f>
        <v>450000</v>
      </c>
      <c r="AO115" s="54"/>
      <c r="AP115" s="53">
        <f>IFERROR(__xludf.DUMMYFUNCTION("""COMPUTED_VALUE"""),500000.0)</f>
        <v>500000</v>
      </c>
      <c r="AQ115" s="53"/>
      <c r="AR115" s="53"/>
      <c r="AS115" s="54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IFERROR(__xludf.DUMMYFUNCTION("""COMPUTED_VALUE"""),8100000.0)</f>
        <v>8100000</v>
      </c>
      <c r="BD115" s="54">
        <f>IFERROR(__xludf.DUMMYFUNCTION("""COMPUTED_VALUE"""),1000000.0)</f>
        <v>1000000</v>
      </c>
      <c r="BE115" s="54">
        <f>IFERROR(__xludf.DUMMYFUNCTION("""COMPUTED_VALUE"""),350000.0)</f>
        <v>350000</v>
      </c>
      <c r="BF115" s="55">
        <f>IFERROR(__xludf.DUMMYFUNCTION("""COMPUTED_VALUE"""),9450000.0)</f>
        <v>9450000</v>
      </c>
      <c r="BG115" s="57"/>
      <c r="BH115" s="57"/>
      <c r="BI115" s="57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</row>
    <row r="116">
      <c r="A116" s="36">
        <f>IFERROR(__xludf.DUMMYFUNCTION("""COMPUTED_VALUE"""),115.0)</f>
        <v>115</v>
      </c>
      <c r="B116" s="37" t="str">
        <f>IFERROR(__xludf.DUMMYFUNCTION("""COMPUTED_VALUE"""),"KURNIA MUFIDATUL FATIHAH")</f>
        <v>KURNIA MUFIDATUL FATIHAH</v>
      </c>
      <c r="C116" s="38">
        <f>IFERROR(__xludf.DUMMYFUNCTION("""COMPUTED_VALUE"""),2.024070641E9)</f>
        <v>2024070641</v>
      </c>
      <c r="D116" s="37" t="str">
        <f>IFERROR(__xludf.DUMMYFUNCTION("""COMPUTED_VALUE"""),"FATKHUR ROKHMAN")</f>
        <v>FATKHUR ROKHMAN</v>
      </c>
      <c r="E116" s="37" t="str">
        <f>IFERROR(__xludf.DUMMYFUNCTION("""COMPUTED_VALUE"""),"FARIHATUS SHOLIHAH")</f>
        <v>FARIHATUS SHOLIHAH</v>
      </c>
      <c r="F116" s="37" t="str">
        <f>IFERROR(__xludf.DUMMYFUNCTION("""COMPUTED_VALUE"""),"BOJOASRI RT 005 RW 002 KALITENGAH LAMONGAN")</f>
        <v>BOJOASRI RT 005 RW 002 KALITENGAH LAMONGAN</v>
      </c>
      <c r="G116" s="38" t="str">
        <f>IFERROR(__xludf.DUMMYFUNCTION("""COMPUTED_VALUE"""),"MTS-9 G")</f>
        <v>MTS-9 G</v>
      </c>
      <c r="H116" s="36" t="str">
        <f>IFERROR(__xludf.DUMMYFUNCTION("""COMPUTED_VALUE"""),"B")</f>
        <v>B</v>
      </c>
      <c r="I116" s="40" t="str">
        <f>IFERROR(__xludf.DUMMYFUNCTION("""COMPUTED_VALUE"""),"B-9")</f>
        <v>B-9</v>
      </c>
      <c r="J116" s="40">
        <f>IFERROR(__xludf.DUMMYFUNCTION("""COMPUTED_VALUE"""),3.0)</f>
        <v>3</v>
      </c>
      <c r="K116" s="40" t="str">
        <f>IFERROR(__xludf.DUMMYFUNCTION("""COMPUTED_VALUE"""),"3 ULA B PUTRI")</f>
        <v>3 ULA B PUTRI</v>
      </c>
      <c r="L116" s="39" t="str">
        <f>IFERROR(__xludf.DUMMYFUNCTION("""COMPUTED_VALUE"""),"6285748349331")</f>
        <v>6285748349331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>
        <f>IFERROR(__xludf.DUMMYFUNCTION("""COMPUTED_VALUE"""),450000.0)</f>
        <v>450000</v>
      </c>
      <c r="AO116" s="43"/>
      <c r="AP116" s="42">
        <f>IFERROR(__xludf.DUMMYFUNCTION("""COMPUTED_VALUE"""),500000.0)</f>
        <v>500000</v>
      </c>
      <c r="AQ116" s="42"/>
      <c r="AR116" s="42"/>
      <c r="AS116" s="43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IFERROR(__xludf.DUMMYFUNCTION("""COMPUTED_VALUE"""),450000.0)</f>
        <v>450000</v>
      </c>
      <c r="BD116" s="43">
        <f>IFERROR(__xludf.DUMMYFUNCTION("""COMPUTED_VALUE"""),500000.0)</f>
        <v>500000</v>
      </c>
      <c r="BE116" s="43">
        <f>IFERROR(__xludf.DUMMYFUNCTION("""COMPUTED_VALUE"""),0.0)</f>
        <v>0</v>
      </c>
      <c r="BF116" s="44">
        <f>IFERROR(__xludf.DUMMYFUNCTION("""COMPUTED_VALUE"""),950000.0)</f>
        <v>950000</v>
      </c>
      <c r="BG116" s="56"/>
      <c r="BH116" s="56"/>
      <c r="BI116" s="5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</row>
    <row r="117">
      <c r="A117" s="47">
        <f>IFERROR(__xludf.DUMMYFUNCTION("""COMPUTED_VALUE"""),116.0)</f>
        <v>116</v>
      </c>
      <c r="B117" s="48" t="str">
        <f>IFERROR(__xludf.DUMMYFUNCTION("""COMPUTED_VALUE"""),"NAILATUN NUR LAILATUL QUDSIYAH")</f>
        <v>NAILATUN NUR LAILATUL QUDSIYAH</v>
      </c>
      <c r="C117" s="49">
        <f>IFERROR(__xludf.DUMMYFUNCTION("""COMPUTED_VALUE"""),2.024070726E9)</f>
        <v>2024070726</v>
      </c>
      <c r="D117" s="48" t="str">
        <f>IFERROR(__xludf.DUMMYFUNCTION("""COMPUTED_VALUE"""),"RAMELI")</f>
        <v>RAMELI</v>
      </c>
      <c r="E117" s="48" t="str">
        <f>IFERROR(__xludf.DUMMYFUNCTION("""COMPUTED_VALUE"""),"HARTATIK")</f>
        <v>HARTATIK</v>
      </c>
      <c r="F117" s="48" t="str">
        <f>IFERROR(__xludf.DUMMYFUNCTION("""COMPUTED_VALUE"""),"WONOSARI SEKARBAGUS RT 003 RW 001 SUGIO LAMONGAN")</f>
        <v>WONOSARI SEKARBAGUS RT 003 RW 001 SUGIO LAMONGAN</v>
      </c>
      <c r="G117" s="50" t="str">
        <f>IFERROR(__xludf.DUMMYFUNCTION("""COMPUTED_VALUE"""),"SMP-IX B")</f>
        <v>SMP-IX B</v>
      </c>
      <c r="H117" s="47" t="str">
        <f>IFERROR(__xludf.DUMMYFUNCTION("""COMPUTED_VALUE"""),"B")</f>
        <v>B</v>
      </c>
      <c r="I117" s="51" t="str">
        <f>IFERROR(__xludf.DUMMYFUNCTION("""COMPUTED_VALUE"""),"B-10")</f>
        <v>B-10</v>
      </c>
      <c r="J117" s="51">
        <f>IFERROR(__xludf.DUMMYFUNCTION("""COMPUTED_VALUE"""),3.0)</f>
        <v>3</v>
      </c>
      <c r="K117" s="51" t="str">
        <f>IFERROR(__xludf.DUMMYFUNCTION("""COMPUTED_VALUE"""),"3 ULA A PUTRI")</f>
        <v>3 ULA A PUTRI</v>
      </c>
      <c r="L117" s="50" t="str">
        <f>IFERROR(__xludf.DUMMYFUNCTION("""COMPUTED_VALUE"""),"6285785360969")</f>
        <v>6285785360969</v>
      </c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4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IFERROR(__xludf.DUMMYFUNCTION("""COMPUTED_VALUE"""),0.0)</f>
        <v>0</v>
      </c>
      <c r="BD117" s="54">
        <f>IFERROR(__xludf.DUMMYFUNCTION("""COMPUTED_VALUE"""),500000.0)</f>
        <v>500000</v>
      </c>
      <c r="BE117" s="54">
        <f>IFERROR(__xludf.DUMMYFUNCTION("""COMPUTED_VALUE"""),0.0)</f>
        <v>0</v>
      </c>
      <c r="BF117" s="55">
        <f>IFERROR(__xludf.DUMMYFUNCTION("""COMPUTED_VALUE"""),500000.0)</f>
        <v>500000</v>
      </c>
      <c r="BG117" s="57"/>
      <c r="BH117" s="57"/>
      <c r="BI117" s="57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</row>
    <row r="118">
      <c r="A118" s="36">
        <f>IFERROR(__xludf.DUMMYFUNCTION("""COMPUTED_VALUE"""),117.0)</f>
        <v>117</v>
      </c>
      <c r="B118" s="37" t="str">
        <f>IFERROR(__xludf.DUMMYFUNCTION("""COMPUTED_VALUE"""),"RAISA PUTRI ELYSIA SADIRA")</f>
        <v>RAISA PUTRI ELYSIA SADIRA</v>
      </c>
      <c r="C118" s="38">
        <f>IFERROR(__xludf.DUMMYFUNCTION("""COMPUTED_VALUE"""),2.02407075E9)</f>
        <v>2024070750</v>
      </c>
      <c r="D118" s="37" t="str">
        <f>IFERROR(__xludf.DUMMYFUNCTION("""COMPUTED_VALUE"""),"AMARI")</f>
        <v>AMARI</v>
      </c>
      <c r="E118" s="37" t="str">
        <f>IFERROR(__xludf.DUMMYFUNCTION("""COMPUTED_VALUE"""),"YANA")</f>
        <v>YANA</v>
      </c>
      <c r="F118" s="37" t="str">
        <f>IFERROR(__xludf.DUMMYFUNCTION("""COMPUTED_VALUE"""),"TIREMRNGGAL RT 011 RW 004 DUKUN GRESIK")</f>
        <v>TIREMRNGGAL RT 011 RW 004 DUKUN GRESIK</v>
      </c>
      <c r="G118" s="38" t="str">
        <f>IFERROR(__xludf.DUMMYFUNCTION("""COMPUTED_VALUE"""),"SMP-IX B")</f>
        <v>SMP-IX B</v>
      </c>
      <c r="H118" s="36" t="str">
        <f>IFERROR(__xludf.DUMMYFUNCTION("""COMPUTED_VALUE"""),"B")</f>
        <v>B</v>
      </c>
      <c r="I118" s="40" t="str">
        <f>IFERROR(__xludf.DUMMYFUNCTION("""COMPUTED_VALUE"""),"B-10")</f>
        <v>B-10</v>
      </c>
      <c r="J118" s="40">
        <f>IFERROR(__xludf.DUMMYFUNCTION("""COMPUTED_VALUE"""),3.0)</f>
        <v>3</v>
      </c>
      <c r="K118" s="40" t="str">
        <f>IFERROR(__xludf.DUMMYFUNCTION("""COMPUTED_VALUE"""),"3 ULA A PUTRI")</f>
        <v>3 ULA A PUTRI</v>
      </c>
      <c r="L118" s="39" t="str">
        <f>IFERROR(__xludf.DUMMYFUNCTION("""COMPUTED_VALUE"""),"6285805516619")</f>
        <v>6285805516619</v>
      </c>
      <c r="M118" s="43">
        <f>IFERROR(__xludf.DUMMYFUNCTION("""COMPUTED_VALUE"""),600000.0)</f>
        <v>600000</v>
      </c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3">
        <f>IFERROR(__xludf.DUMMYFUNCTION("""COMPUTED_VALUE"""),500000.0)</f>
        <v>500000</v>
      </c>
      <c r="AC118" s="42"/>
      <c r="AD118" s="42"/>
      <c r="AE118" s="42"/>
      <c r="AF118" s="42"/>
      <c r="AG118" s="42"/>
      <c r="AH118" s="42"/>
      <c r="AI118" s="42"/>
      <c r="AJ118" s="42"/>
      <c r="AK118" s="42">
        <f>IFERROR(__xludf.DUMMYFUNCTION("""COMPUTED_VALUE"""),450000.0)</f>
        <v>450000</v>
      </c>
      <c r="AL118" s="42">
        <f>IFERROR(__xludf.DUMMYFUNCTION("""COMPUTED_VALUE"""),450000.0)</f>
        <v>450000</v>
      </c>
      <c r="AM118" s="42">
        <f>IFERROR(__xludf.DUMMYFUNCTION("""COMPUTED_VALUE"""),450000.0)</f>
        <v>450000</v>
      </c>
      <c r="AN118" s="42">
        <f>IFERROR(__xludf.DUMMYFUNCTION("""COMPUTED_VALUE"""),450000.0)</f>
        <v>450000</v>
      </c>
      <c r="AO118" s="42"/>
      <c r="AP118" s="43">
        <f>IFERROR(__xludf.DUMMYFUNCTION("""COMPUTED_VALUE"""),500000.0)</f>
        <v>500000</v>
      </c>
      <c r="AQ118" s="42"/>
      <c r="AR118" s="42"/>
      <c r="AS118" s="43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IFERROR(__xludf.DUMMYFUNCTION("""COMPUTED_VALUE"""),1800000.0)</f>
        <v>1800000</v>
      </c>
      <c r="BD118" s="43">
        <f>IFERROR(__xludf.DUMMYFUNCTION("""COMPUTED_VALUE"""),1600000.0)</f>
        <v>1600000</v>
      </c>
      <c r="BE118" s="43">
        <f>IFERROR(__xludf.DUMMYFUNCTION("""COMPUTED_VALUE"""),0.0)</f>
        <v>0</v>
      </c>
      <c r="BF118" s="44">
        <f>IFERROR(__xludf.DUMMYFUNCTION("""COMPUTED_VALUE"""),3400000.0)</f>
        <v>3400000</v>
      </c>
      <c r="BG118" s="56"/>
      <c r="BH118" s="56"/>
      <c r="BI118" s="5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</row>
    <row r="119">
      <c r="A119" s="47">
        <f>IFERROR(__xludf.DUMMYFUNCTION("""COMPUTED_VALUE"""),118.0)</f>
        <v>118</v>
      </c>
      <c r="B119" s="48" t="str">
        <f>IFERROR(__xludf.DUMMYFUNCTION("""COMPUTED_VALUE"""),"SALWA EKA SAFITRI")</f>
        <v>SALWA EKA SAFITRI</v>
      </c>
      <c r="C119" s="49">
        <f>IFERROR(__xludf.DUMMYFUNCTION("""COMPUTED_VALUE"""),2.024070724E9)</f>
        <v>2024070724</v>
      </c>
      <c r="D119" s="48" t="str">
        <f>IFERROR(__xludf.DUMMYFUNCTION("""COMPUTED_VALUE"""),"SHOKIB PURWO")</f>
        <v>SHOKIB PURWO</v>
      </c>
      <c r="E119" s="48" t="str">
        <f>IFERROR(__xludf.DUMMYFUNCTION("""COMPUTED_VALUE"""),"DJUWARIYAH")</f>
        <v>DJUWARIYAH</v>
      </c>
      <c r="F119" s="48" t="str">
        <f>IFERROR(__xludf.DUMMYFUNCTION("""COMPUTED_VALUE"""),"TIWET RT 002 RW 002 KALITENGAH LAMONGAN")</f>
        <v>TIWET RT 002 RW 002 KALITENGAH LAMONGAN</v>
      </c>
      <c r="G119" s="49" t="str">
        <f>IFERROR(__xludf.DUMMYFUNCTION("""COMPUTED_VALUE"""),"SMP-IX B")</f>
        <v>SMP-IX B</v>
      </c>
      <c r="H119" s="47" t="str">
        <f>IFERROR(__xludf.DUMMYFUNCTION("""COMPUTED_VALUE"""),"B")</f>
        <v>B</v>
      </c>
      <c r="I119" s="51" t="str">
        <f>IFERROR(__xludf.DUMMYFUNCTION("""COMPUTED_VALUE"""),"B-10")</f>
        <v>B-10</v>
      </c>
      <c r="J119" s="51">
        <f>IFERROR(__xludf.DUMMYFUNCTION("""COMPUTED_VALUE"""),3.0)</f>
        <v>3</v>
      </c>
      <c r="K119" s="51" t="str">
        <f>IFERROR(__xludf.DUMMYFUNCTION("""COMPUTED_VALUE"""),"3 ULA C PUTRI")</f>
        <v>3 ULA C PUTRI</v>
      </c>
      <c r="L119" s="50" t="str">
        <f>IFERROR(__xludf.DUMMYFUNCTION("""COMPUTED_VALUE"""),"6289653941550")</f>
        <v>6289653941550</v>
      </c>
      <c r="M119" s="54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4">
        <f>IFERROR(__xludf.DUMMYFUNCTION("""COMPUTED_VALUE"""),500000.0)</f>
        <v>500000</v>
      </c>
      <c r="AC119" s="53"/>
      <c r="AD119" s="53"/>
      <c r="AE119" s="53"/>
      <c r="AF119" s="53"/>
      <c r="AG119" s="53"/>
      <c r="AH119" s="53"/>
      <c r="AI119" s="53"/>
      <c r="AJ119" s="53">
        <f>IFERROR(__xludf.DUMMYFUNCTION("""COMPUTED_VALUE"""),450000.0)</f>
        <v>450000</v>
      </c>
      <c r="AK119" s="53">
        <f>IFERROR(__xludf.DUMMYFUNCTION("""COMPUTED_VALUE"""),450000.0)</f>
        <v>450000</v>
      </c>
      <c r="AL119" s="53">
        <f>IFERROR(__xludf.DUMMYFUNCTION("""COMPUTED_VALUE"""),450000.0)</f>
        <v>450000</v>
      </c>
      <c r="AM119" s="53">
        <f>IFERROR(__xludf.DUMMYFUNCTION("""COMPUTED_VALUE"""),450000.0)</f>
        <v>450000</v>
      </c>
      <c r="AN119" s="53">
        <f>IFERROR(__xludf.DUMMYFUNCTION("""COMPUTED_VALUE"""),450000.0)</f>
        <v>450000</v>
      </c>
      <c r="AO119" s="53"/>
      <c r="AP119" s="54">
        <f>IFERROR(__xludf.DUMMYFUNCTION("""COMPUTED_VALUE"""),500000.0)</f>
        <v>500000</v>
      </c>
      <c r="AQ119" s="54"/>
      <c r="AR119" s="54"/>
      <c r="AS119" s="54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IFERROR(__xludf.DUMMYFUNCTION("""COMPUTED_VALUE"""),2250000.0)</f>
        <v>2250000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IFERROR(__xludf.DUMMYFUNCTION("""COMPUTED_VALUE"""),3250000.0)</f>
        <v>3250000</v>
      </c>
      <c r="BG119" s="57"/>
      <c r="BH119" s="57"/>
      <c r="BI119" s="57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</row>
    <row r="120">
      <c r="A120" s="36">
        <f>IFERROR(__xludf.DUMMYFUNCTION("""COMPUTED_VALUE"""),119.0)</f>
        <v>119</v>
      </c>
      <c r="B120" s="37" t="str">
        <f>IFERROR(__xludf.DUMMYFUNCTION("""COMPUTED_VALUE"""),"SELLY NOVI ANDINI")</f>
        <v>SELLY NOVI ANDINI</v>
      </c>
      <c r="C120" s="38">
        <f>IFERROR(__xludf.DUMMYFUNCTION("""COMPUTED_VALUE"""),2.024070727E9)</f>
        <v>2024070727</v>
      </c>
      <c r="D120" s="37" t="str">
        <f>IFERROR(__xludf.DUMMYFUNCTION("""COMPUTED_VALUE"""),"AHMAD SHOLEH")</f>
        <v>AHMAD SHOLEH</v>
      </c>
      <c r="E120" s="37" t="str">
        <f>IFERROR(__xludf.DUMMYFUNCTION("""COMPUTED_VALUE"""),"ELI KUSUMAWATI")</f>
        <v>ELI KUSUMAWATI</v>
      </c>
      <c r="F120" s="37" t="str">
        <f>IFERROR(__xludf.DUMMYFUNCTION("""COMPUTED_VALUE"""),"PUCANGRO RT 001 RW 001 KALITENGAH LAMONGAN")</f>
        <v>PUCANGRO RT 001 RW 001 KALITENGAH LAMONGAN</v>
      </c>
      <c r="G120" s="38" t="str">
        <f>IFERROR(__xludf.DUMMYFUNCTION("""COMPUTED_VALUE"""),"SMP-IX B")</f>
        <v>SMP-IX B</v>
      </c>
      <c r="H120" s="36" t="str">
        <f>IFERROR(__xludf.DUMMYFUNCTION("""COMPUTED_VALUE"""),"B")</f>
        <v>B</v>
      </c>
      <c r="I120" s="40" t="str">
        <f>IFERROR(__xludf.DUMMYFUNCTION("""COMPUTED_VALUE"""),"B-10")</f>
        <v>B-10</v>
      </c>
      <c r="J120" s="40">
        <f>IFERROR(__xludf.DUMMYFUNCTION("""COMPUTED_VALUE"""),3.0)</f>
        <v>3</v>
      </c>
      <c r="K120" s="40" t="str">
        <f>IFERROR(__xludf.DUMMYFUNCTION("""COMPUTED_VALUE"""),"3 ULA A PUTRI")</f>
        <v>3 ULA A PUTRI</v>
      </c>
      <c r="L120" s="39" t="str">
        <f>IFERROR(__xludf.DUMMYFUNCTION("""COMPUTED_VALUE"""),"6285788313508")</f>
        <v>6285788313508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3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3">
        <f>IFERROR(__xludf.DUMMYFUNCTION("""COMPUTED_VALUE"""),500000.0)</f>
        <v>500000</v>
      </c>
      <c r="AQ120" s="42"/>
      <c r="AR120" s="42"/>
      <c r="AS120" s="43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IFERROR(__xludf.DUMMYFUNCTION("""COMPUTED_VALUE"""),500000.0)</f>
        <v>500000</v>
      </c>
      <c r="BE120" s="43">
        <f>IFERROR(__xludf.DUMMYFUNCTION("""COMPUTED_VALUE"""),0.0)</f>
        <v>0</v>
      </c>
      <c r="BF120" s="44">
        <f>IFERROR(__xludf.DUMMYFUNCTION("""COMPUTED_VALUE"""),500000.0)</f>
        <v>500000</v>
      </c>
      <c r="BG120" s="56"/>
      <c r="BH120" s="56"/>
      <c r="BI120" s="5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</row>
    <row r="121">
      <c r="A121" s="47">
        <f>IFERROR(__xludf.DUMMYFUNCTION("""COMPUTED_VALUE"""),120.0)</f>
        <v>120</v>
      </c>
      <c r="B121" s="48" t="str">
        <f>IFERROR(__xludf.DUMMYFUNCTION("""COMPUTED_VALUE"""),"AFILIA MEGA NURFATMA")</f>
        <v>AFILIA MEGA NURFATMA</v>
      </c>
      <c r="C121" s="49">
        <f>IFERROR(__xludf.DUMMYFUNCTION("""COMPUTED_VALUE"""),2.024070563E9)</f>
        <v>2024070563</v>
      </c>
      <c r="D121" s="48" t="str">
        <f>IFERROR(__xludf.DUMMYFUNCTION("""COMPUTED_VALUE"""),"M. NURDIN")</f>
        <v>M. NURDIN</v>
      </c>
      <c r="E121" s="48" t="str">
        <f>IFERROR(__xludf.DUMMYFUNCTION("""COMPUTED_VALUE"""),"ALIYATUN")</f>
        <v>ALIYATUN</v>
      </c>
      <c r="F121" s="48" t="str">
        <f>IFERROR(__xludf.DUMMYFUNCTION("""COMPUTED_VALUE"""),"TENGGULUN RT 003 RW 002 SOLOKURO LAMONGAN")</f>
        <v>TENGGULUN RT 003 RW 002 SOLOKURO LAMONGAN</v>
      </c>
      <c r="G121" s="49" t="str">
        <f>IFERROR(__xludf.DUMMYFUNCTION("""COMPUTED_VALUE"""),"MTS-9 A")</f>
        <v>MTS-9 A</v>
      </c>
      <c r="H121" s="47" t="str">
        <f>IFERROR(__xludf.DUMMYFUNCTION("""COMPUTED_VALUE"""),"B")</f>
        <v>B</v>
      </c>
      <c r="I121" s="51" t="str">
        <f>IFERROR(__xludf.DUMMYFUNCTION("""COMPUTED_VALUE"""),"B-10")</f>
        <v>B-10</v>
      </c>
      <c r="J121" s="51">
        <f>IFERROR(__xludf.DUMMYFUNCTION("""COMPUTED_VALUE"""),3.0)</f>
        <v>3</v>
      </c>
      <c r="K121" s="51" t="str">
        <f>IFERROR(__xludf.DUMMYFUNCTION("""COMPUTED_VALUE"""),"3 ULA A PUTRI")</f>
        <v>3 ULA A PUTRI</v>
      </c>
      <c r="L121" s="50" t="str">
        <f>IFERROR(__xludf.DUMMYFUNCTION("""COMPUTED_VALUE"""),"6285812446154")</f>
        <v>6285812446154</v>
      </c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4"/>
      <c r="AS121" s="54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IFERROR(__xludf.DUMMYFUNCTION("""COMPUTED_VALUE"""),0.0)</f>
        <v>0</v>
      </c>
      <c r="BE121" s="54">
        <f>IFERROR(__xludf.DUMMYFUNCTION("""COMPUTED_VALUE"""),0.0)</f>
        <v>0</v>
      </c>
      <c r="BF121" s="55">
        <f>IFERROR(__xludf.DUMMYFUNCTION("""COMPUTED_VALUE"""),0.0)</f>
        <v>0</v>
      </c>
      <c r="BG121" s="57"/>
      <c r="BH121" s="57"/>
      <c r="BI121" s="57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</row>
    <row r="122">
      <c r="A122" s="36">
        <f>IFERROR(__xludf.DUMMYFUNCTION("""COMPUTED_VALUE"""),121.0)</f>
        <v>121</v>
      </c>
      <c r="B122" s="37" t="str">
        <f>IFERROR(__xludf.DUMMYFUNCTION("""COMPUTED_VALUE"""),"ANINDYA FAZURA RAHMA")</f>
        <v>ANINDYA FAZURA RAHMA</v>
      </c>
      <c r="C122" s="38">
        <f>IFERROR(__xludf.DUMMYFUNCTION("""COMPUTED_VALUE"""),2.024070675E9)</f>
        <v>2024070675</v>
      </c>
      <c r="D122" s="56" t="str">
        <f>IFERROR(__xludf.DUMMYFUNCTION("""COMPUTED_VALUE"""),"MOH NADLIF")</f>
        <v>MOH NADLIF</v>
      </c>
      <c r="E122" s="56" t="str">
        <f>IFERROR(__xludf.DUMMYFUNCTION("""COMPUTED_VALUE"""),"HUBBATUN NAJAH")</f>
        <v>HUBBATUN NAJAH</v>
      </c>
      <c r="F122" s="37" t="str">
        <f>IFERROR(__xludf.DUMMYFUNCTION("""COMPUTED_VALUE"""),"BANGERAN RT 001 RW 001 DUKUN GRESIK")</f>
        <v>BANGERAN RT 001 RW 001 DUKUN GRESIK</v>
      </c>
      <c r="G122" s="38" t="str">
        <f>IFERROR(__xludf.DUMMYFUNCTION("""COMPUTED_VALUE"""),"SMK-XII BD")</f>
        <v>SMK-XII BD</v>
      </c>
      <c r="H122" s="36" t="str">
        <f>IFERROR(__xludf.DUMMYFUNCTION("""COMPUTED_VALUE"""),"B")</f>
        <v>B</v>
      </c>
      <c r="I122" s="40" t="str">
        <f>IFERROR(__xludf.DUMMYFUNCTION("""COMPUTED_VALUE"""),"B-4")</f>
        <v>B-4</v>
      </c>
      <c r="J122" s="40">
        <f>IFERROR(__xludf.DUMMYFUNCTION("""COMPUTED_VALUE"""),3.0)</f>
        <v>3</v>
      </c>
      <c r="K122" s="40" t="str">
        <f>IFERROR(__xludf.DUMMYFUNCTION("""COMPUTED_VALUE"""),"3 WUSTHO C PUTRI")</f>
        <v>3 WUSTHO C PUTRI</v>
      </c>
      <c r="L122" s="39" t="str">
        <f>IFERROR(__xludf.DUMMYFUNCTION("""COMPUTED_VALUE"""),"6281357042388")</f>
        <v>6281357042388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>
        <f>IFERROR(__xludf.DUMMYFUNCTION("""COMPUTED_VALUE"""),450000.0)</f>
        <v>450000</v>
      </c>
      <c r="AN122" s="42">
        <f>IFERROR(__xludf.DUMMYFUNCTION("""COMPUTED_VALUE"""),450000.0)</f>
        <v>450000</v>
      </c>
      <c r="AO122" s="42"/>
      <c r="AP122" s="43">
        <f>IFERROR(__xludf.DUMMYFUNCTION("""COMPUTED_VALUE"""),500000.0)</f>
        <v>500000</v>
      </c>
      <c r="AQ122" s="43"/>
      <c r="AR122" s="43"/>
      <c r="AS122" s="43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IFERROR(__xludf.DUMMYFUNCTION("""COMPUTED_VALUE"""),900000.0)</f>
        <v>900000</v>
      </c>
      <c r="BD122" s="43">
        <f>IFERROR(__xludf.DUMMYFUNCTION("""COMPUTED_VALUE"""),500000.0)</f>
        <v>500000</v>
      </c>
      <c r="BE122" s="43">
        <f>IFERROR(__xludf.DUMMYFUNCTION("""COMPUTED_VALUE"""),0.0)</f>
        <v>0</v>
      </c>
      <c r="BF122" s="44">
        <f>IFERROR(__xludf.DUMMYFUNCTION("""COMPUTED_VALUE"""),1400000.0)</f>
        <v>1400000</v>
      </c>
      <c r="BG122" s="56"/>
      <c r="BH122" s="56"/>
      <c r="BI122" s="5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</row>
    <row r="123">
      <c r="A123" s="47">
        <f>IFERROR(__xludf.DUMMYFUNCTION("""COMPUTED_VALUE"""),122.0)</f>
        <v>122</v>
      </c>
      <c r="B123" s="48" t="str">
        <f>IFERROR(__xludf.DUMMYFUNCTION("""COMPUTED_VALUE"""),"DINI WAHYU NINGTYAS")</f>
        <v>DINI WAHYU NINGTYAS</v>
      </c>
      <c r="C123" s="49">
        <f>IFERROR(__xludf.DUMMYFUNCTION("""COMPUTED_VALUE"""),2.024070688E9)</f>
        <v>2024070688</v>
      </c>
      <c r="D123" s="48" t="str">
        <f>IFERROR(__xludf.DUMMYFUNCTION("""COMPUTED_VALUE"""),"DARTO")</f>
        <v>DARTO</v>
      </c>
      <c r="E123" s="48" t="str">
        <f>IFERROR(__xludf.DUMMYFUNCTION("""COMPUTED_VALUE"""),"YA ANTI")</f>
        <v>YA ANTI</v>
      </c>
      <c r="F123" s="48" t="str">
        <f>IFERROR(__xludf.DUMMYFUNCTION("""COMPUTED_VALUE"""),"TIRTA MULIA BATU MERANTI RT 011 RW 005 SUNGAILOBAN TANAH BUMBU")</f>
        <v>TIRTA MULIA BATU MERANTI RT 011 RW 005 SUNGAILOBAN TANAH BUMBU</v>
      </c>
      <c r="G123" s="49" t="str">
        <f>IFERROR(__xludf.DUMMYFUNCTION("""COMPUTED_VALUE"""),"SMK-XII DKV")</f>
        <v>SMK-XII DKV</v>
      </c>
      <c r="H123" s="47" t="str">
        <f>IFERROR(__xludf.DUMMYFUNCTION("""COMPUTED_VALUE"""),"B")</f>
        <v>B</v>
      </c>
      <c r="I123" s="51" t="str">
        <f>IFERROR(__xludf.DUMMYFUNCTION("""COMPUTED_VALUE"""),"B-4")</f>
        <v>B-4</v>
      </c>
      <c r="J123" s="51">
        <f>IFERROR(__xludf.DUMMYFUNCTION("""COMPUTED_VALUE"""),3.0)</f>
        <v>3</v>
      </c>
      <c r="K123" s="51" t="str">
        <f>IFERROR(__xludf.DUMMYFUNCTION("""COMPUTED_VALUE"""),"3 WUSTHO C PUTRI")</f>
        <v>3 WUSTHO C PUTRI</v>
      </c>
      <c r="L123" s="50" t="str">
        <f>IFERROR(__xludf.DUMMYFUNCTION("""COMPUTED_VALUE"""),"6281255133458")</f>
        <v>6281255133458</v>
      </c>
      <c r="M123" s="54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4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4"/>
      <c r="AN123" s="54"/>
      <c r="AO123" s="54"/>
      <c r="AP123" s="54">
        <f>IFERROR(__xludf.DUMMYFUNCTION("""COMPUTED_VALUE"""),500000.0)</f>
        <v>500000</v>
      </c>
      <c r="AQ123" s="54"/>
      <c r="AR123" s="54"/>
      <c r="AS123" s="54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IFERROR(__xludf.DUMMYFUNCTION("""COMPUTED_VALUE"""),0.0)</f>
        <v>0</v>
      </c>
      <c r="BD123" s="54">
        <f>IFERROR(__xludf.DUMMYFUNCTION("""COMPUTED_VALUE"""),500000.0)</f>
        <v>500000</v>
      </c>
      <c r="BE123" s="54">
        <f>IFERROR(__xludf.DUMMYFUNCTION("""COMPUTED_VALUE"""),0.0)</f>
        <v>0</v>
      </c>
      <c r="BF123" s="55">
        <f>IFERROR(__xludf.DUMMYFUNCTION("""COMPUTED_VALUE"""),500000.0)</f>
        <v>500000</v>
      </c>
      <c r="BG123" s="57"/>
      <c r="BH123" s="57"/>
      <c r="BI123" s="57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</row>
    <row r="124">
      <c r="A124" s="36">
        <f>IFERROR(__xludf.DUMMYFUNCTION("""COMPUTED_VALUE"""),123.0)</f>
        <v>123</v>
      </c>
      <c r="B124" s="37" t="str">
        <f>IFERROR(__xludf.DUMMYFUNCTION("""COMPUTED_VALUE"""),"FARIKHA AULIA SALSABILLAH")</f>
        <v>FARIKHA AULIA SALSABILLAH</v>
      </c>
      <c r="C124" s="38">
        <f>IFERROR(__xludf.DUMMYFUNCTION("""COMPUTED_VALUE"""),2.024070074E9)</f>
        <v>2024070074</v>
      </c>
      <c r="D124" s="37" t="str">
        <f>IFERROR(__xludf.DUMMYFUNCTION("""COMPUTED_VALUE"""),"JAURI")</f>
        <v>JAURI</v>
      </c>
      <c r="E124" s="37" t="str">
        <f>IFERROR(__xludf.DUMMYFUNCTION("""COMPUTED_VALUE"""),"SUNARTI")</f>
        <v>SUNARTI</v>
      </c>
      <c r="F124" s="37" t="str">
        <f>IFERROR(__xludf.DUMMYFUNCTION("""COMPUTED_VALUE"""),"WEDENG SUKOREJO RT 001 RW 003 KARANGBINANGUN LAMONGAN")</f>
        <v>WEDENG SUKOREJO RT 001 RW 003 KARANGBINANGUN LAMONGAN</v>
      </c>
      <c r="G124" s="38" t="str">
        <f>IFERROR(__xludf.DUMMYFUNCTION("""COMPUTED_VALUE"""),"MA-XII.3")</f>
        <v>MA-XII.3</v>
      </c>
      <c r="H124" s="36" t="str">
        <f>IFERROR(__xludf.DUMMYFUNCTION("""COMPUTED_VALUE"""),"C")</f>
        <v>C</v>
      </c>
      <c r="I124" s="40" t="str">
        <f>IFERROR(__xludf.DUMMYFUNCTION("""COMPUTED_VALUE"""),"C-4")</f>
        <v>C-4</v>
      </c>
      <c r="J124" s="40">
        <f>IFERROR(__xludf.DUMMYFUNCTION("""COMPUTED_VALUE"""),3.0)</f>
        <v>3</v>
      </c>
      <c r="K124" s="40" t="str">
        <f>IFERROR(__xludf.DUMMYFUNCTION("""COMPUTED_VALUE"""),"3 WUSTHO B PUTRI")</f>
        <v>3 WUSTHO B PUTRI</v>
      </c>
      <c r="L124" s="39" t="str">
        <f>IFERROR(__xludf.DUMMYFUNCTION("""COMPUTED_VALUE"""),"6285645468404")</f>
        <v>6285645468404</v>
      </c>
      <c r="M124" s="43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3"/>
      <c r="AB124" s="43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3"/>
      <c r="AO124" s="43"/>
      <c r="AP124" s="43">
        <f>IFERROR(__xludf.DUMMYFUNCTION("""COMPUTED_VALUE"""),500000.0)</f>
        <v>500000</v>
      </c>
      <c r="AQ124" s="43"/>
      <c r="AR124" s="43"/>
      <c r="AS124" s="43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IFERROR(__xludf.DUMMYFUNCTION("""COMPUTED_VALUE"""),500000.0)</f>
        <v>500000</v>
      </c>
      <c r="BE124" s="43">
        <f>IFERROR(__xludf.DUMMYFUNCTION("""COMPUTED_VALUE"""),0.0)</f>
        <v>0</v>
      </c>
      <c r="BF124" s="44">
        <f>IFERROR(__xludf.DUMMYFUNCTION("""COMPUTED_VALUE"""),500000.0)</f>
        <v>500000</v>
      </c>
      <c r="BG124" s="56"/>
      <c r="BH124" s="56"/>
      <c r="BI124" s="5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</row>
    <row r="125">
      <c r="A125" s="47">
        <f>IFERROR(__xludf.DUMMYFUNCTION("""COMPUTED_VALUE"""),124.0)</f>
        <v>124</v>
      </c>
      <c r="B125" s="48" t="str">
        <f>IFERROR(__xludf.DUMMYFUNCTION("""COMPUTED_VALUE"""),"JESSICA SALSABILA")</f>
        <v>JESSICA SALSABILA</v>
      </c>
      <c r="C125" s="49">
        <f>IFERROR(__xludf.DUMMYFUNCTION("""COMPUTED_VALUE"""),2.024070564E9)</f>
        <v>2024070564</v>
      </c>
      <c r="D125" s="48" t="str">
        <f>IFERROR(__xludf.DUMMYFUNCTION("""COMPUTED_VALUE"""),"SUNANDAR")</f>
        <v>SUNANDAR</v>
      </c>
      <c r="E125" s="48" t="str">
        <f>IFERROR(__xludf.DUMMYFUNCTION("""COMPUTED_VALUE"""),"NUR MILA")</f>
        <v>NUR MILA</v>
      </c>
      <c r="F125" s="48" t="str">
        <f>IFERROR(__xludf.DUMMYFUNCTION("""COMPUTED_VALUE"""),"KEDUNG KAMPIL SUKOSONGO RT - RW - KEMBANGBAHU LAMONGAN")</f>
        <v>KEDUNG KAMPIL SUKOSONGO RT - RW - KEMBANGBAHU LAMONGAN</v>
      </c>
      <c r="G125" s="49" t="str">
        <f>IFERROR(__xludf.DUMMYFUNCTION("""COMPUTED_VALUE"""),"MTS-9 H")</f>
        <v>MTS-9 H</v>
      </c>
      <c r="H125" s="47" t="str">
        <f>IFERROR(__xludf.DUMMYFUNCTION("""COMPUTED_VALUE"""),"B")</f>
        <v>B</v>
      </c>
      <c r="I125" s="51" t="str">
        <f>IFERROR(__xludf.DUMMYFUNCTION("""COMPUTED_VALUE"""),"B-9")</f>
        <v>B-9</v>
      </c>
      <c r="J125" s="51">
        <f>IFERROR(__xludf.DUMMYFUNCTION("""COMPUTED_VALUE"""),3.0)</f>
        <v>3</v>
      </c>
      <c r="K125" s="51" t="str">
        <f>IFERROR(__xludf.DUMMYFUNCTION("""COMPUTED_VALUE"""),"3 ULA A PUTRI")</f>
        <v>3 ULA A PUTRI</v>
      </c>
      <c r="L125" s="50" t="str">
        <f>IFERROR(__xludf.DUMMYFUNCTION("""COMPUTED_VALUE"""),"628585260032")</f>
        <v>628585260032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4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>
        <f>IFERROR(__xludf.DUMMYFUNCTION("""COMPUTED_VALUE"""),450000.0)</f>
        <v>450000</v>
      </c>
      <c r="AN125" s="53">
        <f>IFERROR(__xludf.DUMMYFUNCTION("""COMPUTED_VALUE"""),450000.0)</f>
        <v>450000</v>
      </c>
      <c r="AO125" s="54"/>
      <c r="AP125" s="54">
        <f>IFERROR(__xludf.DUMMYFUNCTION("""COMPUTED_VALUE"""),500000.0)</f>
        <v>500000</v>
      </c>
      <c r="AQ125" s="53"/>
      <c r="AR125" s="54"/>
      <c r="AS125" s="54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IFERROR(__xludf.DUMMYFUNCTION("""COMPUTED_VALUE"""),500000.0)</f>
        <v>500000</v>
      </c>
      <c r="BE125" s="54">
        <f>IFERROR(__xludf.DUMMYFUNCTION("""COMPUTED_VALUE"""),0.0)</f>
        <v>0</v>
      </c>
      <c r="BF125" s="55">
        <f>IFERROR(__xludf.DUMMYFUNCTION("""COMPUTED_VALUE"""),1400000.0)</f>
        <v>1400000</v>
      </c>
      <c r="BG125" s="57"/>
      <c r="BH125" s="57"/>
      <c r="BI125" s="57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</row>
    <row r="126">
      <c r="A126" s="36">
        <f>IFERROR(__xludf.DUMMYFUNCTION("""COMPUTED_VALUE"""),125.0)</f>
        <v>125</v>
      </c>
      <c r="B126" s="37" t="str">
        <f>IFERROR(__xludf.DUMMYFUNCTION("""COMPUTED_VALUE"""),"KHILYATUL MUROQOBAH ASSA`ADAH")</f>
        <v>KHILYATUL MUROQOBAH ASSA`ADAH</v>
      </c>
      <c r="C126" s="38">
        <f>IFERROR(__xludf.DUMMYFUNCTION("""COMPUTED_VALUE"""),2.024070716E9)</f>
        <v>2024070716</v>
      </c>
      <c r="D126" s="37" t="str">
        <f>IFERROR(__xludf.DUMMYFUNCTION("""COMPUTED_VALUE"""),"MUROKIB")</f>
        <v>MUROKIB</v>
      </c>
      <c r="E126" s="37" t="str">
        <f>IFERROR(__xludf.DUMMYFUNCTION("""COMPUTED_VALUE"""),"UMMI HHANIK")</f>
        <v>UMMI HHANIK</v>
      </c>
      <c r="F126" s="37" t="str">
        <f>IFERROR(__xludf.DUMMYFUNCTION("""COMPUTED_VALUE"""),"PUCANGRO RT 3 RW 3 KALITENGAH LAMONGAN")</f>
        <v>PUCANGRO RT 3 RW 3 KALITENGAH LAMONGAN</v>
      </c>
      <c r="G126" s="38" t="str">
        <f>IFERROR(__xludf.DUMMYFUNCTION("""COMPUTED_VALUE"""),"SMK-XII BD")</f>
        <v>SMK-XII BD</v>
      </c>
      <c r="H126" s="36" t="str">
        <f>IFERROR(__xludf.DUMMYFUNCTION("""COMPUTED_VALUE"""),"B")</f>
        <v>B</v>
      </c>
      <c r="I126" s="40" t="str">
        <f>IFERROR(__xludf.DUMMYFUNCTION("""COMPUTED_VALUE"""),"B-4")</f>
        <v>B-4</v>
      </c>
      <c r="J126" s="40">
        <f>IFERROR(__xludf.DUMMYFUNCTION("""COMPUTED_VALUE"""),3.0)</f>
        <v>3</v>
      </c>
      <c r="K126" s="40" t="str">
        <f>IFERROR(__xludf.DUMMYFUNCTION("""COMPUTED_VALUE"""),"3 WUSTHO C PUTRI")</f>
        <v>3 WUSTHO C PUTRI</v>
      </c>
      <c r="L126" s="39" t="str">
        <f>IFERROR(__xludf.DUMMYFUNCTION("""COMPUTED_VALUE"""),"6285707694746")</f>
        <v>6285707694746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3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IFERROR(__xludf.DUMMYFUNCTION("""COMPUTED_VALUE"""),0.0)</f>
        <v>0</v>
      </c>
      <c r="BE126" s="43">
        <f>IFERROR(__xludf.DUMMYFUNCTION("""COMPUTED_VALUE"""),0.0)</f>
        <v>0</v>
      </c>
      <c r="BF126" s="44">
        <f>IFERROR(__xludf.DUMMYFUNCTION("""COMPUTED_VALUE"""),0.0)</f>
        <v>0</v>
      </c>
      <c r="BG126" s="56"/>
      <c r="BH126" s="56"/>
      <c r="BI126" s="5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</row>
    <row r="127">
      <c r="A127" s="47">
        <f>IFERROR(__xludf.DUMMYFUNCTION("""COMPUTED_VALUE"""),126.0)</f>
        <v>126</v>
      </c>
      <c r="B127" s="48" t="str">
        <f>IFERROR(__xludf.DUMMYFUNCTION("""COMPUTED_VALUE"""),"NAILA MALIHA PUTRI")</f>
        <v>NAILA MALIHA PUTRI</v>
      </c>
      <c r="C127" s="49">
        <f>IFERROR(__xludf.DUMMYFUNCTION("""COMPUTED_VALUE"""),2.024070161E9)</f>
        <v>2024070161</v>
      </c>
      <c r="D127" s="48" t="str">
        <f>IFERROR(__xludf.DUMMYFUNCTION("""COMPUTED_VALUE"""),"YADI")</f>
        <v>YADI</v>
      </c>
      <c r="E127" s="48" t="str">
        <f>IFERROR(__xludf.DUMMYFUNCTION("""COMPUTED_VALUE"""),"KHOMSATUN")</f>
        <v>KHOMSATUN</v>
      </c>
      <c r="F127" s="48" t="str">
        <f>IFERROR(__xludf.DUMMYFUNCTION("""COMPUTED_VALUE"""),"TENGGULUN RT 006 RW 003 SOLOKURO LAMONGAN")</f>
        <v>TENGGULUN RT 006 RW 003 SOLOKURO LAMONGAN</v>
      </c>
      <c r="G127" s="49" t="str">
        <f>IFERROR(__xludf.DUMMYFUNCTION("""COMPUTED_VALUE"""),"MA-XII.7")</f>
        <v>MA-XII.7</v>
      </c>
      <c r="H127" s="47" t="str">
        <f>IFERROR(__xludf.DUMMYFUNCTION("""COMPUTED_VALUE"""),"B")</f>
        <v>B</v>
      </c>
      <c r="I127" s="51" t="str">
        <f>IFERROR(__xludf.DUMMYFUNCTION("""COMPUTED_VALUE"""),"B-5")</f>
        <v>B-5</v>
      </c>
      <c r="J127" s="51">
        <f>IFERROR(__xludf.DUMMYFUNCTION("""COMPUTED_VALUE"""),3.0)</f>
        <v>3</v>
      </c>
      <c r="K127" s="51" t="str">
        <f>IFERROR(__xludf.DUMMYFUNCTION("""COMPUTED_VALUE"""),"3 WUSTHO C PUTRI")</f>
        <v>3 WUSTHO C PUTRI</v>
      </c>
      <c r="L127" s="50" t="str">
        <f>IFERROR(__xludf.DUMMYFUNCTION("""COMPUTED_VALUE"""),"6285804308769")</f>
        <v>6285804308769</v>
      </c>
      <c r="M127" s="54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4"/>
      <c r="AB127" s="54"/>
      <c r="AC127" s="53"/>
      <c r="AD127" s="53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>
        <f>IFERROR(__xludf.DUMMYFUNCTION("""COMPUTED_VALUE"""),500000.0)</f>
        <v>500000</v>
      </c>
      <c r="AQ127" s="54"/>
      <c r="AR127" s="54"/>
      <c r="AS127" s="54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IFERROR(__xludf.DUMMYFUNCTION("""COMPUTED_VALUE"""),0.0)</f>
        <v>0</v>
      </c>
      <c r="BD127" s="54">
        <f>IFERROR(__xludf.DUMMYFUNCTION("""COMPUTED_VALUE"""),500000.0)</f>
        <v>500000</v>
      </c>
      <c r="BE127" s="54">
        <f>IFERROR(__xludf.DUMMYFUNCTION("""COMPUTED_VALUE"""),0.0)</f>
        <v>0</v>
      </c>
      <c r="BF127" s="55">
        <f>IFERROR(__xludf.DUMMYFUNCTION("""COMPUTED_VALUE"""),500000.0)</f>
        <v>500000</v>
      </c>
      <c r="BG127" s="57"/>
      <c r="BH127" s="57"/>
      <c r="BI127" s="57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</row>
    <row r="128">
      <c r="A128" s="36">
        <f>IFERROR(__xludf.DUMMYFUNCTION("""COMPUTED_VALUE"""),127.0)</f>
        <v>127</v>
      </c>
      <c r="B128" s="37" t="str">
        <f>IFERROR(__xludf.DUMMYFUNCTION("""COMPUTED_VALUE"""),"NOVI ADELIA SALSABILLA")</f>
        <v>NOVI ADELIA SALSABILLA</v>
      </c>
      <c r="C128" s="38">
        <f>IFERROR(__xludf.DUMMYFUNCTION("""COMPUTED_VALUE"""),2.024070082E9)</f>
        <v>2024070082</v>
      </c>
      <c r="D128" s="37" t="str">
        <f>IFERROR(__xludf.DUMMYFUNCTION("""COMPUTED_VALUE"""),"SUKIRNO")</f>
        <v>SUKIRNO</v>
      </c>
      <c r="E128" s="37" t="str">
        <f>IFERROR(__xludf.DUMMYFUNCTION("""COMPUTED_VALUE"""),"SUSMIYATIN")</f>
        <v>SUSMIYATIN</v>
      </c>
      <c r="F128" s="37" t="str">
        <f>IFERROR(__xludf.DUMMYFUNCTION("""COMPUTED_VALUE"""),"TENGGULUN RT 007 RW 003 SOLOKURO LAMONGAN")</f>
        <v>TENGGULUN RT 007 RW 003 SOLOKURO LAMONGAN</v>
      </c>
      <c r="G128" s="38" t="str">
        <f>IFERROR(__xludf.DUMMYFUNCTION("""COMPUTED_VALUE"""),"MA-XII.3")</f>
        <v>MA-XII.3</v>
      </c>
      <c r="H128" s="36" t="str">
        <f>IFERROR(__xludf.DUMMYFUNCTION("""COMPUTED_VALUE"""),"B")</f>
        <v>B</v>
      </c>
      <c r="I128" s="40" t="str">
        <f>IFERROR(__xludf.DUMMYFUNCTION("""COMPUTED_VALUE"""),"B-5")</f>
        <v>B-5</v>
      </c>
      <c r="J128" s="40">
        <f>IFERROR(__xludf.DUMMYFUNCTION("""COMPUTED_VALUE"""),3.0)</f>
        <v>3</v>
      </c>
      <c r="K128" s="40" t="str">
        <f>IFERROR(__xludf.DUMMYFUNCTION("""COMPUTED_VALUE"""),"3 WUSTHO B PUTRI")</f>
        <v>3 WUSTHO B PUTRI</v>
      </c>
      <c r="L128" s="39" t="str">
        <f>IFERROR(__xludf.DUMMYFUNCTION("""COMPUTED_VALUE"""),"6285706307948")</f>
        <v>6285706307948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3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56"/>
      <c r="BH128" s="56"/>
      <c r="BI128" s="5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</row>
    <row r="129">
      <c r="A129" s="47">
        <f>IFERROR(__xludf.DUMMYFUNCTION("""COMPUTED_VALUE"""),128.0)</f>
        <v>128</v>
      </c>
      <c r="B129" s="48" t="str">
        <f>IFERROR(__xludf.DUMMYFUNCTION("""COMPUTED_VALUE"""),"NUR AILATUN NAKHWA")</f>
        <v>NUR AILATUN NAKHWA</v>
      </c>
      <c r="C129" s="49">
        <f>IFERROR(__xludf.DUMMYFUNCTION("""COMPUTED_VALUE"""),2.024070196E9)</f>
        <v>2024070196</v>
      </c>
      <c r="D129" s="48" t="str">
        <f>IFERROR(__xludf.DUMMYFUNCTION("""COMPUTED_VALUE"""),"KARDIMAN")</f>
        <v>KARDIMAN</v>
      </c>
      <c r="E129" s="48" t="str">
        <f>IFERROR(__xludf.DUMMYFUNCTION("""COMPUTED_VALUE"""),"QUROTUL UMMAH")</f>
        <v>QUROTUL UMMAH</v>
      </c>
      <c r="F129" s="48" t="str">
        <f>IFERROR(__xludf.DUMMYFUNCTION("""COMPUTED_VALUE"""),"TENGGULUN RT 007 RW 003 SOLOKURO LAMONGAN")</f>
        <v>TENGGULUN RT 007 RW 003 SOLOKURO LAMONGAN</v>
      </c>
      <c r="G129" s="49" t="str">
        <f>IFERROR(__xludf.DUMMYFUNCTION("""COMPUTED_VALUE"""),"MA-XII.7")</f>
        <v>MA-XII.7</v>
      </c>
      <c r="H129" s="47" t="str">
        <f>IFERROR(__xludf.DUMMYFUNCTION("""COMPUTED_VALUE"""),"B")</f>
        <v>B</v>
      </c>
      <c r="I129" s="51" t="str">
        <f>IFERROR(__xludf.DUMMYFUNCTION("""COMPUTED_VALUE"""),"B-5")</f>
        <v>B-5</v>
      </c>
      <c r="J129" s="51">
        <f>IFERROR(__xludf.DUMMYFUNCTION("""COMPUTED_VALUE"""),3.0)</f>
        <v>3</v>
      </c>
      <c r="K129" s="51" t="str">
        <f>IFERROR(__xludf.DUMMYFUNCTION("""COMPUTED_VALUE"""),"3 WUSTHO B PUTRI")</f>
        <v>3 WUSTHO B PUTRI</v>
      </c>
      <c r="L129" s="50" t="str">
        <f>IFERROR(__xludf.DUMMYFUNCTION("""COMPUTED_VALUE"""),"6282338617496")</f>
        <v>6282338617496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4"/>
      <c r="AP129" s="54"/>
      <c r="AQ129" s="53"/>
      <c r="AR129" s="54"/>
      <c r="AS129" s="54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IFERROR(__xludf.DUMMYFUNCTION("""COMPUTED_VALUE"""),0.0)</f>
        <v>0</v>
      </c>
      <c r="BE129" s="54">
        <f>IFERROR(__xludf.DUMMYFUNCTION("""COMPUTED_VALUE"""),0.0)</f>
        <v>0</v>
      </c>
      <c r="BF129" s="55">
        <f>IFERROR(__xludf.DUMMYFUNCTION("""COMPUTED_VALUE"""),0.0)</f>
        <v>0</v>
      </c>
      <c r="BG129" s="57"/>
      <c r="BH129" s="57"/>
      <c r="BI129" s="57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</row>
    <row r="130">
      <c r="A130" s="36">
        <f>IFERROR(__xludf.DUMMYFUNCTION("""COMPUTED_VALUE"""),129.0)</f>
        <v>129</v>
      </c>
      <c r="B130" s="37" t="str">
        <f>IFERROR(__xludf.DUMMYFUNCTION("""COMPUTED_VALUE"""),"NUR MA`RIFAH")</f>
        <v>NUR MA`RIFAH</v>
      </c>
      <c r="C130" s="38">
        <f>IFERROR(__xludf.DUMMYFUNCTION("""COMPUTED_VALUE"""),2.024070578E9)</f>
        <v>2024070578</v>
      </c>
      <c r="D130" s="37" t="str">
        <f>IFERROR(__xludf.DUMMYFUNCTION("""COMPUTED_VALUE"""),"SUN`AN")</f>
        <v>SUN`AN</v>
      </c>
      <c r="E130" s="37" t="str">
        <f>IFERROR(__xludf.DUMMYFUNCTION("""COMPUTED_VALUE"""),"SUMA`IDAH")</f>
        <v>SUMA`IDAH</v>
      </c>
      <c r="F130" s="37" t="str">
        <f>IFERROR(__xludf.DUMMYFUNCTION("""COMPUTED_VALUE"""),"BANJARAN TURI RT 006 RW 002 MADURAN LAMONGAN")</f>
        <v>BANJARAN TURI RT 006 RW 002 MADURAN LAMONGAN</v>
      </c>
      <c r="G130" s="38" t="str">
        <f>IFERROR(__xludf.DUMMYFUNCTION("""COMPUTED_VALUE"""),"MTS-9 G")</f>
        <v>MTS-9 G</v>
      </c>
      <c r="H130" s="36" t="str">
        <f>IFERROR(__xludf.DUMMYFUNCTION("""COMPUTED_VALUE"""),"B")</f>
        <v>B</v>
      </c>
      <c r="I130" s="40" t="str">
        <f>IFERROR(__xludf.DUMMYFUNCTION("""COMPUTED_VALUE"""),"B-9")</f>
        <v>B-9</v>
      </c>
      <c r="J130" s="40">
        <f>IFERROR(__xludf.DUMMYFUNCTION("""COMPUTED_VALUE"""),3.0)</f>
        <v>3</v>
      </c>
      <c r="K130" s="40" t="str">
        <f>IFERROR(__xludf.DUMMYFUNCTION("""COMPUTED_VALUE"""),"3 ULA B PUTRI")</f>
        <v>3 ULA B PUTRI</v>
      </c>
      <c r="L130" s="39" t="str">
        <f>IFERROR(__xludf.DUMMYFUNCTION("""COMPUTED_VALUE"""),"6285730196160")</f>
        <v>6285730196160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>
        <f>IFERROR(__xludf.DUMMYFUNCTION("""COMPUTED_VALUE"""),500000.0)</f>
        <v>500000</v>
      </c>
      <c r="AQ130" s="42"/>
      <c r="AR130" s="42"/>
      <c r="AS130" s="43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IFERROR(__xludf.DUMMYFUNCTION("""COMPUTED_VALUE"""),500000.0)</f>
        <v>500000</v>
      </c>
      <c r="BE130" s="43">
        <f>IFERROR(__xludf.DUMMYFUNCTION("""COMPUTED_VALUE"""),0.0)</f>
        <v>0</v>
      </c>
      <c r="BF130" s="44">
        <f>IFERROR(__xludf.DUMMYFUNCTION("""COMPUTED_VALUE"""),500000.0)</f>
        <v>500000</v>
      </c>
      <c r="BG130" s="56"/>
      <c r="BH130" s="56"/>
      <c r="BI130" s="5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</row>
    <row r="131">
      <c r="A131" s="47">
        <f>IFERROR(__xludf.DUMMYFUNCTION("""COMPUTED_VALUE"""),130.0)</f>
        <v>130</v>
      </c>
      <c r="B131" s="48" t="str">
        <f>IFERROR(__xludf.DUMMYFUNCTION("""COMPUTED_VALUE"""),"NURUL QHOIYIMATUL ALFIYAH")</f>
        <v>NURUL QHOIYIMATUL ALFIYAH</v>
      </c>
      <c r="C131" s="49">
        <f>IFERROR(__xludf.DUMMYFUNCTION("""COMPUTED_VALUE"""),2.024070436E9)</f>
        <v>2024070436</v>
      </c>
      <c r="D131" s="48" t="str">
        <f>IFERROR(__xludf.DUMMYFUNCTION("""COMPUTED_VALUE"""),"MUKRI HAJI")</f>
        <v>MUKRI HAJI</v>
      </c>
      <c r="E131" s="48" t="str">
        <f>IFERROR(__xludf.DUMMYFUNCTION("""COMPUTED_VALUE"""),"MA`RIFAH")</f>
        <v>MA`RIFAH</v>
      </c>
      <c r="F131" s="48" t="str">
        <f>IFERROR(__xludf.DUMMYFUNCTION("""COMPUTED_VALUE"""),"TENGGULUN RT 008 RW 003 SOLOKURO LAMONGAN")</f>
        <v>TENGGULUN RT 008 RW 003 SOLOKURO LAMONGAN</v>
      </c>
      <c r="G131" s="49" t="str">
        <f>IFERROR(__xludf.DUMMYFUNCTION("""COMPUTED_VALUE"""),"MA-XII.13")</f>
        <v>MA-XII.13</v>
      </c>
      <c r="H131" s="47" t="str">
        <f>IFERROR(__xludf.DUMMYFUNCTION("""COMPUTED_VALUE"""),"B")</f>
        <v>B</v>
      </c>
      <c r="I131" s="51" t="str">
        <f>IFERROR(__xludf.DUMMYFUNCTION("""COMPUTED_VALUE"""),"B-7")</f>
        <v>B-7</v>
      </c>
      <c r="J131" s="51">
        <f>IFERROR(__xludf.DUMMYFUNCTION("""COMPUTED_VALUE"""),3.0)</f>
        <v>3</v>
      </c>
      <c r="K131" s="51" t="str">
        <f>IFERROR(__xludf.DUMMYFUNCTION("""COMPUTED_VALUE"""),"3 MAK PUTRI")</f>
        <v>3 MAK PUTRI</v>
      </c>
      <c r="L131" s="50" t="str">
        <f>IFERROR(__xludf.DUMMYFUNCTION("""COMPUTED_VALUE"""),"628812496056661")</f>
        <v>628812496056661</v>
      </c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>
        <f>IFERROR(__xludf.DUMMYFUNCTION("""COMPUTED_VALUE"""),500000.0)</f>
        <v>500000</v>
      </c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>
        <f>IFERROR(__xludf.DUMMYFUNCTION("""COMPUTED_VALUE"""),450000.0)</f>
        <v>450000</v>
      </c>
      <c r="AO131" s="53"/>
      <c r="AP131" s="53">
        <f>IFERROR(__xludf.DUMMYFUNCTION("""COMPUTED_VALUE"""),500000.0)</f>
        <v>500000</v>
      </c>
      <c r="AQ131" s="53"/>
      <c r="AR131" s="54"/>
      <c r="AS131" s="54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IFERROR(__xludf.DUMMYFUNCTION("""COMPUTED_VALUE"""),450000.0)</f>
        <v>450000</v>
      </c>
      <c r="BD131" s="54">
        <f>IFERROR(__xludf.DUMMYFUNCTION("""COMPUTED_VALUE"""),1000000.0)</f>
        <v>1000000</v>
      </c>
      <c r="BE131" s="54">
        <f>IFERROR(__xludf.DUMMYFUNCTION("""COMPUTED_VALUE"""),0.0)</f>
        <v>0</v>
      </c>
      <c r="BF131" s="55">
        <f>IFERROR(__xludf.DUMMYFUNCTION("""COMPUTED_VALUE"""),1450000.0)</f>
        <v>1450000</v>
      </c>
      <c r="BG131" s="57"/>
      <c r="BH131" s="57"/>
      <c r="BI131" s="57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</row>
    <row r="132">
      <c r="A132" s="36">
        <f>IFERROR(__xludf.DUMMYFUNCTION("""COMPUTED_VALUE"""),131.0)</f>
        <v>131</v>
      </c>
      <c r="B132" s="37" t="str">
        <f>IFERROR(__xludf.DUMMYFUNCTION("""COMPUTED_VALUE"""),"PARAMITA ANGGRAINI")</f>
        <v>PARAMITA ANGGRAINI</v>
      </c>
      <c r="C132" s="38">
        <f>IFERROR(__xludf.DUMMYFUNCTION("""COMPUTED_VALUE"""),2.024070698E9)</f>
        <v>2024070698</v>
      </c>
      <c r="D132" s="37" t="str">
        <f>IFERROR(__xludf.DUMMYFUNCTION("""COMPUTED_VALUE"""),"SUROSO")</f>
        <v>SUROSO</v>
      </c>
      <c r="E132" s="37" t="str">
        <f>IFERROR(__xludf.DUMMYFUNCTION("""COMPUTED_VALUE"""),"ISMIRA")</f>
        <v>ISMIRA</v>
      </c>
      <c r="F132" s="37" t="str">
        <f>IFERROR(__xludf.DUMMYFUNCTION("""COMPUTED_VALUE"""),"SEREN JATIPANDAK RT 005 RW 003 SAMBENG LAMONGAN")</f>
        <v>SEREN JATIPANDAK RT 005 RW 003 SAMBENG LAMONGAN</v>
      </c>
      <c r="G132" s="38" t="str">
        <f>IFERROR(__xludf.DUMMYFUNCTION("""COMPUTED_VALUE"""),"SMK-XII TKJ 2")</f>
        <v>SMK-XII TKJ 2</v>
      </c>
      <c r="H132" s="36" t="str">
        <f>IFERROR(__xludf.DUMMYFUNCTION("""COMPUTED_VALUE"""),"B")</f>
        <v>B</v>
      </c>
      <c r="I132" s="40" t="str">
        <f>IFERROR(__xludf.DUMMYFUNCTION("""COMPUTED_VALUE"""),"B-4")</f>
        <v>B-4</v>
      </c>
      <c r="J132" s="40">
        <f>IFERROR(__xludf.DUMMYFUNCTION("""COMPUTED_VALUE"""),3.0)</f>
        <v>3</v>
      </c>
      <c r="K132" s="40" t="str">
        <f>IFERROR(__xludf.DUMMYFUNCTION("""COMPUTED_VALUE"""),"3 WUSTHO C PUTRI")</f>
        <v>3 WUSTHO C PUTRI</v>
      </c>
      <c r="L132" s="39" t="str">
        <f>IFERROR(__xludf.DUMMYFUNCTION("""COMPUTED_VALUE"""),"6285645123489")</f>
        <v>6285645123489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>
        <f>IFERROR(__xludf.DUMMYFUNCTION("""COMPUTED_VALUE"""),350000.0)</f>
        <v>350000</v>
      </c>
      <c r="AB132" s="42">
        <f>IFERROR(__xludf.DUMMYFUNCTION("""COMPUTED_VALUE"""),500000.0)</f>
        <v>500000</v>
      </c>
      <c r="AC132" s="42">
        <f>IFERROR(__xludf.DUMMYFUNCTION("""COMPUTED_VALUE"""),450000.0)</f>
        <v>450000</v>
      </c>
      <c r="AD132" s="42">
        <f>IFERROR(__xludf.DUMMYFUNCTION("""COMPUTED_VALUE"""),450000.0)</f>
        <v>450000</v>
      </c>
      <c r="AE132" s="42">
        <f>IFERROR(__xludf.DUMMYFUNCTION("""COMPUTED_VALUE"""),450000.0)</f>
        <v>450000</v>
      </c>
      <c r="AF132" s="42">
        <f>IFERROR(__xludf.DUMMYFUNCTION("""COMPUTED_VALUE"""),450000.0)</f>
        <v>450000</v>
      </c>
      <c r="AG132" s="42">
        <f>IFERROR(__xludf.DUMMYFUNCTION("""COMPUTED_VALUE"""),450000.0)</f>
        <v>450000</v>
      </c>
      <c r="AH132" s="42">
        <f>IFERROR(__xludf.DUMMYFUNCTION("""COMPUTED_VALUE"""),450000.0)</f>
        <v>450000</v>
      </c>
      <c r="AI132" s="42">
        <f>IFERROR(__xludf.DUMMYFUNCTION("""COMPUTED_VALUE"""),450000.0)</f>
        <v>450000</v>
      </c>
      <c r="AJ132" s="42">
        <f>IFERROR(__xludf.DUMMYFUNCTION("""COMPUTED_VALUE"""),450000.0)</f>
        <v>450000</v>
      </c>
      <c r="AK132" s="42">
        <f>IFERROR(__xludf.DUMMYFUNCTION("""COMPUTED_VALUE"""),450000.0)</f>
        <v>450000</v>
      </c>
      <c r="AL132" s="42">
        <f>IFERROR(__xludf.DUMMYFUNCTION("""COMPUTED_VALUE"""),450000.0)</f>
        <v>450000</v>
      </c>
      <c r="AM132" s="42">
        <f>IFERROR(__xludf.DUMMYFUNCTION("""COMPUTED_VALUE"""),450000.0)</f>
        <v>450000</v>
      </c>
      <c r="AN132" s="42">
        <f>IFERROR(__xludf.DUMMYFUNCTION("""COMPUTED_VALUE"""),450000.0)</f>
        <v>450000</v>
      </c>
      <c r="AO132" s="42"/>
      <c r="AP132" s="42">
        <f>IFERROR(__xludf.DUMMYFUNCTION("""COMPUTED_VALUE"""),500000.0)</f>
        <v>500000</v>
      </c>
      <c r="AQ132" s="42"/>
      <c r="AR132" s="42"/>
      <c r="AS132" s="43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IFERROR(__xludf.DUMMYFUNCTION("""COMPUTED_VALUE"""),7650000.0)</f>
        <v>7650000</v>
      </c>
      <c r="BD132" s="43">
        <f>IFERROR(__xludf.DUMMYFUNCTION("""COMPUTED_VALUE"""),1000000.0)</f>
        <v>1000000</v>
      </c>
      <c r="BE132" s="43">
        <f>IFERROR(__xludf.DUMMYFUNCTION("""COMPUTED_VALUE"""),350000.0)</f>
        <v>350000</v>
      </c>
      <c r="BF132" s="44">
        <f>IFERROR(__xludf.DUMMYFUNCTION("""COMPUTED_VALUE"""),9000000.0)</f>
        <v>9000000</v>
      </c>
      <c r="BG132" s="56"/>
      <c r="BH132" s="56"/>
      <c r="BI132" s="5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</row>
    <row r="133">
      <c r="A133" s="47">
        <f>IFERROR(__xludf.DUMMYFUNCTION("""COMPUTED_VALUE"""),132.0)</f>
        <v>132</v>
      </c>
      <c r="B133" s="48" t="str">
        <f>IFERROR(__xludf.DUMMYFUNCTION("""COMPUTED_VALUE"""),"PUTRI FARHANA AMALIA")</f>
        <v>PUTRI FARHANA AMALIA</v>
      </c>
      <c r="C133" s="49">
        <f>IFERROR(__xludf.DUMMYFUNCTION("""COMPUTED_VALUE"""),2.024070084E9)</f>
        <v>2024070084</v>
      </c>
      <c r="D133" s="48" t="str">
        <f>IFERROR(__xludf.DUMMYFUNCTION("""COMPUTED_VALUE"""),"SYAIFUL AMIN")</f>
        <v>SYAIFUL AMIN</v>
      </c>
      <c r="E133" s="48" t="str">
        <f>IFERROR(__xludf.DUMMYFUNCTION("""COMPUTED_VALUE"""),"SUNDARTI")</f>
        <v>SUNDARTI</v>
      </c>
      <c r="F133" s="48" t="str">
        <f>IFERROR(__xludf.DUMMYFUNCTION("""COMPUTED_VALUE"""),"TENGGULUN RT 003 RW 002 SOLOKURO LAMONGAN")</f>
        <v>TENGGULUN RT 003 RW 002 SOLOKURO LAMONGAN</v>
      </c>
      <c r="G133" s="49" t="str">
        <f>IFERROR(__xludf.DUMMYFUNCTION("""COMPUTED_VALUE"""),"MA-XII.3")</f>
        <v>MA-XII.3</v>
      </c>
      <c r="H133" s="47" t="str">
        <f>IFERROR(__xludf.DUMMYFUNCTION("""COMPUTED_VALUE"""),"B")</f>
        <v>B</v>
      </c>
      <c r="I133" s="51" t="str">
        <f>IFERROR(__xludf.DUMMYFUNCTION("""COMPUTED_VALUE"""),"B-5")</f>
        <v>B-5</v>
      </c>
      <c r="J133" s="51">
        <f>IFERROR(__xludf.DUMMYFUNCTION("""COMPUTED_VALUE"""),3.0)</f>
        <v>3</v>
      </c>
      <c r="K133" s="51" t="str">
        <f>IFERROR(__xludf.DUMMYFUNCTION("""COMPUTED_VALUE"""),"3 WUSTHO B PUTRI")</f>
        <v>3 WUSTHO B PUTRI</v>
      </c>
      <c r="L133" s="50" t="str">
        <f>IFERROR(__xludf.DUMMYFUNCTION("""COMPUTED_VALUE"""),"6282245431749")</f>
        <v>6282245431749</v>
      </c>
      <c r="M133" s="54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4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/>
      <c r="AQ133" s="54"/>
      <c r="AR133" s="54"/>
      <c r="AS133" s="54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IFERROR(__xludf.DUMMYFUNCTION("""COMPUTED_VALUE"""),0.0)</f>
        <v>0</v>
      </c>
      <c r="BD133" s="54">
        <f>IFERROR(__xludf.DUMMYFUNCTION("""COMPUTED_VALUE"""),0.0)</f>
        <v>0</v>
      </c>
      <c r="BE133" s="54">
        <f>IFERROR(__xludf.DUMMYFUNCTION("""COMPUTED_VALUE"""),0.0)</f>
        <v>0</v>
      </c>
      <c r="BF133" s="55">
        <f>IFERROR(__xludf.DUMMYFUNCTION("""COMPUTED_VALUE"""),0.0)</f>
        <v>0</v>
      </c>
      <c r="BG133" s="57"/>
      <c r="BH133" s="57"/>
      <c r="BI133" s="57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</row>
    <row r="134">
      <c r="A134" s="36">
        <f>IFERROR(__xludf.DUMMYFUNCTION("""COMPUTED_VALUE"""),133.0)</f>
        <v>133</v>
      </c>
      <c r="B134" s="37" t="str">
        <f>IFERROR(__xludf.DUMMYFUNCTION("""COMPUTED_VALUE"""),"SHAFA KIRANA KAMALAT AZIZAH")</f>
        <v>SHAFA KIRANA KAMALAT AZIZAH</v>
      </c>
      <c r="C134" s="38">
        <f>IFERROR(__xludf.DUMMYFUNCTION("""COMPUTED_VALUE"""),2.024070438E9)</f>
        <v>2024070438</v>
      </c>
      <c r="D134" s="37" t="str">
        <f>IFERROR(__xludf.DUMMYFUNCTION("""COMPUTED_VALUE"""),"SHAFIK UDIN")</f>
        <v>SHAFIK UDIN</v>
      </c>
      <c r="E134" s="37" t="str">
        <f>IFERROR(__xludf.DUMMYFUNCTION("""COMPUTED_VALUE"""),"KUSNUL AMALIYAH")</f>
        <v>KUSNUL AMALIYAH</v>
      </c>
      <c r="F134" s="37" t="str">
        <f>IFERROR(__xludf.DUMMYFUNCTION("""COMPUTED_VALUE"""),"PUCUK SRIRANDE RT 004 RW 003 DEKET LAMONGAN")</f>
        <v>PUCUK SRIRANDE RT 004 RW 003 DEKET LAMONGAN</v>
      </c>
      <c r="G134" s="38" t="str">
        <f>IFERROR(__xludf.DUMMYFUNCTION("""COMPUTED_VALUE"""),"MA-XII.13")</f>
        <v>MA-XII.13</v>
      </c>
      <c r="H134" s="36" t="str">
        <f>IFERROR(__xludf.DUMMYFUNCTION("""COMPUTED_VALUE"""),"B")</f>
        <v>B</v>
      </c>
      <c r="I134" s="40" t="str">
        <f>IFERROR(__xludf.DUMMYFUNCTION("""COMPUTED_VALUE"""),"B-7")</f>
        <v>B-7</v>
      </c>
      <c r="J134" s="40">
        <f>IFERROR(__xludf.DUMMYFUNCTION("""COMPUTED_VALUE"""),3.0)</f>
        <v>3</v>
      </c>
      <c r="K134" s="40" t="str">
        <f>IFERROR(__xludf.DUMMYFUNCTION("""COMPUTED_VALUE"""),"3 MAK PUTRI")</f>
        <v>3 MAK PUTRI</v>
      </c>
      <c r="L134" s="39" t="str">
        <f>IFERROR(__xludf.DUMMYFUNCTION("""COMPUTED_VALUE"""),"6285790323117")</f>
        <v>6285790323117</v>
      </c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>
        <f>IFERROR(__xludf.DUMMYFUNCTION("""COMPUTED_VALUE"""),500000.0)</f>
        <v>500000</v>
      </c>
      <c r="AC134" s="42"/>
      <c r="AD134" s="42"/>
      <c r="AE134" s="42"/>
      <c r="AF134" s="42"/>
      <c r="AG134" s="42"/>
      <c r="AH134" s="42">
        <f>IFERROR(__xludf.DUMMYFUNCTION("""COMPUTED_VALUE"""),450000.0)</f>
        <v>450000</v>
      </c>
      <c r="AI134" s="42">
        <f>IFERROR(__xludf.DUMMYFUNCTION("""COMPUTED_VALUE"""),450000.0)</f>
        <v>450000</v>
      </c>
      <c r="AJ134" s="42">
        <f>IFERROR(__xludf.DUMMYFUNCTION("""COMPUTED_VALUE"""),450000.0)</f>
        <v>450000</v>
      </c>
      <c r="AK134" s="42">
        <f>IFERROR(__xludf.DUMMYFUNCTION("""COMPUTED_VALUE"""),450000.0)</f>
        <v>450000</v>
      </c>
      <c r="AL134" s="42">
        <f>IFERROR(__xludf.DUMMYFUNCTION("""COMPUTED_VALUE"""),450000.0)</f>
        <v>450000</v>
      </c>
      <c r="AM134" s="42">
        <f>IFERROR(__xludf.DUMMYFUNCTION("""COMPUTED_VALUE"""),450000.0)</f>
        <v>450000</v>
      </c>
      <c r="AN134" s="42">
        <f>IFERROR(__xludf.DUMMYFUNCTION("""COMPUTED_VALUE"""),450000.0)</f>
        <v>450000</v>
      </c>
      <c r="AO134" s="43"/>
      <c r="AP134" s="43">
        <f>IFERROR(__xludf.DUMMYFUNCTION("""COMPUTED_VALUE"""),500000.0)</f>
        <v>500000</v>
      </c>
      <c r="AQ134" s="42"/>
      <c r="AR134" s="43"/>
      <c r="AS134" s="43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IFERROR(__xludf.DUMMYFUNCTION("""COMPUTED_VALUE"""),3150000.0)</f>
        <v>3150000</v>
      </c>
      <c r="BD134" s="43">
        <f>IFERROR(__xludf.DUMMYFUNCTION("""COMPUTED_VALUE"""),1000000.0)</f>
        <v>1000000</v>
      </c>
      <c r="BE134" s="43">
        <f>IFERROR(__xludf.DUMMYFUNCTION("""COMPUTED_VALUE"""),0.0)</f>
        <v>0</v>
      </c>
      <c r="BF134" s="44">
        <f>IFERROR(__xludf.DUMMYFUNCTION("""COMPUTED_VALUE"""),4150000.0)</f>
        <v>4150000</v>
      </c>
      <c r="BG134" s="56"/>
      <c r="BH134" s="56"/>
      <c r="BI134" s="5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</row>
    <row r="135">
      <c r="A135" s="47">
        <f>IFERROR(__xludf.DUMMYFUNCTION("""COMPUTED_VALUE"""),134.0)</f>
        <v>134</v>
      </c>
      <c r="B135" s="48" t="str">
        <f>IFERROR(__xludf.DUMMYFUNCTION("""COMPUTED_VALUE"""),"SILVY AYU WULANDARI")</f>
        <v>SILVY AYU WULANDARI</v>
      </c>
      <c r="C135" s="49">
        <f>IFERROR(__xludf.DUMMYFUNCTION("""COMPUTED_VALUE"""),2.02407044E9)</f>
        <v>2024070440</v>
      </c>
      <c r="D135" s="48" t="str">
        <f>IFERROR(__xludf.DUMMYFUNCTION("""COMPUTED_VALUE"""),"ADI LAKSONO")</f>
        <v>ADI LAKSONO</v>
      </c>
      <c r="E135" s="48" t="str">
        <f>IFERROR(__xludf.DUMMYFUNCTION("""COMPUTED_VALUE"""),"SITI KOMARIYAH")</f>
        <v>SITI KOMARIYAH</v>
      </c>
      <c r="F135" s="48" t="str">
        <f>IFERROR(__xludf.DUMMYFUNCTION("""COMPUTED_VALUE"""),"DADUNGAN RT 001 RW 004 KALITENGAH LAMONGAN")</f>
        <v>DADUNGAN RT 001 RW 004 KALITENGAH LAMONGAN</v>
      </c>
      <c r="G135" s="49" t="str">
        <f>IFERROR(__xludf.DUMMYFUNCTION("""COMPUTED_VALUE"""),"MA-XII.13")</f>
        <v>MA-XII.13</v>
      </c>
      <c r="H135" s="47" t="str">
        <f>IFERROR(__xludf.DUMMYFUNCTION("""COMPUTED_VALUE"""),"B")</f>
        <v>B</v>
      </c>
      <c r="I135" s="51" t="str">
        <f>IFERROR(__xludf.DUMMYFUNCTION("""COMPUTED_VALUE"""),"B-7")</f>
        <v>B-7</v>
      </c>
      <c r="J135" s="51">
        <f>IFERROR(__xludf.DUMMYFUNCTION("""COMPUTED_VALUE"""),3.0)</f>
        <v>3</v>
      </c>
      <c r="K135" s="51" t="str">
        <f>IFERROR(__xludf.DUMMYFUNCTION("""COMPUTED_VALUE"""),"3 MAK PUTRI")</f>
        <v>3 MAK PUTRI</v>
      </c>
      <c r="L135" s="50" t="str">
        <f>IFERROR(__xludf.DUMMYFUNCTION("""COMPUTED_VALUE"""),"6281554219741")</f>
        <v>6281554219741</v>
      </c>
      <c r="M135" s="54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4"/>
      <c r="AC135" s="53"/>
      <c r="AD135" s="53"/>
      <c r="AE135" s="53"/>
      <c r="AF135" s="53"/>
      <c r="AG135" s="53"/>
      <c r="AH135" s="53"/>
      <c r="AI135" s="53"/>
      <c r="AJ135" s="53"/>
      <c r="AK135" s="54"/>
      <c r="AL135" s="54"/>
      <c r="AM135" s="54"/>
      <c r="AN135" s="54"/>
      <c r="AO135" s="54"/>
      <c r="AP135" s="54">
        <f>IFERROR(__xludf.DUMMYFUNCTION("""COMPUTED_VALUE"""),500000.0)</f>
        <v>500000</v>
      </c>
      <c r="AQ135" s="54"/>
      <c r="AR135" s="54"/>
      <c r="AS135" s="54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IFERROR(__xludf.DUMMYFUNCTION("""COMPUTED_VALUE"""),500000.0)</f>
        <v>500000</v>
      </c>
      <c r="BE135" s="54">
        <f>IFERROR(__xludf.DUMMYFUNCTION("""COMPUTED_VALUE"""),0.0)</f>
        <v>0</v>
      </c>
      <c r="BF135" s="55">
        <f>IFERROR(__xludf.DUMMYFUNCTION("""COMPUTED_VALUE"""),500000.0)</f>
        <v>500000</v>
      </c>
      <c r="BG135" s="57"/>
      <c r="BH135" s="57"/>
      <c r="BI135" s="57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</row>
    <row r="136">
      <c r="A136" s="36">
        <f>IFERROR(__xludf.DUMMYFUNCTION("""COMPUTED_VALUE"""),135.0)</f>
        <v>135</v>
      </c>
      <c r="B136" s="37" t="str">
        <f>IFERROR(__xludf.DUMMYFUNCTION("""COMPUTED_VALUE"""),"SITI MAGFIROH")</f>
        <v>SITI MAGFIROH</v>
      </c>
      <c r="C136" s="38">
        <f>IFERROR(__xludf.DUMMYFUNCTION("""COMPUTED_VALUE"""),2.024070441E9)</f>
        <v>2024070441</v>
      </c>
      <c r="D136" s="37" t="str">
        <f>IFERROR(__xludf.DUMMYFUNCTION("""COMPUTED_VALUE"""),"SUPARTO")</f>
        <v>SUPARTO</v>
      </c>
      <c r="E136" s="37" t="str">
        <f>IFERROR(__xludf.DUMMYFUNCTION("""COMPUTED_VALUE"""),"SITI MARDLIYAH NOVIA ROHMA")</f>
        <v>SITI MARDLIYAH NOVIA ROHMA</v>
      </c>
      <c r="F136" s="37" t="str">
        <f>IFERROR(__xludf.DUMMYFUNCTION("""COMPUTED_VALUE"""),"TIWET RT 2 RW 2 KALITENGAH LAMONGAN")</f>
        <v>TIWET RT 2 RW 2 KALITENGAH LAMONGAN</v>
      </c>
      <c r="G136" s="38" t="str">
        <f>IFERROR(__xludf.DUMMYFUNCTION("""COMPUTED_VALUE"""),"MA-XII.13")</f>
        <v>MA-XII.13</v>
      </c>
      <c r="H136" s="36" t="str">
        <f>IFERROR(__xludf.DUMMYFUNCTION("""COMPUTED_VALUE"""),"B")</f>
        <v>B</v>
      </c>
      <c r="I136" s="40" t="str">
        <f>IFERROR(__xludf.DUMMYFUNCTION("""COMPUTED_VALUE"""),"B-7")</f>
        <v>B-7</v>
      </c>
      <c r="J136" s="40">
        <f>IFERROR(__xludf.DUMMYFUNCTION("""COMPUTED_VALUE"""),3.0)</f>
        <v>3</v>
      </c>
      <c r="K136" s="40" t="str">
        <f>IFERROR(__xludf.DUMMYFUNCTION("""COMPUTED_VALUE"""),"3 MAK PUTRI")</f>
        <v>3 MAK PUTRI</v>
      </c>
      <c r="L136" s="39" t="str">
        <f>IFERROR(__xludf.DUMMYFUNCTION("""COMPUTED_VALUE"""),"6285707732016")</f>
        <v>6285707732016</v>
      </c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>
        <f>IFERROR(__xludf.DUMMYFUNCTION("""COMPUTED_VALUE"""),350000.0)</f>
        <v>350000</v>
      </c>
      <c r="AB136" s="43"/>
      <c r="AC136" s="42"/>
      <c r="AD136" s="42"/>
      <c r="AE136" s="42"/>
      <c r="AF136" s="42"/>
      <c r="AG136" s="42"/>
      <c r="AH136" s="42"/>
      <c r="AI136" s="42"/>
      <c r="AJ136" s="42"/>
      <c r="AK136" s="42">
        <f>IFERROR(__xludf.DUMMYFUNCTION("""COMPUTED_VALUE"""),450000.0)</f>
        <v>450000</v>
      </c>
      <c r="AL136" s="42">
        <f>IFERROR(__xludf.DUMMYFUNCTION("""COMPUTED_VALUE"""),450000.0)</f>
        <v>450000</v>
      </c>
      <c r="AM136" s="42">
        <f>IFERROR(__xludf.DUMMYFUNCTION("""COMPUTED_VALUE"""),450000.0)</f>
        <v>450000</v>
      </c>
      <c r="AN136" s="42">
        <f>IFERROR(__xludf.DUMMYFUNCTION("""COMPUTED_VALUE"""),450000.0)</f>
        <v>450000</v>
      </c>
      <c r="AO136" s="43"/>
      <c r="AP136" s="43"/>
      <c r="AQ136" s="42"/>
      <c r="AR136" s="42"/>
      <c r="AS136" s="43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IFERROR(__xludf.DUMMYFUNCTION("""COMPUTED_VALUE"""),1800000.0)</f>
        <v>1800000</v>
      </c>
      <c r="BD136" s="43">
        <f>IFERROR(__xludf.DUMMYFUNCTION("""COMPUTED_VALUE"""),0.0)</f>
        <v>0</v>
      </c>
      <c r="BE136" s="43">
        <f>IFERROR(__xludf.DUMMYFUNCTION("""COMPUTED_VALUE"""),350000.0)</f>
        <v>350000</v>
      </c>
      <c r="BF136" s="44">
        <f>IFERROR(__xludf.DUMMYFUNCTION("""COMPUTED_VALUE"""),2150000.0)</f>
        <v>2150000</v>
      </c>
      <c r="BG136" s="56"/>
      <c r="BH136" s="56"/>
      <c r="BI136" s="5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</row>
    <row r="137">
      <c r="A137" s="47">
        <f>IFERROR(__xludf.DUMMYFUNCTION("""COMPUTED_VALUE"""),136.0)</f>
        <v>136</v>
      </c>
      <c r="B137" s="48" t="str">
        <f>IFERROR(__xludf.DUMMYFUNCTION("""COMPUTED_VALUE"""),"SYABANTA NIHAYATUS SYAQIYYAH")</f>
        <v>SYABANTA NIHAYATUS SYAQIYYAH</v>
      </c>
      <c r="C137" s="49">
        <f>IFERROR(__xludf.DUMMYFUNCTION("""COMPUTED_VALUE"""),2.02407056E9)</f>
        <v>2024070560</v>
      </c>
      <c r="D137" s="48" t="str">
        <f>IFERROR(__xludf.DUMMYFUNCTION("""COMPUTED_VALUE"""),"MUHAMMAD MUSLIH")</f>
        <v>MUHAMMAD MUSLIH</v>
      </c>
      <c r="E137" s="48" t="str">
        <f>IFERROR(__xludf.DUMMYFUNCTION("""COMPUTED_VALUE"""),"FADHILATIN NISFAKURIYAH")</f>
        <v>FADHILATIN NISFAKURIYAH</v>
      </c>
      <c r="F137" s="48" t="str">
        <f>IFERROR(__xludf.DUMMYFUNCTION("""COMPUTED_VALUE"""),"BALAI DESA III CUNGKUP RT 004 RW 001 PUCUK LAMONGAN")</f>
        <v>BALAI DESA III CUNGKUP RT 004 RW 001 PUCUK LAMONGAN</v>
      </c>
      <c r="G137" s="49" t="str">
        <f>IFERROR(__xludf.DUMMYFUNCTION("""COMPUTED_VALUE"""),"MTS-9 C")</f>
        <v>MTS-9 C</v>
      </c>
      <c r="H137" s="47" t="str">
        <f>IFERROR(__xludf.DUMMYFUNCTION("""COMPUTED_VALUE"""),"B")</f>
        <v>B</v>
      </c>
      <c r="I137" s="51" t="str">
        <f>IFERROR(__xludf.DUMMYFUNCTION("""COMPUTED_VALUE"""),"B-9")</f>
        <v>B-9</v>
      </c>
      <c r="J137" s="51">
        <f>IFERROR(__xludf.DUMMYFUNCTION("""COMPUTED_VALUE"""),3.0)</f>
        <v>3</v>
      </c>
      <c r="K137" s="51" t="str">
        <f>IFERROR(__xludf.DUMMYFUNCTION("""COMPUTED_VALUE"""),"3 ULA C PUTRI")</f>
        <v>3 ULA C PUTRI</v>
      </c>
      <c r="L137" s="50" t="str">
        <f>IFERROR(__xludf.DUMMYFUNCTION("""COMPUTED_VALUE"""),"6285648897421")</f>
        <v>6285648897421</v>
      </c>
      <c r="M137" s="54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4"/>
      <c r="AP137" s="54">
        <f>IFERROR(__xludf.DUMMYFUNCTION("""COMPUTED_VALUE"""),500000.0)</f>
        <v>500000</v>
      </c>
      <c r="AQ137" s="53"/>
      <c r="AR137" s="53"/>
      <c r="AS137" s="54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IFERROR(__xludf.DUMMYFUNCTION("""COMPUTED_VALUE"""),500000.0)</f>
        <v>500000</v>
      </c>
      <c r="BE137" s="54">
        <f>IFERROR(__xludf.DUMMYFUNCTION("""COMPUTED_VALUE"""),0.0)</f>
        <v>0</v>
      </c>
      <c r="BF137" s="55">
        <f>IFERROR(__xludf.DUMMYFUNCTION("""COMPUTED_VALUE"""),500000.0)</f>
        <v>500000</v>
      </c>
      <c r="BG137" s="57"/>
      <c r="BH137" s="57"/>
      <c r="BI137" s="57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</row>
    <row r="138">
      <c r="A138" s="36">
        <f>IFERROR(__xludf.DUMMYFUNCTION("""COMPUTED_VALUE"""),137.0)</f>
        <v>137</v>
      </c>
      <c r="B138" s="37" t="str">
        <f>IFERROR(__xludf.DUMMYFUNCTION("""COMPUTED_VALUE"""),"ADELIA YULIANTI PUTRI")</f>
        <v>ADELIA YULIANTI PUTRI</v>
      </c>
      <c r="C138" s="38">
        <f>IFERROR(__xludf.DUMMYFUNCTION("""COMPUTED_VALUE"""),2.024070492E9)</f>
        <v>2024070492</v>
      </c>
      <c r="D138" s="37" t="str">
        <f>IFERROR(__xludf.DUMMYFUNCTION("""COMPUTED_VALUE"""),"JUNAIDI ABDILLAH")</f>
        <v>JUNAIDI ABDILLAH</v>
      </c>
      <c r="E138" s="37" t="str">
        <f>IFERROR(__xludf.DUMMYFUNCTION("""COMPUTED_VALUE"""),"ENDANG MAYAWATI")</f>
        <v>ENDANG MAYAWATI</v>
      </c>
      <c r="F138" s="37" t="str">
        <f>IFERROR(__xludf.DUMMYFUNCTION("""COMPUTED_VALUE"""),"ASEMROWO II NO. 19 RT 002 RW 001 ASEM ROWO SURABAYA")</f>
        <v>ASEMROWO II NO. 19 RT 002 RW 001 ASEM ROWO SURABAYA</v>
      </c>
      <c r="G138" s="38" t="str">
        <f>IFERROR(__xludf.DUMMYFUNCTION("""COMPUTED_VALUE"""),"MTS-9 G")</f>
        <v>MTS-9 G</v>
      </c>
      <c r="H138" s="36" t="str">
        <f>IFERROR(__xludf.DUMMYFUNCTION("""COMPUTED_VALUE"""),"C")</f>
        <v>C</v>
      </c>
      <c r="I138" s="40" t="str">
        <f>IFERROR(__xludf.DUMMYFUNCTION("""COMPUTED_VALUE"""),"C-12")</f>
        <v>C-12</v>
      </c>
      <c r="J138" s="40">
        <f>IFERROR(__xludf.DUMMYFUNCTION("""COMPUTED_VALUE"""),3.0)</f>
        <v>3</v>
      </c>
      <c r="K138" s="40" t="str">
        <f>IFERROR(__xludf.DUMMYFUNCTION("""COMPUTED_VALUE"""),"3 ULA A PUTRI")</f>
        <v>3 ULA A PUTRI</v>
      </c>
      <c r="L138" s="39" t="str">
        <f>IFERROR(__xludf.DUMMYFUNCTION("""COMPUTED_VALUE"""),"6285808721207")</f>
        <v>6285808721207</v>
      </c>
      <c r="M138" s="43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3">
        <f>IFERROR(__xludf.DUMMYFUNCTION("""COMPUTED_VALUE"""),500000.0)</f>
        <v>500000</v>
      </c>
      <c r="AC138" s="42"/>
      <c r="AD138" s="42"/>
      <c r="AE138" s="42"/>
      <c r="AF138" s="42"/>
      <c r="AG138" s="42"/>
      <c r="AH138" s="43"/>
      <c r="AI138" s="43"/>
      <c r="AJ138" s="43"/>
      <c r="AK138" s="43">
        <f>IFERROR(__xludf.DUMMYFUNCTION("""COMPUTED_VALUE"""),450000.0)</f>
        <v>450000</v>
      </c>
      <c r="AL138" s="43">
        <f>IFERROR(__xludf.DUMMYFUNCTION("""COMPUTED_VALUE"""),450000.0)</f>
        <v>450000</v>
      </c>
      <c r="AM138" s="43">
        <f>IFERROR(__xludf.DUMMYFUNCTION("""COMPUTED_VALUE"""),450000.0)</f>
        <v>450000</v>
      </c>
      <c r="AN138" s="43">
        <f>IFERROR(__xludf.DUMMYFUNCTION("""COMPUTED_VALUE"""),450000.0)</f>
        <v>450000</v>
      </c>
      <c r="AO138" s="43"/>
      <c r="AP138" s="43">
        <f>IFERROR(__xludf.DUMMYFUNCTION("""COMPUTED_VALUE"""),500000.0)</f>
        <v>500000</v>
      </c>
      <c r="AQ138" s="43"/>
      <c r="AR138" s="43"/>
      <c r="AS138" s="43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IFERROR(__xludf.DUMMYFUNCTION("""COMPUTED_VALUE"""),1800000.0)</f>
        <v>1800000</v>
      </c>
      <c r="BD138" s="43">
        <f>IFERROR(__xludf.DUMMYFUNCTION("""COMPUTED_VALUE"""),1000000.0)</f>
        <v>1000000</v>
      </c>
      <c r="BE138" s="43">
        <f>IFERROR(__xludf.DUMMYFUNCTION("""COMPUTED_VALUE"""),0.0)</f>
        <v>0</v>
      </c>
      <c r="BF138" s="44">
        <f>IFERROR(__xludf.DUMMYFUNCTION("""COMPUTED_VALUE"""),2800000.0)</f>
        <v>2800000</v>
      </c>
      <c r="BG138" s="56"/>
      <c r="BH138" s="56"/>
      <c r="BI138" s="5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</row>
    <row r="139">
      <c r="A139" s="47">
        <f>IFERROR(__xludf.DUMMYFUNCTION("""COMPUTED_VALUE"""),138.0)</f>
        <v>138</v>
      </c>
      <c r="B139" s="48" t="str">
        <f>IFERROR(__xludf.DUMMYFUNCTION("""COMPUTED_VALUE"""),"AFANIA AQILATUS SHAFA")</f>
        <v>AFANIA AQILATUS SHAFA</v>
      </c>
      <c r="C139" s="49">
        <f>IFERROR(__xludf.DUMMYFUNCTION("""COMPUTED_VALUE"""),2.02407064E9)</f>
        <v>2024070640</v>
      </c>
      <c r="D139" s="48" t="str">
        <f>IFERROR(__xludf.DUMMYFUNCTION("""COMPUTED_VALUE"""),"ACHMAD SUCHAIMI")</f>
        <v>ACHMAD SUCHAIMI</v>
      </c>
      <c r="E139" s="48" t="str">
        <f>IFERROR(__xludf.DUMMYFUNCTION("""COMPUTED_VALUE"""),"DWI OKTAFIA NINGSIH")</f>
        <v>DWI OKTAFIA NINGSIH</v>
      </c>
      <c r="F139" s="48" t="str">
        <f>IFERROR(__xludf.DUMMYFUNCTION("""COMPUTED_VALUE"""),"PAJANGAN RT 002 RW 002 SUKODADI LAMONGAN")</f>
        <v>PAJANGAN RT 002 RW 002 SUKODADI LAMONGAN</v>
      </c>
      <c r="G139" s="49" t="str">
        <f>IFERROR(__xludf.DUMMYFUNCTION("""COMPUTED_VALUE"""),"MTS-9 G")</f>
        <v>MTS-9 G</v>
      </c>
      <c r="H139" s="47" t="str">
        <f>IFERROR(__xludf.DUMMYFUNCTION("""COMPUTED_VALUE"""),"C")</f>
        <v>C</v>
      </c>
      <c r="I139" s="51" t="str">
        <f>IFERROR(__xludf.DUMMYFUNCTION("""COMPUTED_VALUE"""),"C-13")</f>
        <v>C-13</v>
      </c>
      <c r="J139" s="51">
        <f>IFERROR(__xludf.DUMMYFUNCTION("""COMPUTED_VALUE"""),3.0)</f>
        <v>3</v>
      </c>
      <c r="K139" s="51" t="str">
        <f>IFERROR(__xludf.DUMMYFUNCTION("""COMPUTED_VALUE"""),"3 ULA C PUTRI")</f>
        <v>3 ULA C PUTRI</v>
      </c>
      <c r="L139" s="50" t="str">
        <f>IFERROR(__xludf.DUMMYFUNCTION("""COMPUTED_VALUE"""),"6285257103018")</f>
        <v>6285257103018</v>
      </c>
      <c r="M139" s="54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4"/>
      <c r="AC139" s="53"/>
      <c r="AD139" s="53"/>
      <c r="AE139" s="53"/>
      <c r="AF139" s="53"/>
      <c r="AG139" s="53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IFERROR(__xludf.DUMMYFUNCTION("""COMPUTED_VALUE"""),0.0)</f>
        <v>0</v>
      </c>
      <c r="BD139" s="54">
        <f>IFERROR(__xludf.DUMMYFUNCTION("""COMPUTED_VALUE"""),0.0)</f>
        <v>0</v>
      </c>
      <c r="BE139" s="54">
        <f>IFERROR(__xludf.DUMMYFUNCTION("""COMPUTED_VALUE"""),0.0)</f>
        <v>0</v>
      </c>
      <c r="BF139" s="55">
        <f>IFERROR(__xludf.DUMMYFUNCTION("""COMPUTED_VALUE"""),0.0)</f>
        <v>0</v>
      </c>
      <c r="BG139" s="57"/>
      <c r="BH139" s="57"/>
      <c r="BI139" s="57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</row>
    <row r="140">
      <c r="A140" s="36">
        <f>IFERROR(__xludf.DUMMYFUNCTION("""COMPUTED_VALUE"""),139.0)</f>
        <v>139</v>
      </c>
      <c r="B140" s="37" t="str">
        <f>IFERROR(__xludf.DUMMYFUNCTION("""COMPUTED_VALUE"""),"AIDZILA DHEA ANANTA")</f>
        <v>AIDZILA DHEA ANANTA</v>
      </c>
      <c r="C140" s="38">
        <f>IFERROR(__xludf.DUMMYFUNCTION("""COMPUTED_VALUE"""),2.024070495E9)</f>
        <v>2024070495</v>
      </c>
      <c r="D140" s="37" t="str">
        <f>IFERROR(__xludf.DUMMYFUNCTION("""COMPUTED_VALUE"""),"MUHAMMAD HAFIDIN")</f>
        <v>MUHAMMAD HAFIDIN</v>
      </c>
      <c r="E140" s="37" t="str">
        <f>IFERROR(__xludf.DUMMYFUNCTION("""COMPUTED_VALUE"""),"MARATUS SHOLICHAH")</f>
        <v>MARATUS SHOLICHAH</v>
      </c>
      <c r="F140" s="37" t="str">
        <f>IFERROR(__xludf.DUMMYFUNCTION("""COMPUTED_VALUE"""),"NGUWOK RT 004 RW 002 MODO LAMONGAN")</f>
        <v>NGUWOK RT 004 RW 002 MODO LAMONGAN</v>
      </c>
      <c r="G140" s="38" t="str">
        <f>IFERROR(__xludf.DUMMYFUNCTION("""COMPUTED_VALUE"""),"MTS-9 D")</f>
        <v>MTS-9 D</v>
      </c>
      <c r="H140" s="36" t="str">
        <f>IFERROR(__xludf.DUMMYFUNCTION("""COMPUTED_VALUE"""),"C")</f>
        <v>C</v>
      </c>
      <c r="I140" s="40" t="str">
        <f>IFERROR(__xludf.DUMMYFUNCTION("""COMPUTED_VALUE"""),"C-12")</f>
        <v>C-12</v>
      </c>
      <c r="J140" s="40">
        <f>IFERROR(__xludf.DUMMYFUNCTION("""COMPUTED_VALUE"""),3.0)</f>
        <v>3</v>
      </c>
      <c r="K140" s="40" t="str">
        <f>IFERROR(__xludf.DUMMYFUNCTION("""COMPUTED_VALUE"""),"3 ULA C PUTRI")</f>
        <v>3 ULA C PUTRI</v>
      </c>
      <c r="L140" s="39" t="str">
        <f>IFERROR(__xludf.DUMMYFUNCTION("""COMPUTED_VALUE"""),"6281559586998")</f>
        <v>6281559586998</v>
      </c>
      <c r="M140" s="43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>
        <f>IFERROR(__xludf.DUMMYFUNCTION("""COMPUTED_VALUE"""),500000.0)</f>
        <v>500000</v>
      </c>
      <c r="AQ140" s="42"/>
      <c r="AR140" s="43"/>
      <c r="AS140" s="43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IFERROR(__xludf.DUMMYFUNCTION("""COMPUTED_VALUE"""),500000.0)</f>
        <v>500000</v>
      </c>
      <c r="BE140" s="43">
        <f>IFERROR(__xludf.DUMMYFUNCTION("""COMPUTED_VALUE"""),0.0)</f>
        <v>0</v>
      </c>
      <c r="BF140" s="44">
        <f>IFERROR(__xludf.DUMMYFUNCTION("""COMPUTED_VALUE"""),500000.0)</f>
        <v>500000</v>
      </c>
      <c r="BG140" s="56"/>
      <c r="BH140" s="56"/>
      <c r="BI140" s="5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</row>
    <row r="141">
      <c r="A141" s="47">
        <f>IFERROR(__xludf.DUMMYFUNCTION("""COMPUTED_VALUE"""),140.0)</f>
        <v>140</v>
      </c>
      <c r="B141" s="48" t="str">
        <f>IFERROR(__xludf.DUMMYFUNCTION("""COMPUTED_VALUE"""),"ALFA FALAJ SALSABILA")</f>
        <v>ALFA FALAJ SALSABILA</v>
      </c>
      <c r="C141" s="49">
        <f>IFERROR(__xludf.DUMMYFUNCTION("""COMPUTED_VALUE"""),2.024070611E9)</f>
        <v>2024070611</v>
      </c>
      <c r="D141" s="48" t="str">
        <f>IFERROR(__xludf.DUMMYFUNCTION("""COMPUTED_VALUE"""),"NUR HADI")</f>
        <v>NUR HADI</v>
      </c>
      <c r="E141" s="48" t="str">
        <f>IFERROR(__xludf.DUMMYFUNCTION("""COMPUTED_VALUE"""),"SUMIANAH")</f>
        <v>SUMIANAH</v>
      </c>
      <c r="F141" s="48" t="str">
        <f>IFERROR(__xludf.DUMMYFUNCTION("""COMPUTED_VALUE"""),"KULURAN RT 005 RW 001 KALITENGAH LAMONGAN")</f>
        <v>KULURAN RT 005 RW 001 KALITENGAH LAMONGAN</v>
      </c>
      <c r="G141" s="49" t="str">
        <f>IFERROR(__xludf.DUMMYFUNCTION("""COMPUTED_VALUE"""),"MTS-9 A")</f>
        <v>MTS-9 A</v>
      </c>
      <c r="H141" s="47" t="str">
        <f>IFERROR(__xludf.DUMMYFUNCTION("""COMPUTED_VALUE"""),"C")</f>
        <v>C</v>
      </c>
      <c r="I141" s="51" t="str">
        <f>IFERROR(__xludf.DUMMYFUNCTION("""COMPUTED_VALUE"""),"C-3")</f>
        <v>C-3</v>
      </c>
      <c r="J141" s="51">
        <f>IFERROR(__xludf.DUMMYFUNCTION("""COMPUTED_VALUE"""),3.0)</f>
        <v>3</v>
      </c>
      <c r="K141" s="51" t="str">
        <f>IFERROR(__xludf.DUMMYFUNCTION("""COMPUTED_VALUE"""),"3 ULA C PUTRI")</f>
        <v>3 ULA C PUTRI</v>
      </c>
      <c r="L141" s="50" t="str">
        <f>IFERROR(__xludf.DUMMYFUNCTION("""COMPUTED_VALUE"""),"6285859539394")</f>
        <v>6285859539394</v>
      </c>
      <c r="M141" s="54"/>
      <c r="N141" s="53"/>
      <c r="O141" s="53"/>
      <c r="P141" s="53"/>
      <c r="Q141" s="53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>
        <f>IFERROR(__xludf.DUMMYFUNCTION("""COMPUTED_VALUE"""),450000.0)</f>
        <v>450000</v>
      </c>
      <c r="AO141" s="54"/>
      <c r="AP141" s="54"/>
      <c r="AQ141" s="54"/>
      <c r="AR141" s="54"/>
      <c r="AS141" s="54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IFERROR(__xludf.DUMMYFUNCTION("""COMPUTED_VALUE"""),450000.0)</f>
        <v>450000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IFERROR(__xludf.DUMMYFUNCTION("""COMPUTED_VALUE"""),450000.0)</f>
        <v>450000</v>
      </c>
      <c r="BG141" s="57"/>
      <c r="BH141" s="57"/>
      <c r="BI141" s="57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</row>
    <row r="142">
      <c r="A142" s="36">
        <f>IFERROR(__xludf.DUMMYFUNCTION("""COMPUTED_VALUE"""),141.0)</f>
        <v>141</v>
      </c>
      <c r="B142" s="37" t="str">
        <f>IFERROR(__xludf.DUMMYFUNCTION("""COMPUTED_VALUE"""),"ALIFATUN BINTU KHUMAIROH")</f>
        <v>ALIFATUN BINTU KHUMAIROH</v>
      </c>
      <c r="C142" s="38">
        <f>IFERROR(__xludf.DUMMYFUNCTION("""COMPUTED_VALUE"""),2.024070488E9)</f>
        <v>2024070488</v>
      </c>
      <c r="D142" s="37" t="str">
        <f>IFERROR(__xludf.DUMMYFUNCTION("""COMPUTED_VALUE"""),"ALI MASHUDI")</f>
        <v>ALI MASHUDI</v>
      </c>
      <c r="E142" s="37" t="str">
        <f>IFERROR(__xludf.DUMMYFUNCTION("""COMPUTED_VALUE"""),"SRI SULISTYANINGSIH")</f>
        <v>SRI SULISTYANINGSIH</v>
      </c>
      <c r="F142" s="37" t="str">
        <f>IFERROR(__xludf.DUMMYFUNCTION("""COMPUTED_VALUE"""),"SIDOBRANTI SIDOMUKTI RT 009 RW 003 KEMBANGBAHU LAMONGAN")</f>
        <v>SIDOBRANTI SIDOMUKTI RT 009 RW 003 KEMBANGBAHU LAMONGAN</v>
      </c>
      <c r="G142" s="38" t="str">
        <f>IFERROR(__xludf.DUMMYFUNCTION("""COMPUTED_VALUE"""),"MTS-9 G")</f>
        <v>MTS-9 G</v>
      </c>
      <c r="H142" s="36" t="str">
        <f>IFERROR(__xludf.DUMMYFUNCTION("""COMPUTED_VALUE"""),"C")</f>
        <v>C</v>
      </c>
      <c r="I142" s="40" t="str">
        <f>IFERROR(__xludf.DUMMYFUNCTION("""COMPUTED_VALUE"""),"C-12")</f>
        <v>C-12</v>
      </c>
      <c r="J142" s="40">
        <f>IFERROR(__xludf.DUMMYFUNCTION("""COMPUTED_VALUE"""),3.0)</f>
        <v>3</v>
      </c>
      <c r="K142" s="40" t="str">
        <f>IFERROR(__xludf.DUMMYFUNCTION("""COMPUTED_VALUE"""),"3 ULA B PUTRI")</f>
        <v>3 ULA B PUTRI</v>
      </c>
      <c r="L142" s="39" t="str">
        <f>IFERROR(__xludf.DUMMYFUNCTION("""COMPUTED_VALUE"""),"6285704238402")</f>
        <v>6285704238402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3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IFERROR(__xludf.DUMMYFUNCTION("""COMPUTED_VALUE"""),0.0)</f>
        <v>0</v>
      </c>
      <c r="BE142" s="43">
        <f>IFERROR(__xludf.DUMMYFUNCTION("""COMPUTED_VALUE"""),0.0)</f>
        <v>0</v>
      </c>
      <c r="BF142" s="44">
        <f>IFERROR(__xludf.DUMMYFUNCTION("""COMPUTED_VALUE"""),0.0)</f>
        <v>0</v>
      </c>
      <c r="BG142" s="56"/>
      <c r="BH142" s="56"/>
      <c r="BI142" s="5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</row>
    <row r="143">
      <c r="A143" s="47">
        <f>IFERROR(__xludf.DUMMYFUNCTION("""COMPUTED_VALUE"""),142.0)</f>
        <v>142</v>
      </c>
      <c r="B143" s="48" t="str">
        <f>IFERROR(__xludf.DUMMYFUNCTION("""COMPUTED_VALUE"""),"ALVELLYTA APRILIA KIRANA")</f>
        <v>ALVELLYTA APRILIA KIRANA</v>
      </c>
      <c r="C143" s="49">
        <f>IFERROR(__xludf.DUMMYFUNCTION("""COMPUTED_VALUE"""),2.024070527E9)</f>
        <v>2024070527</v>
      </c>
      <c r="D143" s="48" t="str">
        <f>IFERROR(__xludf.DUMMYFUNCTION("""COMPUTED_VALUE"""),"ALFIN ZAINUL FUAD")</f>
        <v>ALFIN ZAINUL FUAD</v>
      </c>
      <c r="E143" s="48" t="str">
        <f>IFERROR(__xludf.DUMMYFUNCTION("""COMPUTED_VALUE"""),"ITA NURO")</f>
        <v>ITA NURO</v>
      </c>
      <c r="F143" s="48" t="str">
        <f>IFERROR(__xludf.DUMMYFUNCTION("""COMPUTED_VALUE"""),"KRAJAN SUKOBENDU RT 002 RW 001 MANTUP LAMONGAN")</f>
        <v>KRAJAN SUKOBENDU RT 002 RW 001 MANTUP LAMONGAN</v>
      </c>
      <c r="G143" s="49" t="str">
        <f>IFERROR(__xludf.DUMMYFUNCTION("""COMPUTED_VALUE"""),"MTS-9 C")</f>
        <v>MTS-9 C</v>
      </c>
      <c r="H143" s="47" t="str">
        <f>IFERROR(__xludf.DUMMYFUNCTION("""COMPUTED_VALUE"""),"C")</f>
        <v>C</v>
      </c>
      <c r="I143" s="51" t="str">
        <f>IFERROR(__xludf.DUMMYFUNCTION("""COMPUTED_VALUE"""),"C-12")</f>
        <v>C-12</v>
      </c>
      <c r="J143" s="51">
        <f>IFERROR(__xludf.DUMMYFUNCTION("""COMPUTED_VALUE"""),3.0)</f>
        <v>3</v>
      </c>
      <c r="K143" s="51" t="str">
        <f>IFERROR(__xludf.DUMMYFUNCTION("""COMPUTED_VALUE"""),"")</f>
        <v/>
      </c>
      <c r="L143" s="50" t="str">
        <f>IFERROR(__xludf.DUMMYFUNCTION("""COMPUTED_VALUE"""),"6281537636395")</f>
        <v>6281537636395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4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4"/>
      <c r="AN143" s="54">
        <f>IFERROR(__xludf.DUMMYFUNCTION("""COMPUTED_VALUE"""),450000.0)</f>
        <v>450000</v>
      </c>
      <c r="AO143" s="54"/>
      <c r="AP143" s="54">
        <f>IFERROR(__xludf.DUMMYFUNCTION("""COMPUTED_VALUE"""),500000.0)</f>
        <v>500000</v>
      </c>
      <c r="AQ143" s="54"/>
      <c r="AR143" s="54"/>
      <c r="AS143" s="54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IFERROR(__xludf.DUMMYFUNCTION("""COMPUTED_VALUE"""),450000.0)</f>
        <v>450000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IFERROR(__xludf.DUMMYFUNCTION("""COMPUTED_VALUE"""),950000.0)</f>
        <v>950000</v>
      </c>
      <c r="BG143" s="57"/>
      <c r="BH143" s="57"/>
      <c r="BI143" s="57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</row>
    <row r="144">
      <c r="A144" s="36">
        <f>IFERROR(__xludf.DUMMYFUNCTION("""COMPUTED_VALUE"""),143.0)</f>
        <v>143</v>
      </c>
      <c r="B144" s="37" t="str">
        <f>IFERROR(__xludf.DUMMYFUNCTION("""COMPUTED_VALUE"""),"ASYIFATUL LAILI")</f>
        <v>ASYIFATUL LAILI</v>
      </c>
      <c r="C144" s="38">
        <f>IFERROR(__xludf.DUMMYFUNCTION("""COMPUTED_VALUE"""),2.02407052E9)</f>
        <v>2024070520</v>
      </c>
      <c r="D144" s="37" t="str">
        <f>IFERROR(__xludf.DUMMYFUNCTION("""COMPUTED_VALUE"""),"BUDI WINARNO")</f>
        <v>BUDI WINARNO</v>
      </c>
      <c r="E144" s="37" t="str">
        <f>IFERROR(__xludf.DUMMYFUNCTION("""COMPUTED_VALUE"""),"NUR MARDLIYAH")</f>
        <v>NUR MARDLIYAH</v>
      </c>
      <c r="F144" s="37" t="str">
        <f>IFERROR(__xludf.DUMMYFUNCTION("""COMPUTED_VALUE"""),"KUBANG LABAN PANGGUNG RAWI RT 003 RW 002 JOMBANG CILEGON")</f>
        <v>KUBANG LABAN PANGGUNG RAWI RT 003 RW 002 JOMBANG CILEGON</v>
      </c>
      <c r="G144" s="56" t="str">
        <f>IFERROR(__xludf.DUMMYFUNCTION("""COMPUTED_VALUE"""),"MTS-9 C")</f>
        <v>MTS-9 C</v>
      </c>
      <c r="H144" s="36" t="str">
        <f>IFERROR(__xludf.DUMMYFUNCTION("""COMPUTED_VALUE"""),"C")</f>
        <v>C</v>
      </c>
      <c r="I144" s="40" t="str">
        <f>IFERROR(__xludf.DUMMYFUNCTION("""COMPUTED_VALUE"""),"C-13")</f>
        <v>C-13</v>
      </c>
      <c r="J144" s="40">
        <f>IFERROR(__xludf.DUMMYFUNCTION("""COMPUTED_VALUE"""),3.0)</f>
        <v>3</v>
      </c>
      <c r="K144" s="40" t="str">
        <f>IFERROR(__xludf.DUMMYFUNCTION("""COMPUTED_VALUE"""),"3 ULA B PUTRI")</f>
        <v>3 ULA B PUTRI</v>
      </c>
      <c r="L144" s="58" t="str">
        <f>IFERROR(__xludf.DUMMYFUNCTION("""COMPUTED_VALUE"""),"6281946613922")</f>
        <v>6281946613922</v>
      </c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>
        <f>IFERROR(__xludf.DUMMYFUNCTION("""COMPUTED_VALUE"""),500000.0)</f>
        <v>500000</v>
      </c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3"/>
      <c r="AP144" s="42">
        <f>IFERROR(__xludf.DUMMYFUNCTION("""COMPUTED_VALUE"""),500000.0)</f>
        <v>500000</v>
      </c>
      <c r="AQ144" s="43"/>
      <c r="AR144" s="43"/>
      <c r="AS144" s="43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IFERROR(__xludf.DUMMYFUNCTION("""COMPUTED_VALUE"""),1000000.0)</f>
        <v>1000000</v>
      </c>
      <c r="BE144" s="43">
        <f>IFERROR(__xludf.DUMMYFUNCTION("""COMPUTED_VALUE"""),0.0)</f>
        <v>0</v>
      </c>
      <c r="BF144" s="44">
        <f>IFERROR(__xludf.DUMMYFUNCTION("""COMPUTED_VALUE"""),1000000.0)</f>
        <v>1000000</v>
      </c>
      <c r="BG144" s="56"/>
      <c r="BH144" s="56"/>
      <c r="BI144" s="5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</row>
    <row r="145">
      <c r="A145" s="47">
        <f>IFERROR(__xludf.DUMMYFUNCTION("""COMPUTED_VALUE"""),144.0)</f>
        <v>144</v>
      </c>
      <c r="B145" s="48" t="str">
        <f>IFERROR(__xludf.DUMMYFUNCTION("""COMPUTED_VALUE"""),"ATHIIYAH AULIYA`UL MUSHOFAROH")</f>
        <v>ATHIIYAH AULIYA`UL MUSHOFAROH</v>
      </c>
      <c r="C145" s="49">
        <f>IFERROR(__xludf.DUMMYFUNCTION("""COMPUTED_VALUE"""),2.024070631E9)</f>
        <v>2024070631</v>
      </c>
      <c r="D145" s="48" t="str">
        <f>IFERROR(__xludf.DUMMYFUNCTION("""COMPUTED_VALUE"""),"UMAR USMAN")</f>
        <v>UMAR USMAN</v>
      </c>
      <c r="E145" s="48" t="str">
        <f>IFERROR(__xludf.DUMMYFUNCTION("""COMPUTED_VALUE"""),"NUR KHOMSATUN FINARIYAH")</f>
        <v>NUR KHOMSATUN FINARIYAH</v>
      </c>
      <c r="F145" s="48" t="str">
        <f>IFERROR(__xludf.DUMMYFUNCTION("""COMPUTED_VALUE"""),"KEDIREN RT 003 RW 001 KALITENGAH LAMONGAN")</f>
        <v>KEDIREN RT 003 RW 001 KALITENGAH LAMONGAN</v>
      </c>
      <c r="G145" s="49" t="str">
        <f>IFERROR(__xludf.DUMMYFUNCTION("""COMPUTED_VALUE"""),"MTS-9 A")</f>
        <v>MTS-9 A</v>
      </c>
      <c r="H145" s="47" t="str">
        <f>IFERROR(__xludf.DUMMYFUNCTION("""COMPUTED_VALUE"""),"C")</f>
        <v>C</v>
      </c>
      <c r="I145" s="51" t="str">
        <f>IFERROR(__xludf.DUMMYFUNCTION("""COMPUTED_VALUE"""),"C-3")</f>
        <v>C-3</v>
      </c>
      <c r="J145" s="51">
        <f>IFERROR(__xludf.DUMMYFUNCTION("""COMPUTED_VALUE"""),3.0)</f>
        <v>3</v>
      </c>
      <c r="K145" s="51" t="str">
        <f>IFERROR(__xludf.DUMMYFUNCTION("""COMPUTED_VALUE"""),"")</f>
        <v/>
      </c>
      <c r="L145" s="50" t="str">
        <f>IFERROR(__xludf.DUMMYFUNCTION("""COMPUTED_VALUE"""),"6285731317533")</f>
        <v>6285731317533</v>
      </c>
      <c r="M145" s="54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4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>
        <f>IFERROR(__xludf.DUMMYFUNCTION("""COMPUTED_VALUE"""),500000.0)</f>
        <v>500000</v>
      </c>
      <c r="AQ145" s="53"/>
      <c r="AR145" s="54"/>
      <c r="AS145" s="54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IFERROR(__xludf.DUMMYFUNCTION("""COMPUTED_VALUE"""),0.0)</f>
        <v>0</v>
      </c>
      <c r="BD145" s="54">
        <f>IFERROR(__xludf.DUMMYFUNCTION("""COMPUTED_VALUE"""),500000.0)</f>
        <v>500000</v>
      </c>
      <c r="BE145" s="54">
        <f>IFERROR(__xludf.DUMMYFUNCTION("""COMPUTED_VALUE"""),0.0)</f>
        <v>0</v>
      </c>
      <c r="BF145" s="55">
        <f>IFERROR(__xludf.DUMMYFUNCTION("""COMPUTED_VALUE"""),500000.0)</f>
        <v>500000</v>
      </c>
      <c r="BG145" s="57"/>
      <c r="BH145" s="57"/>
      <c r="BI145" s="57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</row>
    <row r="146">
      <c r="A146" s="36">
        <f>IFERROR(__xludf.DUMMYFUNCTION("""COMPUTED_VALUE"""),145.0)</f>
        <v>145</v>
      </c>
      <c r="B146" s="37" t="str">
        <f>IFERROR(__xludf.DUMMYFUNCTION("""COMPUTED_VALUE"""),"AUFA NUR LAILI FADHILAH")</f>
        <v>AUFA NUR LAILI FADHILAH</v>
      </c>
      <c r="C146" s="38">
        <f>IFERROR(__xludf.DUMMYFUNCTION("""COMPUTED_VALUE"""),2.024070605E9)</f>
        <v>2024070605</v>
      </c>
      <c r="D146" s="37" t="str">
        <f>IFERROR(__xludf.DUMMYFUNCTION("""COMPUTED_VALUE"""),"MUKANAN")</f>
        <v>MUKANAN</v>
      </c>
      <c r="E146" s="37" t="str">
        <f>IFERROR(__xludf.DUMMYFUNCTION("""COMPUTED_VALUE"""),"KUNARTIN")</f>
        <v>KUNARTIN</v>
      </c>
      <c r="F146" s="37" t="str">
        <f>IFERROR(__xludf.DUMMYFUNCTION("""COMPUTED_VALUE"""),"CANDITUNGGAL RT 003 RW 002 KALITENGAH LAMONGAN")</f>
        <v>CANDITUNGGAL RT 003 RW 002 KALITENGAH LAMONGAN</v>
      </c>
      <c r="G146" s="38" t="str">
        <f>IFERROR(__xludf.DUMMYFUNCTION("""COMPUTED_VALUE"""),"MTS-9 B")</f>
        <v>MTS-9 B</v>
      </c>
      <c r="H146" s="36" t="str">
        <f>IFERROR(__xludf.DUMMYFUNCTION("""COMPUTED_VALUE"""),"C")</f>
        <v>C</v>
      </c>
      <c r="I146" s="40" t="str">
        <f>IFERROR(__xludf.DUMMYFUNCTION("""COMPUTED_VALUE"""),"C-3")</f>
        <v>C-3</v>
      </c>
      <c r="J146" s="40">
        <f>IFERROR(__xludf.DUMMYFUNCTION("""COMPUTED_VALUE"""),3.0)</f>
        <v>3</v>
      </c>
      <c r="K146" s="40" t="str">
        <f>IFERROR(__xludf.DUMMYFUNCTION("""COMPUTED_VALUE"""),"3 ULA A PUTRI")</f>
        <v>3 ULA A PUTRI</v>
      </c>
      <c r="L146" s="39" t="str">
        <f>IFERROR(__xludf.DUMMYFUNCTION("""COMPUTED_VALUE"""),"6285815665883")</f>
        <v>6285815665883</v>
      </c>
      <c r="M146" s="43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3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/>
      <c r="AQ146" s="42"/>
      <c r="AR146" s="43"/>
      <c r="AS146" s="43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IFERROR(__xludf.DUMMYFUNCTION("""COMPUTED_VALUE"""),0.0)</f>
        <v>0</v>
      </c>
      <c r="BE146" s="43">
        <f>IFERROR(__xludf.DUMMYFUNCTION("""COMPUTED_VALUE"""),0.0)</f>
        <v>0</v>
      </c>
      <c r="BF146" s="44">
        <f>IFERROR(__xludf.DUMMYFUNCTION("""COMPUTED_VALUE"""),0.0)</f>
        <v>0</v>
      </c>
      <c r="BG146" s="56"/>
      <c r="BH146" s="56"/>
      <c r="BI146" s="5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</row>
    <row r="147">
      <c r="A147" s="47">
        <f>IFERROR(__xludf.DUMMYFUNCTION("""COMPUTED_VALUE"""),146.0)</f>
        <v>146</v>
      </c>
      <c r="B147" s="48" t="str">
        <f>IFERROR(__xludf.DUMMYFUNCTION("""COMPUTED_VALUE"""),"AUFARA DHEA TUNGGA DEWI")</f>
        <v>AUFARA DHEA TUNGGA DEWI</v>
      </c>
      <c r="C147" s="49">
        <f>IFERROR(__xludf.DUMMYFUNCTION("""COMPUTED_VALUE"""),2.02407049E9)</f>
        <v>2024070490</v>
      </c>
      <c r="D147" s="48" t="str">
        <f>IFERROR(__xludf.DUMMYFUNCTION("""COMPUTED_VALUE"""),"FAISOL HARIANTO")</f>
        <v>FAISOL HARIANTO</v>
      </c>
      <c r="E147" s="48" t="str">
        <f>IFERROR(__xludf.DUMMYFUNCTION("""COMPUTED_VALUE"""),"DEWI UTARI")</f>
        <v>DEWI UTARI</v>
      </c>
      <c r="F147" s="48" t="str">
        <f>IFERROR(__xludf.DUMMYFUNCTION("""COMPUTED_VALUE"""),"PRIYOSO WETAN PRIYOSO RT 001 RW 001 KARANGBINANGUN LAMONGAN")</f>
        <v>PRIYOSO WETAN PRIYOSO RT 001 RW 001 KARANGBINANGUN LAMONGAN</v>
      </c>
      <c r="G147" s="49" t="str">
        <f>IFERROR(__xludf.DUMMYFUNCTION("""COMPUTED_VALUE"""),"MTS-9 D")</f>
        <v>MTS-9 D</v>
      </c>
      <c r="H147" s="47" t="str">
        <f>IFERROR(__xludf.DUMMYFUNCTION("""COMPUTED_VALUE"""),"C")</f>
        <v>C</v>
      </c>
      <c r="I147" s="51" t="str">
        <f>IFERROR(__xludf.DUMMYFUNCTION("""COMPUTED_VALUE"""),"C-12")</f>
        <v>C-12</v>
      </c>
      <c r="J147" s="51">
        <f>IFERROR(__xludf.DUMMYFUNCTION("""COMPUTED_VALUE"""),3.0)</f>
        <v>3</v>
      </c>
      <c r="K147" s="51" t="str">
        <f>IFERROR(__xludf.DUMMYFUNCTION("""COMPUTED_VALUE"""),"3 ULA A PUTRI")</f>
        <v>3 ULA A PUTRI</v>
      </c>
      <c r="L147" s="50" t="str">
        <f>IFERROR(__xludf.DUMMYFUNCTION("""COMPUTED_VALUE"""),"6281334198484")</f>
        <v>6281334198484</v>
      </c>
      <c r="M147" s="54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4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/>
      <c r="AQ147" s="53"/>
      <c r="AR147" s="53"/>
      <c r="AS147" s="54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IFERROR(__xludf.DUMMYFUNCTION("""COMPUTED_VALUE"""),0.0)</f>
        <v>0</v>
      </c>
      <c r="BD147" s="54">
        <f>IFERROR(__xludf.DUMMYFUNCTION("""COMPUTED_VALUE"""),0.0)</f>
        <v>0</v>
      </c>
      <c r="BE147" s="54">
        <f>IFERROR(__xludf.DUMMYFUNCTION("""COMPUTED_VALUE"""),0.0)</f>
        <v>0</v>
      </c>
      <c r="BF147" s="55">
        <f>IFERROR(__xludf.DUMMYFUNCTION("""COMPUTED_VALUE"""),0.0)</f>
        <v>0</v>
      </c>
      <c r="BG147" s="57"/>
      <c r="BH147" s="57"/>
      <c r="BI147" s="57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</row>
    <row r="148">
      <c r="A148" s="36">
        <f>IFERROR(__xludf.DUMMYFUNCTION("""COMPUTED_VALUE"""),147.0)</f>
        <v>147</v>
      </c>
      <c r="B148" s="37" t="str">
        <f>IFERROR(__xludf.DUMMYFUNCTION("""COMPUTED_VALUE"""),"CALLYSTA QOWIM AZ-ZAHRA")</f>
        <v>CALLYSTA QOWIM AZ-ZAHRA</v>
      </c>
      <c r="C148" s="38">
        <f>IFERROR(__xludf.DUMMYFUNCTION("""COMPUTED_VALUE"""),2.024070489E9)</f>
        <v>2024070489</v>
      </c>
      <c r="D148" s="37" t="str">
        <f>IFERROR(__xludf.DUMMYFUNCTION("""COMPUTED_VALUE"""),"ARIS SUGIANTO")</f>
        <v>ARIS SUGIANTO</v>
      </c>
      <c r="E148" s="37" t="str">
        <f>IFERROR(__xludf.DUMMYFUNCTION("""COMPUTED_VALUE"""),"NUR HIDAYATI")</f>
        <v>NUR HIDAYATI</v>
      </c>
      <c r="F148" s="37" t="str">
        <f>IFERROR(__xludf.DUMMYFUNCTION("""COMPUTED_VALUE"""),"PAJI RT 002 RW 005 PUCUK LAMONGAN")</f>
        <v>PAJI RT 002 RW 005 PUCUK LAMONGAN</v>
      </c>
      <c r="G148" s="38" t="str">
        <f>IFERROR(__xludf.DUMMYFUNCTION("""COMPUTED_VALUE"""),"MTS-9 G")</f>
        <v>MTS-9 G</v>
      </c>
      <c r="H148" s="36" t="str">
        <f>IFERROR(__xludf.DUMMYFUNCTION("""COMPUTED_VALUE"""),"C")</f>
        <v>C</v>
      </c>
      <c r="I148" s="40" t="str">
        <f>IFERROR(__xludf.DUMMYFUNCTION("""COMPUTED_VALUE"""),"C-13")</f>
        <v>C-13</v>
      </c>
      <c r="J148" s="40">
        <f>IFERROR(__xludf.DUMMYFUNCTION("""COMPUTED_VALUE"""),3.0)</f>
        <v>3</v>
      </c>
      <c r="K148" s="40" t="str">
        <f>IFERROR(__xludf.DUMMYFUNCTION("""COMPUTED_VALUE"""),"3 ULA A PUTRI")</f>
        <v>3 ULA A PUTRI</v>
      </c>
      <c r="L148" s="39" t="str">
        <f>IFERROR(__xludf.DUMMYFUNCTION("""COMPUTED_VALUE"""),"2682131710998")</f>
        <v>2682131710998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3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IFERROR(__xludf.DUMMYFUNCTION("""COMPUTED_VALUE"""),0.0)</f>
        <v>0</v>
      </c>
      <c r="BE148" s="43">
        <f>IFERROR(__xludf.DUMMYFUNCTION("""COMPUTED_VALUE"""),0.0)</f>
        <v>0</v>
      </c>
      <c r="BF148" s="44">
        <f>IFERROR(__xludf.DUMMYFUNCTION("""COMPUTED_VALUE"""),0.0)</f>
        <v>0</v>
      </c>
      <c r="BG148" s="56"/>
      <c r="BH148" s="56"/>
      <c r="BI148" s="5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</row>
    <row r="149">
      <c r="A149" s="47">
        <f>IFERROR(__xludf.DUMMYFUNCTION("""COMPUTED_VALUE"""),148.0)</f>
        <v>148</v>
      </c>
      <c r="B149" s="48" t="str">
        <f>IFERROR(__xludf.DUMMYFUNCTION("""COMPUTED_VALUE"""),"FARAH ALTHAFUN NISA`")</f>
        <v>FARAH ALTHAFUN NISA`</v>
      </c>
      <c r="C149" s="49">
        <f>IFERROR(__xludf.DUMMYFUNCTION("""COMPUTED_VALUE"""),2.024070633E9)</f>
        <v>2024070633</v>
      </c>
      <c r="D149" s="48" t="str">
        <f>IFERROR(__xludf.DUMMYFUNCTION("""COMPUTED_VALUE"""),"MUHAMMAD KHOTIB")</f>
        <v>MUHAMMAD KHOTIB</v>
      </c>
      <c r="E149" s="48" t="str">
        <f>IFERROR(__xludf.DUMMYFUNCTION("""COMPUTED_VALUE"""),"NURUL HIDAYAH")</f>
        <v>NURUL HIDAYAH</v>
      </c>
      <c r="F149" s="48" t="str">
        <f>IFERROR(__xludf.DUMMYFUNCTION("""COMPUTED_VALUE"""),"WONOKERTO RT 012 RW 003 DUKUN GRESIK")</f>
        <v>WONOKERTO RT 012 RW 003 DUKUN GRESIK</v>
      </c>
      <c r="G149" s="50" t="str">
        <f>IFERROR(__xludf.DUMMYFUNCTION("""COMPUTED_VALUE"""),"MTS-9 C")</f>
        <v>MTS-9 C</v>
      </c>
      <c r="H149" s="47" t="str">
        <f>IFERROR(__xludf.DUMMYFUNCTION("""COMPUTED_VALUE"""),"C")</f>
        <v>C</v>
      </c>
      <c r="I149" s="51" t="str">
        <f>IFERROR(__xludf.DUMMYFUNCTION("""COMPUTED_VALUE"""),"C-12")</f>
        <v>C-12</v>
      </c>
      <c r="J149" s="51">
        <f>IFERROR(__xludf.DUMMYFUNCTION("""COMPUTED_VALUE"""),3.0)</f>
        <v>3</v>
      </c>
      <c r="K149" s="51" t="str">
        <f>IFERROR(__xludf.DUMMYFUNCTION("""COMPUTED_VALUE"""),"")</f>
        <v/>
      </c>
      <c r="L149" s="50" t="str">
        <f>IFERROR(__xludf.DUMMYFUNCTION("""COMPUTED_VALUE"""),"6281615233482")</f>
        <v>6281615233482</v>
      </c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4">
        <f>IFERROR(__xludf.DUMMYFUNCTION("""COMPUTED_VALUE"""),500000.0)</f>
        <v>500000</v>
      </c>
      <c r="AC149" s="53"/>
      <c r="AD149" s="53"/>
      <c r="AE149" s="53"/>
      <c r="AF149" s="53"/>
      <c r="AG149" s="53"/>
      <c r="AH149" s="53"/>
      <c r="AI149" s="53"/>
      <c r="AJ149" s="53">
        <f>IFERROR(__xludf.DUMMYFUNCTION("""COMPUTED_VALUE"""),450000.0)</f>
        <v>450000</v>
      </c>
      <c r="AK149" s="53">
        <f>IFERROR(__xludf.DUMMYFUNCTION("""COMPUTED_VALUE"""),450000.0)</f>
        <v>450000</v>
      </c>
      <c r="AL149" s="53">
        <f>IFERROR(__xludf.DUMMYFUNCTION("""COMPUTED_VALUE"""),450000.0)</f>
        <v>450000</v>
      </c>
      <c r="AM149" s="53">
        <f>IFERROR(__xludf.DUMMYFUNCTION("""COMPUTED_VALUE"""),450000.0)</f>
        <v>450000</v>
      </c>
      <c r="AN149" s="53">
        <f>IFERROR(__xludf.DUMMYFUNCTION("""COMPUTED_VALUE"""),450000.0)</f>
        <v>450000</v>
      </c>
      <c r="AO149" s="53"/>
      <c r="AP149" s="54">
        <f>IFERROR(__xludf.DUMMYFUNCTION("""COMPUTED_VALUE"""),500000.0)</f>
        <v>500000</v>
      </c>
      <c r="AQ149" s="53"/>
      <c r="AR149" s="54"/>
      <c r="AS149" s="54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IFERROR(__xludf.DUMMYFUNCTION("""COMPUTED_VALUE"""),2250000.0)</f>
        <v>2250000</v>
      </c>
      <c r="BD149" s="54">
        <f>IFERROR(__xludf.DUMMYFUNCTION("""COMPUTED_VALUE"""),1000000.0)</f>
        <v>1000000</v>
      </c>
      <c r="BE149" s="54">
        <f>IFERROR(__xludf.DUMMYFUNCTION("""COMPUTED_VALUE"""),0.0)</f>
        <v>0</v>
      </c>
      <c r="BF149" s="55">
        <f>IFERROR(__xludf.DUMMYFUNCTION("""COMPUTED_VALUE"""),3250000.0)</f>
        <v>3250000</v>
      </c>
      <c r="BG149" s="57"/>
      <c r="BH149" s="57"/>
      <c r="BI149" s="57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</row>
    <row r="150">
      <c r="A150" s="36">
        <f>IFERROR(__xludf.DUMMYFUNCTION("""COMPUTED_VALUE"""),149.0)</f>
        <v>149</v>
      </c>
      <c r="B150" s="37" t="str">
        <f>IFERROR(__xludf.DUMMYFUNCTION("""COMPUTED_VALUE"""),"FATMA NAJWA ZAHIRA")</f>
        <v>FATMA NAJWA ZAHIRA</v>
      </c>
      <c r="C150" s="38">
        <f>IFERROR(__xludf.DUMMYFUNCTION("""COMPUTED_VALUE"""),2.024070497E9)</f>
        <v>2024070497</v>
      </c>
      <c r="D150" s="37" t="str">
        <f>IFERROR(__xludf.DUMMYFUNCTION("""COMPUTED_VALUE"""),"MARUJI")</f>
        <v>MARUJI</v>
      </c>
      <c r="E150" s="37" t="str">
        <f>IFERROR(__xludf.DUMMYFUNCTION("""COMPUTED_VALUE"""),"SITI NURIYAH")</f>
        <v>SITI NURIYAH</v>
      </c>
      <c r="F150" s="37" t="str">
        <f>IFERROR(__xludf.DUMMYFUNCTION("""COMPUTED_VALUE"""),"NGUWOK RT 004 RW 002 MODO LAMONGAN")</f>
        <v>NGUWOK RT 004 RW 002 MODO LAMONGAN</v>
      </c>
      <c r="G150" s="39" t="str">
        <f>IFERROR(__xludf.DUMMYFUNCTION("""COMPUTED_VALUE"""),"MTS-9 D")</f>
        <v>MTS-9 D</v>
      </c>
      <c r="H150" s="36" t="str">
        <f>IFERROR(__xludf.DUMMYFUNCTION("""COMPUTED_VALUE"""),"C")</f>
        <v>C</v>
      </c>
      <c r="I150" s="40" t="str">
        <f>IFERROR(__xludf.DUMMYFUNCTION("""COMPUTED_VALUE"""),"C-12")</f>
        <v>C-12</v>
      </c>
      <c r="J150" s="40">
        <f>IFERROR(__xludf.DUMMYFUNCTION("""COMPUTED_VALUE"""),3.0)</f>
        <v>3</v>
      </c>
      <c r="K150" s="40" t="str">
        <f>IFERROR(__xludf.DUMMYFUNCTION("""COMPUTED_VALUE"""),"3 ULA B PUTRI")</f>
        <v>3 ULA B PUTRI</v>
      </c>
      <c r="L150" s="39" t="str">
        <f>IFERROR(__xludf.DUMMYFUNCTION("""COMPUTED_VALUE"""),"6282337956113")</f>
        <v>6282337956113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>
        <f>IFERROR(__xludf.DUMMYFUNCTION("""COMPUTED_VALUE"""),450000.0)</f>
        <v>450000</v>
      </c>
      <c r="AO150" s="43"/>
      <c r="AP150" s="43"/>
      <c r="AQ150" s="43"/>
      <c r="AR150" s="43"/>
      <c r="AS150" s="43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IFERROR(__xludf.DUMMYFUNCTION("""COMPUTED_VALUE"""),450000.0)</f>
        <v>450000</v>
      </c>
      <c r="BD150" s="43">
        <f>IFERROR(__xludf.DUMMYFUNCTION("""COMPUTED_VALUE"""),0.0)</f>
        <v>0</v>
      </c>
      <c r="BE150" s="43">
        <f>IFERROR(__xludf.DUMMYFUNCTION("""COMPUTED_VALUE"""),0.0)</f>
        <v>0</v>
      </c>
      <c r="BF150" s="44">
        <f>IFERROR(__xludf.DUMMYFUNCTION("""COMPUTED_VALUE"""),450000.0)</f>
        <v>450000</v>
      </c>
      <c r="BG150" s="56"/>
      <c r="BH150" s="56"/>
      <c r="BI150" s="5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</row>
    <row r="151">
      <c r="A151" s="47">
        <f>IFERROR(__xludf.DUMMYFUNCTION("""COMPUTED_VALUE"""),150.0)</f>
        <v>150</v>
      </c>
      <c r="B151" s="48" t="str">
        <f>IFERROR(__xludf.DUMMYFUNCTION("""COMPUTED_VALUE"""),"GHITA RAINA AZZAHRA PRIYANTO")</f>
        <v>GHITA RAINA AZZAHRA PRIYANTO</v>
      </c>
      <c r="C151" s="49">
        <f>IFERROR(__xludf.DUMMYFUNCTION("""COMPUTED_VALUE"""),2.024070636E9)</f>
        <v>2024070636</v>
      </c>
      <c r="D151" s="48" t="str">
        <f>IFERROR(__xludf.DUMMYFUNCTION("""COMPUTED_VALUE"""),"SUPRIYANTO")</f>
        <v>SUPRIYANTO</v>
      </c>
      <c r="E151" s="48" t="str">
        <f>IFERROR(__xludf.DUMMYFUNCTION("""COMPUTED_VALUE"""),"ANIS ROHMAWATI")</f>
        <v>ANIS ROHMAWATI</v>
      </c>
      <c r="F151" s="48" t="str">
        <f>IFERROR(__xludf.DUMMYFUNCTION("""COMPUTED_VALUE"""),"TULUNG WANAR RT 004 RW 005 PUCUK LAMONGAN")</f>
        <v>TULUNG WANAR RT 004 RW 005 PUCUK LAMONGAN</v>
      </c>
      <c r="G151" s="49" t="str">
        <f>IFERROR(__xludf.DUMMYFUNCTION("""COMPUTED_VALUE"""),"MTS-9 H")</f>
        <v>MTS-9 H</v>
      </c>
      <c r="H151" s="47" t="str">
        <f>IFERROR(__xludf.DUMMYFUNCTION("""COMPUTED_VALUE"""),"C")</f>
        <v>C</v>
      </c>
      <c r="I151" s="51" t="str">
        <f>IFERROR(__xludf.DUMMYFUNCTION("""COMPUTED_VALUE"""),"C-12")</f>
        <v>C-12</v>
      </c>
      <c r="J151" s="51">
        <f>IFERROR(__xludf.DUMMYFUNCTION("""COMPUTED_VALUE"""),3.0)</f>
        <v>3</v>
      </c>
      <c r="K151" s="51" t="str">
        <f>IFERROR(__xludf.DUMMYFUNCTION("""COMPUTED_VALUE"""),"3 ULA C PUTRI")</f>
        <v>3 ULA C PUTRI</v>
      </c>
      <c r="L151" s="50" t="str">
        <f>IFERROR(__xludf.DUMMYFUNCTION("""COMPUTED_VALUE"""),"6281260170147")</f>
        <v>6281260170147</v>
      </c>
      <c r="M151" s="54"/>
      <c r="N151" s="53"/>
      <c r="O151" s="53"/>
      <c r="P151" s="53"/>
      <c r="Q151" s="53"/>
      <c r="R151" s="54"/>
      <c r="S151" s="54"/>
      <c r="T151" s="54"/>
      <c r="U151" s="54"/>
      <c r="V151" s="54"/>
      <c r="W151" s="54"/>
      <c r="X151" s="54"/>
      <c r="Y151" s="54"/>
      <c r="Z151" s="54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>
        <f>IFERROR(__xludf.DUMMYFUNCTION("""COMPUTED_VALUE"""),500000.0)</f>
        <v>500000</v>
      </c>
      <c r="AQ151" s="54"/>
      <c r="AR151" s="54"/>
      <c r="AS151" s="54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IFERROR(__xludf.DUMMYFUNCTION("""COMPUTED_VALUE"""),0.0)</f>
        <v>0</v>
      </c>
      <c r="BD151" s="54">
        <f>IFERROR(__xludf.DUMMYFUNCTION("""COMPUTED_VALUE"""),500000.0)</f>
        <v>500000</v>
      </c>
      <c r="BE151" s="54">
        <f>IFERROR(__xludf.DUMMYFUNCTION("""COMPUTED_VALUE"""),0.0)</f>
        <v>0</v>
      </c>
      <c r="BF151" s="55">
        <f>IFERROR(__xludf.DUMMYFUNCTION("""COMPUTED_VALUE"""),500000.0)</f>
        <v>500000</v>
      </c>
      <c r="BG151" s="57"/>
      <c r="BH151" s="57"/>
      <c r="BI151" s="57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</row>
    <row r="152">
      <c r="A152" s="36">
        <f>IFERROR(__xludf.DUMMYFUNCTION("""COMPUTED_VALUE"""),151.0)</f>
        <v>151</v>
      </c>
      <c r="B152" s="37" t="str">
        <f>IFERROR(__xludf.DUMMYFUNCTION("""COMPUTED_VALUE"""),"HILDA AFRILLIA SALSA FUNNY")</f>
        <v>HILDA AFRILLIA SALSA FUNNY</v>
      </c>
      <c r="C152" s="38">
        <f>IFERROR(__xludf.DUMMYFUNCTION("""COMPUTED_VALUE"""),2.024070609E9)</f>
        <v>2024070609</v>
      </c>
      <c r="D152" s="37" t="str">
        <f>IFERROR(__xludf.DUMMYFUNCTION("""COMPUTED_VALUE"""),"HADI SUSANTO")</f>
        <v>HADI SUSANTO</v>
      </c>
      <c r="E152" s="37" t="str">
        <f>IFERROR(__xludf.DUMMYFUNCTION("""COMPUTED_VALUE"""),"SUNTIANAH")</f>
        <v>SUNTIANAH</v>
      </c>
      <c r="F152" s="37" t="str">
        <f>IFERROR(__xludf.DUMMYFUNCTION("""COMPUTED_VALUE"""),"KULURAN RT 004 RW 003 KALITENGAH LAMONGAN")</f>
        <v>KULURAN RT 004 RW 003 KALITENGAH LAMONGAN</v>
      </c>
      <c r="G152" s="39" t="str">
        <f>IFERROR(__xludf.DUMMYFUNCTION("""COMPUTED_VALUE"""),"MTS-9 D")</f>
        <v>MTS-9 D</v>
      </c>
      <c r="H152" s="36" t="str">
        <f>IFERROR(__xludf.DUMMYFUNCTION("""COMPUTED_VALUE"""),"C")</f>
        <v>C</v>
      </c>
      <c r="I152" s="40" t="str">
        <f>IFERROR(__xludf.DUMMYFUNCTION("""COMPUTED_VALUE"""),"C-12")</f>
        <v>C-12</v>
      </c>
      <c r="J152" s="40">
        <f>IFERROR(__xludf.DUMMYFUNCTION("""COMPUTED_VALUE"""),3.0)</f>
        <v>3</v>
      </c>
      <c r="K152" s="40" t="str">
        <f>IFERROR(__xludf.DUMMYFUNCTION("""COMPUTED_VALUE"""),"3 ULA C PUTRI")</f>
        <v>3 ULA C PUTRI</v>
      </c>
      <c r="L152" s="39" t="str">
        <f>IFERROR(__xludf.DUMMYFUNCTION("""COMPUTED_VALUE"""),"628570216013")</f>
        <v>628570216013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>
        <f>IFERROR(__xludf.DUMMYFUNCTION("""COMPUTED_VALUE"""),500000.0)</f>
        <v>500000</v>
      </c>
      <c r="AQ152" s="42"/>
      <c r="AR152" s="42"/>
      <c r="AS152" s="43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IFERROR(__xludf.DUMMYFUNCTION("""COMPUTED_VALUE"""),500000.0)</f>
        <v>500000</v>
      </c>
      <c r="BE152" s="43">
        <f>IFERROR(__xludf.DUMMYFUNCTION("""COMPUTED_VALUE"""),0.0)</f>
        <v>0</v>
      </c>
      <c r="BF152" s="44">
        <f>IFERROR(__xludf.DUMMYFUNCTION("""COMPUTED_VALUE"""),500000.0)</f>
        <v>500000</v>
      </c>
      <c r="BG152" s="56"/>
      <c r="BH152" s="56"/>
      <c r="BI152" s="5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</row>
    <row r="153">
      <c r="A153" s="47">
        <f>IFERROR(__xludf.DUMMYFUNCTION("""COMPUTED_VALUE"""),152.0)</f>
        <v>152</v>
      </c>
      <c r="B153" s="48" t="str">
        <f>IFERROR(__xludf.DUMMYFUNCTION("""COMPUTED_VALUE"""),"ISYTI DZIL KARIMAH")</f>
        <v>ISYTI DZIL KARIMAH</v>
      </c>
      <c r="C153" s="49">
        <f>IFERROR(__xludf.DUMMYFUNCTION("""COMPUTED_VALUE"""),2.024070465E9)</f>
        <v>2024070465</v>
      </c>
      <c r="D153" s="48" t="str">
        <f>IFERROR(__xludf.DUMMYFUNCTION("""COMPUTED_VALUE"""),"M. AMIN")</f>
        <v>M. AMIN</v>
      </c>
      <c r="E153" s="48" t="str">
        <f>IFERROR(__xludf.DUMMYFUNCTION("""COMPUTED_VALUE"""),"NURUL FAIZAH")</f>
        <v>NURUL FAIZAH</v>
      </c>
      <c r="F153" s="48" t="str">
        <f>IFERROR(__xludf.DUMMYFUNCTION("""COMPUTED_VALUE"""),"BUCULOR RAYUNGGUMUK RT 001 RW 001 GLAGAH LAMONGAN")</f>
        <v>BUCULOR RAYUNGGUMUK RT 001 RW 001 GLAGAH LAMONGAN</v>
      </c>
      <c r="G153" s="50" t="str">
        <f>IFERROR(__xludf.DUMMYFUNCTION("""COMPUTED_VALUE"""),"MTS-9 D")</f>
        <v>MTS-9 D</v>
      </c>
      <c r="H153" s="47" t="str">
        <f>IFERROR(__xludf.DUMMYFUNCTION("""COMPUTED_VALUE"""),"C")</f>
        <v>C</v>
      </c>
      <c r="I153" s="51" t="str">
        <f>IFERROR(__xludf.DUMMYFUNCTION("""COMPUTED_VALUE"""),"C-3")</f>
        <v>C-3</v>
      </c>
      <c r="J153" s="51">
        <f>IFERROR(__xludf.DUMMYFUNCTION("""COMPUTED_VALUE"""),3.0)</f>
        <v>3</v>
      </c>
      <c r="K153" s="51" t="str">
        <f>IFERROR(__xludf.DUMMYFUNCTION("""COMPUTED_VALUE"""),"3 ULA C PUTRI")</f>
        <v>3 ULA C PUTRI</v>
      </c>
      <c r="L153" s="50" t="str">
        <f>IFERROR(__xludf.DUMMYFUNCTION("""COMPUTED_VALUE"""),"6285850796841")</f>
        <v>6285850796841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4"/>
      <c r="AL153" s="54"/>
      <c r="AM153" s="54"/>
      <c r="AN153" s="54"/>
      <c r="AO153" s="54"/>
      <c r="AP153" s="53"/>
      <c r="AQ153" s="54"/>
      <c r="AR153" s="54"/>
      <c r="AS153" s="54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IFERROR(__xludf.DUMMYFUNCTION("""COMPUTED_VALUE"""),0.0)</f>
        <v>0</v>
      </c>
      <c r="BD153" s="54">
        <f>IFERROR(__xludf.DUMMYFUNCTION("""COMPUTED_VALUE"""),0.0)</f>
        <v>0</v>
      </c>
      <c r="BE153" s="54">
        <f>IFERROR(__xludf.DUMMYFUNCTION("""COMPUTED_VALUE"""),0.0)</f>
        <v>0</v>
      </c>
      <c r="BF153" s="55">
        <f>IFERROR(__xludf.DUMMYFUNCTION("""COMPUTED_VALUE"""),0.0)</f>
        <v>0</v>
      </c>
      <c r="BG153" s="57"/>
      <c r="BH153" s="57"/>
      <c r="BI153" s="57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</row>
    <row r="154">
      <c r="A154" s="36">
        <f>IFERROR(__xludf.DUMMYFUNCTION("""COMPUTED_VALUE"""),153.0)</f>
        <v>153</v>
      </c>
      <c r="B154" s="37" t="str">
        <f>IFERROR(__xludf.DUMMYFUNCTION("""COMPUTED_VALUE"""),"MEIRZA TRISNA DWI ANDINI")</f>
        <v>MEIRZA TRISNA DWI ANDINI</v>
      </c>
      <c r="C154" s="38">
        <f>IFERROR(__xludf.DUMMYFUNCTION("""COMPUTED_VALUE"""),2.024070732E9)</f>
        <v>2024070732</v>
      </c>
      <c r="D154" s="37" t="str">
        <f>IFERROR(__xludf.DUMMYFUNCTION("""COMPUTED_VALUE"""),"PATRIS")</f>
        <v>PATRIS</v>
      </c>
      <c r="E154" s="37" t="str">
        <f>IFERROR(__xludf.DUMMYFUNCTION("""COMPUTED_VALUE"""),"NUR HIDAYATI")</f>
        <v>NUR HIDAYATI</v>
      </c>
      <c r="F154" s="37" t="str">
        <f>IFERROR(__xludf.DUMMYFUNCTION("""COMPUTED_VALUE"""),"KEDIREN RT 001 RW 002 KALITENGAH LAMONGAN")</f>
        <v>KEDIREN RT 001 RW 002 KALITENGAH LAMONGAN</v>
      </c>
      <c r="G154" s="39" t="str">
        <f>IFERROR(__xludf.DUMMYFUNCTION("""COMPUTED_VALUE"""),"SMP-IX C")</f>
        <v>SMP-IX C</v>
      </c>
      <c r="H154" s="36" t="str">
        <f>IFERROR(__xludf.DUMMYFUNCTION("""COMPUTED_VALUE"""),"C")</f>
        <v>C</v>
      </c>
      <c r="I154" s="40" t="str">
        <f>IFERROR(__xludf.DUMMYFUNCTION("""COMPUTED_VALUE"""),"C-3")</f>
        <v>C-3</v>
      </c>
      <c r="J154" s="40">
        <f>IFERROR(__xludf.DUMMYFUNCTION("""COMPUTED_VALUE"""),3.0)</f>
        <v>3</v>
      </c>
      <c r="K154" s="40" t="str">
        <f>IFERROR(__xludf.DUMMYFUNCTION("""COMPUTED_VALUE"""),"3 ULA C PUTRI")</f>
        <v>3 ULA C PUTRI</v>
      </c>
      <c r="L154" s="39" t="str">
        <f>IFERROR(__xludf.DUMMYFUNCTION("""COMPUTED_VALUE"""),"6285815031286")</f>
        <v>6285815031286</v>
      </c>
      <c r="M154" s="43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3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>
        <f>IFERROR(__xludf.DUMMYFUNCTION("""COMPUTED_VALUE"""),450000.0)</f>
        <v>450000</v>
      </c>
      <c r="AN154" s="42">
        <f>IFERROR(__xludf.DUMMYFUNCTION("""COMPUTED_VALUE"""),450000.0)</f>
        <v>450000</v>
      </c>
      <c r="AO154" s="43"/>
      <c r="AP154" s="43"/>
      <c r="AQ154" s="43"/>
      <c r="AR154" s="43"/>
      <c r="AS154" s="43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IFERROR(__xludf.DUMMYFUNCTION("""COMPUTED_VALUE"""),900000.0)</f>
        <v>900000</v>
      </c>
      <c r="BD154" s="43">
        <f>IFERROR(__xludf.DUMMYFUNCTION("""COMPUTED_VALUE"""),0.0)</f>
        <v>0</v>
      </c>
      <c r="BE154" s="43">
        <f>IFERROR(__xludf.DUMMYFUNCTION("""COMPUTED_VALUE"""),0.0)</f>
        <v>0</v>
      </c>
      <c r="BF154" s="44">
        <f>IFERROR(__xludf.DUMMYFUNCTION("""COMPUTED_VALUE"""),900000.0)</f>
        <v>900000</v>
      </c>
      <c r="BG154" s="56"/>
      <c r="BH154" s="56"/>
      <c r="BI154" s="5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</row>
    <row r="155">
      <c r="A155" s="47">
        <f>IFERROR(__xludf.DUMMYFUNCTION("""COMPUTED_VALUE"""),154.0)</f>
        <v>154</v>
      </c>
      <c r="B155" s="48" t="str">
        <f>IFERROR(__xludf.DUMMYFUNCTION("""COMPUTED_VALUE"""),"NASYA PUTRI YUNAISYAH")</f>
        <v>NASYA PUTRI YUNAISYAH</v>
      </c>
      <c r="C155" s="49">
        <f>IFERROR(__xludf.DUMMYFUNCTION("""COMPUTED_VALUE"""),2.024070509E9)</f>
        <v>2024070509</v>
      </c>
      <c r="D155" s="48" t="str">
        <f>IFERROR(__xludf.DUMMYFUNCTION("""COMPUTED_VALUE"""),"DAVID AINUR ROFIQ")</f>
        <v>DAVID AINUR ROFIQ</v>
      </c>
      <c r="E155" s="48" t="str">
        <f>IFERROR(__xludf.DUMMYFUNCTION("""COMPUTED_VALUE"""),"FITRIYAH MAGHFIROH")</f>
        <v>FITRIYAH MAGHFIROH</v>
      </c>
      <c r="F155" s="48" t="str">
        <f>IFERROR(__xludf.DUMMYFUNCTION("""COMPUTED_VALUE"""),"BARON RT 008 RW 004 DUKUN GRESIK")</f>
        <v>BARON RT 008 RW 004 DUKUN GRESIK</v>
      </c>
      <c r="G155" s="50" t="str">
        <f>IFERROR(__xludf.DUMMYFUNCTION("""COMPUTED_VALUE"""),"MTS-9 H")</f>
        <v>MTS-9 H</v>
      </c>
      <c r="H155" s="47" t="str">
        <f>IFERROR(__xludf.DUMMYFUNCTION("""COMPUTED_VALUE"""),"C")</f>
        <v>C</v>
      </c>
      <c r="I155" s="51" t="str">
        <f>IFERROR(__xludf.DUMMYFUNCTION("""COMPUTED_VALUE"""),"C-13")</f>
        <v>C-13</v>
      </c>
      <c r="J155" s="51">
        <f>IFERROR(__xludf.DUMMYFUNCTION("""COMPUTED_VALUE"""),3.0)</f>
        <v>3</v>
      </c>
      <c r="K155" s="51" t="str">
        <f>IFERROR(__xludf.DUMMYFUNCTION("""COMPUTED_VALUE"""),"3 ULA C PUTRI")</f>
        <v>3 ULA C PUTRI</v>
      </c>
      <c r="L155" s="50" t="str">
        <f>IFERROR(__xludf.DUMMYFUNCTION("""COMPUTED_VALUE"""),"6281331730197")</f>
        <v>6281331730197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4"/>
      <c r="AP155" s="60"/>
      <c r="AQ155" s="53"/>
      <c r="AR155" s="53"/>
      <c r="AS155" s="54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IFERROR(__xludf.DUMMYFUNCTION("""COMPUTED_VALUE"""),0.0)</f>
        <v>0</v>
      </c>
      <c r="BD155" s="51">
        <f>IFERROR(__xludf.DUMMYFUNCTION("""COMPUTED_VALUE"""),0.0)</f>
        <v>0</v>
      </c>
      <c r="BE155" s="54">
        <f>IFERROR(__xludf.DUMMYFUNCTION("""COMPUTED_VALUE"""),0.0)</f>
        <v>0</v>
      </c>
      <c r="BF155" s="69">
        <f>IFERROR(__xludf.DUMMYFUNCTION("""COMPUTED_VALUE"""),0.0)</f>
        <v>0</v>
      </c>
      <c r="BG155" s="57"/>
      <c r="BH155" s="57"/>
      <c r="BI155" s="57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</row>
    <row r="156">
      <c r="A156" s="36">
        <f>IFERROR(__xludf.DUMMYFUNCTION("""COMPUTED_VALUE"""),155.0)</f>
        <v>155</v>
      </c>
      <c r="B156" s="37" t="str">
        <f>IFERROR(__xludf.DUMMYFUNCTION("""COMPUTED_VALUE"""),"NAURAH KHUNI`ATUN MUBAYYINA")</f>
        <v>NAURAH KHUNI`ATUN MUBAYYINA</v>
      </c>
      <c r="C156" s="38">
        <f>IFERROR(__xludf.DUMMYFUNCTION("""COMPUTED_VALUE"""),2.024070623E9)</f>
        <v>2024070623</v>
      </c>
      <c r="D156" s="37" t="str">
        <f>IFERROR(__xludf.DUMMYFUNCTION("""COMPUTED_VALUE"""),"A. FATHUL ARIF")</f>
        <v>A. FATHUL ARIF</v>
      </c>
      <c r="E156" s="37" t="str">
        <f>IFERROR(__xludf.DUMMYFUNCTION("""COMPUTED_VALUE"""),"NANIK NURLISAH")</f>
        <v>NANIK NURLISAH</v>
      </c>
      <c r="F156" s="37" t="str">
        <f>IFERROR(__xludf.DUMMYFUNCTION("""COMPUTED_VALUE"""),"KULURAN RT 003 RW 001 KALITENGAH LAMONGAN")</f>
        <v>KULURAN RT 003 RW 001 KALITENGAH LAMONGAN</v>
      </c>
      <c r="G156" s="56" t="str">
        <f>IFERROR(__xludf.DUMMYFUNCTION("""COMPUTED_VALUE"""),"MTS-9 H")</f>
        <v>MTS-9 H</v>
      </c>
      <c r="H156" s="36" t="str">
        <f>IFERROR(__xludf.DUMMYFUNCTION("""COMPUTED_VALUE"""),"C")</f>
        <v>C</v>
      </c>
      <c r="I156" s="40" t="str">
        <f>IFERROR(__xludf.DUMMYFUNCTION("""COMPUTED_VALUE"""),"C-12")</f>
        <v>C-12</v>
      </c>
      <c r="J156" s="40">
        <f>IFERROR(__xludf.DUMMYFUNCTION("""COMPUTED_VALUE"""),3.0)</f>
        <v>3</v>
      </c>
      <c r="K156" s="40" t="str">
        <f>IFERROR(__xludf.DUMMYFUNCTION("""COMPUTED_VALUE"""),"")</f>
        <v/>
      </c>
      <c r="L156" s="39" t="str">
        <f>IFERROR(__xludf.DUMMYFUNCTION("""COMPUTED_VALUE"""),"6285608954077")</f>
        <v>6285608954077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3"/>
      <c r="AB156" s="42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2"/>
      <c r="AQ156" s="43"/>
      <c r="AR156" s="43"/>
      <c r="AS156" s="43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IFERROR(__xludf.DUMMYFUNCTION("""COMPUTED_VALUE"""),0.0)</f>
        <v>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IFERROR(__xludf.DUMMYFUNCTION("""COMPUTED_VALUE"""),0.0)</f>
        <v>0</v>
      </c>
      <c r="BG156" s="56"/>
      <c r="BH156" s="56"/>
      <c r="BI156" s="5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</row>
    <row r="157">
      <c r="A157" s="47">
        <f>IFERROR(__xludf.DUMMYFUNCTION("""COMPUTED_VALUE"""),156.0)</f>
        <v>156</v>
      </c>
      <c r="B157" s="48" t="str">
        <f>IFERROR(__xludf.DUMMYFUNCTION("""COMPUTED_VALUE"""),"NAYLA SALSABILA")</f>
        <v>NAYLA SALSABILA</v>
      </c>
      <c r="C157" s="49">
        <f>IFERROR(__xludf.DUMMYFUNCTION("""COMPUTED_VALUE"""),2.024070608E9)</f>
        <v>2024070608</v>
      </c>
      <c r="D157" s="48" t="str">
        <f>IFERROR(__xludf.DUMMYFUNCTION("""COMPUTED_VALUE"""),"MUHAMAD MUHAJIR")</f>
        <v>MUHAMAD MUHAJIR</v>
      </c>
      <c r="E157" s="48" t="str">
        <f>IFERROR(__xludf.DUMMYFUNCTION("""COMPUTED_VALUE"""),"MINTUTIK")</f>
        <v>MINTUTIK</v>
      </c>
      <c r="F157" s="48" t="str">
        <f>IFERROR(__xludf.DUMMYFUNCTION("""COMPUTED_VALUE"""),"KULURAN RT 002 RW 003 KALITENGAH LAMONGAN")</f>
        <v>KULURAN RT 002 RW 003 KALITENGAH LAMONGAN</v>
      </c>
      <c r="G157" s="50" t="str">
        <f>IFERROR(__xludf.DUMMYFUNCTION("""COMPUTED_VALUE"""),"MTS-9 D")</f>
        <v>MTS-9 D</v>
      </c>
      <c r="H157" s="47" t="str">
        <f>IFERROR(__xludf.DUMMYFUNCTION("""COMPUTED_VALUE"""),"C")</f>
        <v>C</v>
      </c>
      <c r="I157" s="51" t="str">
        <f>IFERROR(__xludf.DUMMYFUNCTION("""COMPUTED_VALUE"""),"C-12")</f>
        <v>C-12</v>
      </c>
      <c r="J157" s="51">
        <f>IFERROR(__xludf.DUMMYFUNCTION("""COMPUTED_VALUE"""),3.0)</f>
        <v>3</v>
      </c>
      <c r="K157" s="51" t="str">
        <f>IFERROR(__xludf.DUMMYFUNCTION("""COMPUTED_VALUE"""),"")</f>
        <v/>
      </c>
      <c r="L157" s="50" t="str">
        <f>IFERROR(__xludf.DUMMYFUNCTION("""COMPUTED_VALUE"""),"6285755534024")</f>
        <v>6285755534024</v>
      </c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4"/>
      <c r="AR157" s="54"/>
      <c r="AS157" s="54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IFERROR(__xludf.DUMMYFUNCTION("""COMPUTED_VALUE"""),0.0)</f>
        <v>0</v>
      </c>
      <c r="BE157" s="54">
        <f>IFERROR(__xludf.DUMMYFUNCTION("""COMPUTED_VALUE"""),0.0)</f>
        <v>0</v>
      </c>
      <c r="BF157" s="55">
        <f>IFERROR(__xludf.DUMMYFUNCTION("""COMPUTED_VALUE"""),0.0)</f>
        <v>0</v>
      </c>
      <c r="BG157" s="57"/>
      <c r="BH157" s="57"/>
      <c r="BI157" s="57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</row>
    <row r="158">
      <c r="A158" s="36">
        <f>IFERROR(__xludf.DUMMYFUNCTION("""COMPUTED_VALUE"""),157.0)</f>
        <v>157</v>
      </c>
      <c r="B158" s="37" t="str">
        <f>IFERROR(__xludf.DUMMYFUNCTION("""COMPUTED_VALUE"""),"NIA KRISNAWATI")</f>
        <v>NIA KRISNAWATI</v>
      </c>
      <c r="C158" s="38">
        <f>IFERROR(__xludf.DUMMYFUNCTION("""COMPUTED_VALUE"""),2.024070528E9)</f>
        <v>2024070528</v>
      </c>
      <c r="D158" s="37" t="str">
        <f>IFERROR(__xludf.DUMMYFUNCTION("""COMPUTED_VALUE"""),"ISWAHYUDI")</f>
        <v>ISWAHYUDI</v>
      </c>
      <c r="E158" s="37" t="str">
        <f>IFERROR(__xludf.DUMMYFUNCTION("""COMPUTED_VALUE"""),"MAISUN")</f>
        <v>MAISUN</v>
      </c>
      <c r="F158" s="37" t="str">
        <f>IFERROR(__xludf.DUMMYFUNCTION("""COMPUTED_VALUE"""),"GAGAR SUKOBENDU RT 002 RW 001 MANTUP LAMONGAN")</f>
        <v>GAGAR SUKOBENDU RT 002 RW 001 MANTUP LAMONGAN</v>
      </c>
      <c r="G158" s="38" t="str">
        <f>IFERROR(__xludf.DUMMYFUNCTION("""COMPUTED_VALUE"""),"MTS-9 C")</f>
        <v>MTS-9 C</v>
      </c>
      <c r="H158" s="36" t="str">
        <f>IFERROR(__xludf.DUMMYFUNCTION("""COMPUTED_VALUE"""),"C")</f>
        <v>C</v>
      </c>
      <c r="I158" s="40" t="str">
        <f>IFERROR(__xludf.DUMMYFUNCTION("""COMPUTED_VALUE"""),"C-12")</f>
        <v>C-12</v>
      </c>
      <c r="J158" s="40">
        <f>IFERROR(__xludf.DUMMYFUNCTION("""COMPUTED_VALUE"""),3.0)</f>
        <v>3</v>
      </c>
      <c r="K158" s="40" t="str">
        <f>IFERROR(__xludf.DUMMYFUNCTION("""COMPUTED_VALUE"""),"3 ULA B PUTRI")</f>
        <v>3 ULA B PUTRI</v>
      </c>
      <c r="L158" s="39" t="str">
        <f>IFERROR(__xludf.DUMMYFUNCTION("""COMPUTED_VALUE"""),"6281999644191")</f>
        <v>6281999644191</v>
      </c>
      <c r="M158" s="43"/>
      <c r="N158" s="42"/>
      <c r="O158" s="42"/>
      <c r="P158" s="42"/>
      <c r="Q158" s="42"/>
      <c r="R158" s="43"/>
      <c r="S158" s="43"/>
      <c r="T158" s="43"/>
      <c r="U158" s="43"/>
      <c r="V158" s="43">
        <f>IFERROR(__xludf.DUMMYFUNCTION("""COMPUTED_VALUE"""),450000.0)</f>
        <v>450000</v>
      </c>
      <c r="W158" s="43">
        <f>IFERROR(__xludf.DUMMYFUNCTION("""COMPUTED_VALUE"""),450000.0)</f>
        <v>450000</v>
      </c>
      <c r="X158" s="43">
        <f>IFERROR(__xludf.DUMMYFUNCTION("""COMPUTED_VALUE"""),450000.0)</f>
        <v>450000</v>
      </c>
      <c r="Y158" s="43">
        <f>IFERROR(__xludf.DUMMYFUNCTION("""COMPUTED_VALUE"""),450000.0)</f>
        <v>450000</v>
      </c>
      <c r="Z158" s="43">
        <f>IFERROR(__xludf.DUMMYFUNCTION("""COMPUTED_VALUE"""),450000.0)</f>
        <v>450000</v>
      </c>
      <c r="AA158" s="43">
        <f>IFERROR(__xludf.DUMMYFUNCTION("""COMPUTED_VALUE"""),350000.0)</f>
        <v>350000</v>
      </c>
      <c r="AB158" s="43">
        <f>IFERROR(__xludf.DUMMYFUNCTION("""COMPUTED_VALUE"""),500000.0)</f>
        <v>500000</v>
      </c>
      <c r="AC158" s="43">
        <f>IFERROR(__xludf.DUMMYFUNCTION("""COMPUTED_VALUE"""),450000.0)</f>
        <v>450000</v>
      </c>
      <c r="AD158" s="43">
        <f>IFERROR(__xludf.DUMMYFUNCTION("""COMPUTED_VALUE"""),450000.0)</f>
        <v>450000</v>
      </c>
      <c r="AE158" s="43">
        <f>IFERROR(__xludf.DUMMYFUNCTION("""COMPUTED_VALUE"""),450000.0)</f>
        <v>450000</v>
      </c>
      <c r="AF158" s="43">
        <f>IFERROR(__xludf.DUMMYFUNCTION("""COMPUTED_VALUE"""),450000.0)</f>
        <v>450000</v>
      </c>
      <c r="AG158" s="43">
        <f>IFERROR(__xludf.DUMMYFUNCTION("""COMPUTED_VALUE"""),450000.0)</f>
        <v>450000</v>
      </c>
      <c r="AH158" s="43">
        <f>IFERROR(__xludf.DUMMYFUNCTION("""COMPUTED_VALUE"""),450000.0)</f>
        <v>450000</v>
      </c>
      <c r="AI158" s="43">
        <f>IFERROR(__xludf.DUMMYFUNCTION("""COMPUTED_VALUE"""),450000.0)</f>
        <v>450000</v>
      </c>
      <c r="AJ158" s="43">
        <f>IFERROR(__xludf.DUMMYFUNCTION("""COMPUTED_VALUE"""),450000.0)</f>
        <v>450000</v>
      </c>
      <c r="AK158" s="43">
        <f>IFERROR(__xludf.DUMMYFUNCTION("""COMPUTED_VALUE"""),450000.0)</f>
        <v>450000</v>
      </c>
      <c r="AL158" s="43">
        <f>IFERROR(__xludf.DUMMYFUNCTION("""COMPUTED_VALUE"""),450000.0)</f>
        <v>450000</v>
      </c>
      <c r="AM158" s="43">
        <f>IFERROR(__xludf.DUMMYFUNCTION("""COMPUTED_VALUE"""),450000.0)</f>
        <v>450000</v>
      </c>
      <c r="AN158" s="43">
        <f>IFERROR(__xludf.DUMMYFUNCTION("""COMPUTED_VALUE"""),450000.0)</f>
        <v>450000</v>
      </c>
      <c r="AO158" s="43"/>
      <c r="AP158" s="43">
        <f>IFERROR(__xludf.DUMMYFUNCTION("""COMPUTED_VALUE"""),500000.0)</f>
        <v>500000</v>
      </c>
      <c r="AQ158" s="43"/>
      <c r="AR158" s="43"/>
      <c r="AS158" s="43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IFERROR(__xludf.DUMMYFUNCTION("""COMPUTED_VALUE"""),7650000.0)</f>
        <v>7650000</v>
      </c>
      <c r="BD158" s="43">
        <f>IFERROR(__xludf.DUMMYFUNCTION("""COMPUTED_VALUE"""),1000000.0)</f>
        <v>1000000</v>
      </c>
      <c r="BE158" s="43">
        <f>IFERROR(__xludf.DUMMYFUNCTION("""COMPUTED_VALUE"""),350000.0)</f>
        <v>350000</v>
      </c>
      <c r="BF158" s="44">
        <f>IFERROR(__xludf.DUMMYFUNCTION("""COMPUTED_VALUE"""),9000000.0)</f>
        <v>9000000</v>
      </c>
      <c r="BG158" s="56"/>
      <c r="BH158" s="56"/>
      <c r="BI158" s="5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</row>
    <row r="159">
      <c r="A159" s="47">
        <f>IFERROR(__xludf.DUMMYFUNCTION("""COMPUTED_VALUE"""),158.0)</f>
        <v>158</v>
      </c>
      <c r="B159" s="48" t="str">
        <f>IFERROR(__xludf.DUMMYFUNCTION("""COMPUTED_VALUE"""),"PRADIPTA PUTRI ALIFIA")</f>
        <v>PRADIPTA PUTRI ALIFIA</v>
      </c>
      <c r="C159" s="49">
        <f>IFERROR(__xludf.DUMMYFUNCTION("""COMPUTED_VALUE"""),2.024070584E9)</f>
        <v>2024070584</v>
      </c>
      <c r="D159" s="48" t="str">
        <f>IFERROR(__xludf.DUMMYFUNCTION("""COMPUTED_VALUE"""),"JUMADI")</f>
        <v>JUMADI</v>
      </c>
      <c r="E159" s="48" t="str">
        <f>IFERROR(__xludf.DUMMYFUNCTION("""COMPUTED_VALUE"""),"MU`ALIMAH")</f>
        <v>MU`ALIMAH</v>
      </c>
      <c r="F159" s="48" t="str">
        <f>IFERROR(__xludf.DUMMYFUNCTION("""COMPUTED_VALUE"""),"GETUNG TAWANGREJO RT 001 RW 001 TURI LAMONGAN")</f>
        <v>GETUNG TAWANGREJO RT 001 RW 001 TURI LAMONGAN</v>
      </c>
      <c r="G159" s="50" t="str">
        <f>IFERROR(__xludf.DUMMYFUNCTION("""COMPUTED_VALUE"""),"MTS-9 G")</f>
        <v>MTS-9 G</v>
      </c>
      <c r="H159" s="47" t="str">
        <f>IFERROR(__xludf.DUMMYFUNCTION("""COMPUTED_VALUE"""),"C")</f>
        <v>C</v>
      </c>
      <c r="I159" s="51" t="str">
        <f>IFERROR(__xludf.DUMMYFUNCTION("""COMPUTED_VALUE"""),"C-13")</f>
        <v>C-13</v>
      </c>
      <c r="J159" s="51">
        <f>IFERROR(__xludf.DUMMYFUNCTION("""COMPUTED_VALUE"""),3.0)</f>
        <v>3</v>
      </c>
      <c r="K159" s="51" t="str">
        <f>IFERROR(__xludf.DUMMYFUNCTION("""COMPUTED_VALUE"""),"3 ULA A PUTRI")</f>
        <v>3 ULA A PUTRI</v>
      </c>
      <c r="L159" s="50" t="str">
        <f>IFERROR(__xludf.DUMMYFUNCTION("""COMPUTED_VALUE"""),"6287815912057")</f>
        <v>6287815912057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4"/>
      <c r="AN159" s="54"/>
      <c r="AO159" s="53"/>
      <c r="AP159" s="53"/>
      <c r="AQ159" s="54"/>
      <c r="AR159" s="54"/>
      <c r="AS159" s="54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IFERROR(__xludf.DUMMYFUNCTION("""COMPUTED_VALUE"""),0.0)</f>
        <v>0</v>
      </c>
      <c r="BE159" s="54">
        <f>IFERROR(__xludf.DUMMYFUNCTION("""COMPUTED_VALUE"""),0.0)</f>
        <v>0</v>
      </c>
      <c r="BF159" s="55">
        <f>IFERROR(__xludf.DUMMYFUNCTION("""COMPUTED_VALUE"""),0.0)</f>
        <v>0</v>
      </c>
      <c r="BG159" s="57"/>
      <c r="BH159" s="57"/>
      <c r="BI159" s="57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</row>
    <row r="160">
      <c r="A160" s="36">
        <f>IFERROR(__xludf.DUMMYFUNCTION("""COMPUTED_VALUE"""),159.0)</f>
        <v>159</v>
      </c>
      <c r="B160" s="37" t="str">
        <f>IFERROR(__xludf.DUMMYFUNCTION("""COMPUTED_VALUE"""),"QUEENSHA ALEA ARSYILA")</f>
        <v>QUEENSHA ALEA ARSYILA</v>
      </c>
      <c r="C160" s="38">
        <f>IFERROR(__xludf.DUMMYFUNCTION("""COMPUTED_VALUE"""),2.024070526E9)</f>
        <v>2024070526</v>
      </c>
      <c r="D160" s="37" t="str">
        <f>IFERROR(__xludf.DUMMYFUNCTION("""COMPUTED_VALUE"""),"AGUS BUDIONO")</f>
        <v>AGUS BUDIONO</v>
      </c>
      <c r="E160" s="37" t="str">
        <f>IFERROR(__xludf.DUMMYFUNCTION("""COMPUTED_VALUE"""),"TANTI YUNI MUSFITA")</f>
        <v>TANTI YUNI MUSFITA</v>
      </c>
      <c r="F160" s="37" t="str">
        <f>IFERROR(__xludf.DUMMYFUNCTION("""COMPUTED_VALUE"""),"KRAJAN SUKOBENDU RT 003 RW 005 MANTUP LAMONGAN")</f>
        <v>KRAJAN SUKOBENDU RT 003 RW 005 MANTUP LAMONGAN</v>
      </c>
      <c r="G160" s="38" t="str">
        <f>IFERROR(__xludf.DUMMYFUNCTION("""COMPUTED_VALUE"""),"MTS-9 D")</f>
        <v>MTS-9 D</v>
      </c>
      <c r="H160" s="36" t="str">
        <f>IFERROR(__xludf.DUMMYFUNCTION("""COMPUTED_VALUE"""),"C")</f>
        <v>C</v>
      </c>
      <c r="I160" s="40" t="str">
        <f>IFERROR(__xludf.DUMMYFUNCTION("""COMPUTED_VALUE"""),"C-12")</f>
        <v>C-12</v>
      </c>
      <c r="J160" s="40">
        <f>IFERROR(__xludf.DUMMYFUNCTION("""COMPUTED_VALUE"""),3.0)</f>
        <v>3</v>
      </c>
      <c r="K160" s="40" t="str">
        <f>IFERROR(__xludf.DUMMYFUNCTION("""COMPUTED_VALUE"""),"3 ULA A PUTRI")</f>
        <v>3 ULA A PUTRI</v>
      </c>
      <c r="L160" s="39" t="str">
        <f>IFERROR(__xludf.DUMMYFUNCTION("""COMPUTED_VALUE"""),"6285732838577")</f>
        <v>6285732838577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3"/>
      <c r="AP160" s="42"/>
      <c r="AQ160" s="42"/>
      <c r="AR160" s="42"/>
      <c r="AS160" s="43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IFERROR(__xludf.DUMMYFUNCTION("""COMPUTED_VALUE"""),0.0)</f>
        <v>0</v>
      </c>
      <c r="BE160" s="43">
        <f>IFERROR(__xludf.DUMMYFUNCTION("""COMPUTED_VALUE"""),0.0)</f>
        <v>0</v>
      </c>
      <c r="BF160" s="44">
        <f>IFERROR(__xludf.DUMMYFUNCTION("""COMPUTED_VALUE"""),0.0)</f>
        <v>0</v>
      </c>
      <c r="BG160" s="56"/>
      <c r="BH160" s="56"/>
      <c r="BI160" s="5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</row>
    <row r="161">
      <c r="A161" s="47">
        <f>IFERROR(__xludf.DUMMYFUNCTION("""COMPUTED_VALUE"""),160.0)</f>
        <v>160</v>
      </c>
      <c r="B161" s="48" t="str">
        <f>IFERROR(__xludf.DUMMYFUNCTION("""COMPUTED_VALUE"""),"RAVAUL ZAHIDAH")</f>
        <v>RAVAUL ZAHIDAH</v>
      </c>
      <c r="C161" s="49">
        <f>IFERROR(__xludf.DUMMYFUNCTION("""COMPUTED_VALUE"""),2.02407058E9)</f>
        <v>2024070580</v>
      </c>
      <c r="D161" s="48" t="str">
        <f>IFERROR(__xludf.DUMMYFUNCTION("""COMPUTED_VALUE"""),"FATCHUR ROZAK")</f>
        <v>FATCHUR ROZAK</v>
      </c>
      <c r="E161" s="48" t="str">
        <f>IFERROR(__xludf.DUMMYFUNCTION("""COMPUTED_VALUE"""),"ULIN NI`MAH")</f>
        <v>ULIN NI`MAH</v>
      </c>
      <c r="F161" s="48" t="str">
        <f>IFERROR(__xludf.DUMMYFUNCTION("""COMPUTED_VALUE"""),"PENCARAN BLAWI RT 002 RW 005 KARANGBINANGUN LAMONGAN")</f>
        <v>PENCARAN BLAWI RT 002 RW 005 KARANGBINANGUN LAMONGAN</v>
      </c>
      <c r="G161" s="50" t="str">
        <f>IFERROR(__xludf.DUMMYFUNCTION("""COMPUTED_VALUE"""),"MTS-9 A")</f>
        <v>MTS-9 A</v>
      </c>
      <c r="H161" s="47" t="str">
        <f>IFERROR(__xludf.DUMMYFUNCTION("""COMPUTED_VALUE"""),"C")</f>
        <v>C</v>
      </c>
      <c r="I161" s="51" t="str">
        <f>IFERROR(__xludf.DUMMYFUNCTION("""COMPUTED_VALUE"""),"C-3")</f>
        <v>C-3</v>
      </c>
      <c r="J161" s="51">
        <f>IFERROR(__xludf.DUMMYFUNCTION("""COMPUTED_VALUE"""),3.0)</f>
        <v>3</v>
      </c>
      <c r="K161" s="51" t="str">
        <f>IFERROR(__xludf.DUMMYFUNCTION("""COMPUTED_VALUE"""),"3 ULA B PUTRI")</f>
        <v>3 ULA B PUTRI</v>
      </c>
      <c r="L161" s="50" t="str">
        <f>IFERROR(__xludf.DUMMYFUNCTION("""COMPUTED_VALUE"""),"6282231516103")</f>
        <v>6282231516103</v>
      </c>
      <c r="M161" s="53"/>
      <c r="N161" s="53">
        <f>IFERROR(__xludf.DUMMYFUNCTION("""COMPUTED_VALUE"""),200000.0)</f>
        <v>200000</v>
      </c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>
        <f>IFERROR(__xludf.DUMMYFUNCTION("""COMPUTED_VALUE"""),500000.0)</f>
        <v>500000</v>
      </c>
      <c r="AC161" s="53"/>
      <c r="AD161" s="53"/>
      <c r="AE161" s="53">
        <f>IFERROR(__xludf.DUMMYFUNCTION("""COMPUTED_VALUE"""),450000.0)</f>
        <v>450000</v>
      </c>
      <c r="AF161" s="53">
        <f>IFERROR(__xludf.DUMMYFUNCTION("""COMPUTED_VALUE"""),450000.0)</f>
        <v>450000</v>
      </c>
      <c r="AG161" s="53">
        <f>IFERROR(__xludf.DUMMYFUNCTION("""COMPUTED_VALUE"""),450000.0)</f>
        <v>450000</v>
      </c>
      <c r="AH161" s="53">
        <f>IFERROR(__xludf.DUMMYFUNCTION("""COMPUTED_VALUE"""),450000.0)</f>
        <v>450000</v>
      </c>
      <c r="AI161" s="53">
        <f>IFERROR(__xludf.DUMMYFUNCTION("""COMPUTED_VALUE"""),450000.0)</f>
        <v>450000</v>
      </c>
      <c r="AJ161" s="53">
        <f>IFERROR(__xludf.DUMMYFUNCTION("""COMPUTED_VALUE"""),450000.0)</f>
        <v>450000</v>
      </c>
      <c r="AK161" s="53">
        <f>IFERROR(__xludf.DUMMYFUNCTION("""COMPUTED_VALUE"""),450000.0)</f>
        <v>450000</v>
      </c>
      <c r="AL161" s="53">
        <f>IFERROR(__xludf.DUMMYFUNCTION("""COMPUTED_VALUE"""),450000.0)</f>
        <v>450000</v>
      </c>
      <c r="AM161" s="53">
        <f>IFERROR(__xludf.DUMMYFUNCTION("""COMPUTED_VALUE"""),450000.0)</f>
        <v>450000</v>
      </c>
      <c r="AN161" s="53">
        <f>IFERROR(__xludf.DUMMYFUNCTION("""COMPUTED_VALUE"""),450000.0)</f>
        <v>450000</v>
      </c>
      <c r="AO161" s="53"/>
      <c r="AP161" s="53">
        <f>IFERROR(__xludf.DUMMYFUNCTION("""COMPUTED_VALUE"""),500000.0)</f>
        <v>500000</v>
      </c>
      <c r="AQ161" s="53"/>
      <c r="AR161" s="53"/>
      <c r="AS161" s="54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IFERROR(__xludf.DUMMYFUNCTION("""COMPUTED_VALUE"""),4500000.0)</f>
        <v>4500000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IFERROR(__xludf.DUMMYFUNCTION("""COMPUTED_VALUE"""),5500000.0)</f>
        <v>5500000</v>
      </c>
      <c r="BG161" s="57"/>
      <c r="BH161" s="57"/>
      <c r="BI161" s="57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</row>
    <row r="162">
      <c r="A162" s="36">
        <f>IFERROR(__xludf.DUMMYFUNCTION("""COMPUTED_VALUE"""),161.0)</f>
        <v>161</v>
      </c>
      <c r="B162" s="37" t="str">
        <f>IFERROR(__xludf.DUMMYFUNCTION("""COMPUTED_VALUE"""),"RIZATUL ZAMIRA ATMAJA")</f>
        <v>RIZATUL ZAMIRA ATMAJA</v>
      </c>
      <c r="C162" s="38">
        <f>IFERROR(__xludf.DUMMYFUNCTION("""COMPUTED_VALUE"""),2.024070493E9)</f>
        <v>2024070493</v>
      </c>
      <c r="D162" s="37" t="str">
        <f>IFERROR(__xludf.DUMMYFUNCTION("""COMPUTED_VALUE"""),"SUWIGNYO PRIYO UTOMO")</f>
        <v>SUWIGNYO PRIYO UTOMO</v>
      </c>
      <c r="E162" s="37" t="str">
        <f>IFERROR(__xludf.DUMMYFUNCTION("""COMPUTED_VALUE"""),"ELI ROCHIANAH")</f>
        <v>ELI ROCHIANAH</v>
      </c>
      <c r="F162" s="37" t="str">
        <f>IFERROR(__xludf.DUMMYFUNCTION("""COMPUTED_VALUE"""),"BANJARMADU RT 001 RW 004 KARANGGENENG LAMONGAN")</f>
        <v>BANJARMADU RT 001 RW 004 KARANGGENENG LAMONGAN</v>
      </c>
      <c r="G162" s="39" t="str">
        <f>IFERROR(__xludf.DUMMYFUNCTION("""COMPUTED_VALUE"""),"MTS-9 D")</f>
        <v>MTS-9 D</v>
      </c>
      <c r="H162" s="36" t="str">
        <f>IFERROR(__xludf.DUMMYFUNCTION("""COMPUTED_VALUE"""),"C")</f>
        <v>C</v>
      </c>
      <c r="I162" s="40" t="str">
        <f>IFERROR(__xludf.DUMMYFUNCTION("""COMPUTED_VALUE"""),"C-13")</f>
        <v>C-13</v>
      </c>
      <c r="J162" s="40">
        <f>IFERROR(__xludf.DUMMYFUNCTION("""COMPUTED_VALUE"""),3.0)</f>
        <v>3</v>
      </c>
      <c r="K162" s="40" t="str">
        <f>IFERROR(__xludf.DUMMYFUNCTION("""COMPUTED_VALUE"""),"3 ULA C PUTRI")</f>
        <v>3 ULA C PUTRI</v>
      </c>
      <c r="L162" s="39" t="str">
        <f>IFERROR(__xludf.DUMMYFUNCTION("""COMPUTED_VALUE"""),"6285234346480")</f>
        <v>6285234346480</v>
      </c>
      <c r="M162" s="43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3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3"/>
      <c r="AP162" s="43">
        <f>IFERROR(__xludf.DUMMYFUNCTION("""COMPUTED_VALUE"""),500000.0)</f>
        <v>500000</v>
      </c>
      <c r="AQ162" s="43"/>
      <c r="AR162" s="43"/>
      <c r="AS162" s="43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IFERROR(__xludf.DUMMYFUNCTION("""COMPUTED_VALUE"""),500000.0)</f>
        <v>500000</v>
      </c>
      <c r="BE162" s="43">
        <f>IFERROR(__xludf.DUMMYFUNCTION("""COMPUTED_VALUE"""),0.0)</f>
        <v>0</v>
      </c>
      <c r="BF162" s="44">
        <f>IFERROR(__xludf.DUMMYFUNCTION("""COMPUTED_VALUE"""),500000.0)</f>
        <v>500000</v>
      </c>
      <c r="BG162" s="56"/>
      <c r="BH162" s="56"/>
      <c r="BI162" s="5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</row>
    <row r="163">
      <c r="A163" s="47">
        <f>IFERROR(__xludf.DUMMYFUNCTION("""COMPUTED_VALUE"""),162.0)</f>
        <v>162</v>
      </c>
      <c r="B163" s="48" t="str">
        <f>IFERROR(__xludf.DUMMYFUNCTION("""COMPUTED_VALUE"""),"SAFIRA FIDIYASARI")</f>
        <v>SAFIRA FIDIYASARI</v>
      </c>
      <c r="C163" s="49">
        <f>IFERROR(__xludf.DUMMYFUNCTION("""COMPUTED_VALUE"""),2.024070632E9)</f>
        <v>2024070632</v>
      </c>
      <c r="D163" s="48" t="str">
        <f>IFERROR(__xludf.DUMMYFUNCTION("""COMPUTED_VALUE"""),"M AGUS WIJAYA")</f>
        <v>M AGUS WIJAYA</v>
      </c>
      <c r="E163" s="48" t="str">
        <f>IFERROR(__xludf.DUMMYFUNCTION("""COMPUTED_VALUE"""),"SOFIYA WIDIYAWATI")</f>
        <v>SOFIYA WIDIYAWATI</v>
      </c>
      <c r="F163" s="48" t="str">
        <f>IFERROR(__xludf.DUMMYFUNCTION("""COMPUTED_VALUE"""),"KULURAN RT 004 RW 003 KALITENGAH LAMONGAN")</f>
        <v>KULURAN RT 004 RW 003 KALITENGAH LAMONGAN</v>
      </c>
      <c r="G163" s="49" t="str">
        <f>IFERROR(__xludf.DUMMYFUNCTION("""COMPUTED_VALUE"""),"MTS-9 H")</f>
        <v>MTS-9 H</v>
      </c>
      <c r="H163" s="47" t="str">
        <f>IFERROR(__xludf.DUMMYFUNCTION("""COMPUTED_VALUE"""),"C")</f>
        <v>C</v>
      </c>
      <c r="I163" s="51" t="str">
        <f>IFERROR(__xludf.DUMMYFUNCTION("""COMPUTED_VALUE"""),"C-3")</f>
        <v>C-3</v>
      </c>
      <c r="J163" s="51">
        <f>IFERROR(__xludf.DUMMYFUNCTION("""COMPUTED_VALUE"""),3.0)</f>
        <v>3</v>
      </c>
      <c r="K163" s="51" t="str">
        <f>IFERROR(__xludf.DUMMYFUNCTION("""COMPUTED_VALUE"""),"")</f>
        <v/>
      </c>
      <c r="L163" s="50" t="str">
        <f>IFERROR(__xludf.DUMMYFUNCTION("""COMPUTED_VALUE"""),"6285732998926")</f>
        <v>6285732998926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>
        <f>IFERROR(__xludf.DUMMYFUNCTION("""COMPUTED_VALUE"""),450000.0)</f>
        <v>450000</v>
      </c>
      <c r="AL163" s="53">
        <f>IFERROR(__xludf.DUMMYFUNCTION("""COMPUTED_VALUE"""),450000.0)</f>
        <v>450000</v>
      </c>
      <c r="AM163" s="53">
        <f>IFERROR(__xludf.DUMMYFUNCTION("""COMPUTED_VALUE"""),450000.0)</f>
        <v>450000</v>
      </c>
      <c r="AN163" s="53">
        <f>IFERROR(__xludf.DUMMYFUNCTION("""COMPUTED_VALUE"""),450000.0)</f>
        <v>450000</v>
      </c>
      <c r="AO163" s="53"/>
      <c r="AP163" s="53">
        <f>IFERROR(__xludf.DUMMYFUNCTION("""COMPUTED_VALUE"""),500000.0)</f>
        <v>500000</v>
      </c>
      <c r="AQ163" s="53"/>
      <c r="AR163" s="53"/>
      <c r="AS163" s="54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IFERROR(__xludf.DUMMYFUNCTION("""COMPUTED_VALUE"""),1800000.0)</f>
        <v>1800000</v>
      </c>
      <c r="BD163" s="54">
        <f>IFERROR(__xludf.DUMMYFUNCTION("""COMPUTED_VALUE"""),500000.0)</f>
        <v>500000</v>
      </c>
      <c r="BE163" s="54">
        <f>IFERROR(__xludf.DUMMYFUNCTION("""COMPUTED_VALUE"""),0.0)</f>
        <v>0</v>
      </c>
      <c r="BF163" s="55">
        <f>IFERROR(__xludf.DUMMYFUNCTION("""COMPUTED_VALUE"""),2300000.0)</f>
        <v>2300000</v>
      </c>
      <c r="BG163" s="57"/>
      <c r="BH163" s="57"/>
      <c r="BI163" s="57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</row>
    <row r="164">
      <c r="A164" s="36">
        <f>IFERROR(__xludf.DUMMYFUNCTION("""COMPUTED_VALUE"""),163.0)</f>
        <v>163</v>
      </c>
      <c r="B164" s="37" t="str">
        <f>IFERROR(__xludf.DUMMYFUNCTION("""COMPUTED_VALUE"""),"SELVIA DEWI ASMAUL KHUSNADA")</f>
        <v>SELVIA DEWI ASMAUL KHUSNADA</v>
      </c>
      <c r="C164" s="38">
        <f>IFERROR(__xludf.DUMMYFUNCTION("""COMPUTED_VALUE"""),2.024070511E9)</f>
        <v>2024070511</v>
      </c>
      <c r="D164" s="37" t="str">
        <f>IFERROR(__xludf.DUMMYFUNCTION("""COMPUTED_VALUE"""),"MADUKI")</f>
        <v>MADUKI</v>
      </c>
      <c r="E164" s="37" t="str">
        <f>IFERROR(__xludf.DUMMYFUNCTION("""COMPUTED_VALUE"""),"SUKARSIH")</f>
        <v>SUKARSIH</v>
      </c>
      <c r="F164" s="37" t="str">
        <f>IFERROR(__xludf.DUMMYFUNCTION("""COMPUTED_VALUE"""),"PETIYIN PETIYINTUNGGAL RT 007 RW 003 DUKUN GRESIK")</f>
        <v>PETIYIN PETIYINTUNGGAL RT 007 RW 003 DUKUN GRESIK</v>
      </c>
      <c r="G164" s="56" t="str">
        <f>IFERROR(__xludf.DUMMYFUNCTION("""COMPUTED_VALUE"""),"MTS-9 G")</f>
        <v>MTS-9 G</v>
      </c>
      <c r="H164" s="36" t="str">
        <f>IFERROR(__xludf.DUMMYFUNCTION("""COMPUTED_VALUE"""),"C")</f>
        <v>C</v>
      </c>
      <c r="I164" s="40" t="str">
        <f>IFERROR(__xludf.DUMMYFUNCTION("""COMPUTED_VALUE"""),"C-12")</f>
        <v>C-12</v>
      </c>
      <c r="J164" s="40">
        <f>IFERROR(__xludf.DUMMYFUNCTION("""COMPUTED_VALUE"""),3.0)</f>
        <v>3</v>
      </c>
      <c r="K164" s="40" t="str">
        <f>IFERROR(__xludf.DUMMYFUNCTION("""COMPUTED_VALUE"""),"")</f>
        <v/>
      </c>
      <c r="L164" s="58" t="str">
        <f>IFERROR(__xludf.DUMMYFUNCTION("""COMPUTED_VALUE"""),"6281252102661")</f>
        <v>6281252102661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3"/>
      <c r="AH164" s="43"/>
      <c r="AI164" s="43"/>
      <c r="AJ164" s="43"/>
      <c r="AK164" s="43"/>
      <c r="AL164" s="43">
        <f>IFERROR(__xludf.DUMMYFUNCTION("""COMPUTED_VALUE"""),450000.0)</f>
        <v>450000</v>
      </c>
      <c r="AM164" s="43">
        <f>IFERROR(__xludf.DUMMYFUNCTION("""COMPUTED_VALUE"""),450000.0)</f>
        <v>450000</v>
      </c>
      <c r="AN164" s="43">
        <f>IFERROR(__xludf.DUMMYFUNCTION("""COMPUTED_VALUE"""),450000.0)</f>
        <v>450000</v>
      </c>
      <c r="AO164" s="43"/>
      <c r="AP164" s="42">
        <f>IFERROR(__xludf.DUMMYFUNCTION("""COMPUTED_VALUE"""),500000.0)</f>
        <v>500000</v>
      </c>
      <c r="AQ164" s="43"/>
      <c r="AR164" s="43"/>
      <c r="AS164" s="43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IFERROR(__xludf.DUMMYFUNCTION("""COMPUTED_VALUE"""),1350000.0)</f>
        <v>1350000</v>
      </c>
      <c r="BD164" s="43">
        <f>IFERROR(__xludf.DUMMYFUNCTION("""COMPUTED_VALUE"""),500000.0)</f>
        <v>500000</v>
      </c>
      <c r="BE164" s="43">
        <f>IFERROR(__xludf.DUMMYFUNCTION("""COMPUTED_VALUE"""),0.0)</f>
        <v>0</v>
      </c>
      <c r="BF164" s="44">
        <f>IFERROR(__xludf.DUMMYFUNCTION("""COMPUTED_VALUE"""),1850000.0)</f>
        <v>1850000</v>
      </c>
      <c r="BG164" s="56"/>
      <c r="BH164" s="56"/>
      <c r="BI164" s="5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</row>
    <row r="165">
      <c r="A165" s="47">
        <f>IFERROR(__xludf.DUMMYFUNCTION("""COMPUTED_VALUE"""),164.0)</f>
        <v>164</v>
      </c>
      <c r="B165" s="48" t="str">
        <f>IFERROR(__xludf.DUMMYFUNCTION("""COMPUTED_VALUE"""),"SOFIATUS SYARIFAH")</f>
        <v>SOFIATUS SYARIFAH</v>
      </c>
      <c r="C165" s="49">
        <f>IFERROR(__xludf.DUMMYFUNCTION("""COMPUTED_VALUE"""),2.024070455E9)</f>
        <v>2024070455</v>
      </c>
      <c r="D165" s="48" t="str">
        <f>IFERROR(__xludf.DUMMYFUNCTION("""COMPUTED_VALUE"""),"SULUFUN NAJIB")</f>
        <v>SULUFUN NAJIB</v>
      </c>
      <c r="E165" s="48" t="str">
        <f>IFERROR(__xludf.DUMMYFUNCTION("""COMPUTED_VALUE"""),"SRI AGUSTIN")</f>
        <v>SRI AGUSTIN</v>
      </c>
      <c r="F165" s="48" t="str">
        <f>IFERROR(__xludf.DUMMYFUNCTION("""COMPUTED_VALUE"""),"JL. ROGONOTO V/13 PAGENTAN RT 001 RW 001 SINGOSARI MALANG")</f>
        <v>JL. ROGONOTO V/13 PAGENTAN RT 001 RW 001 SINGOSARI MALANG</v>
      </c>
      <c r="G165" s="50" t="str">
        <f>IFERROR(__xludf.DUMMYFUNCTION("""COMPUTED_VALUE"""),"MTS-9 H")</f>
        <v>MTS-9 H</v>
      </c>
      <c r="H165" s="47" t="str">
        <f>IFERROR(__xludf.DUMMYFUNCTION("""COMPUTED_VALUE"""),"C")</f>
        <v>C</v>
      </c>
      <c r="I165" s="51" t="str">
        <f>IFERROR(__xludf.DUMMYFUNCTION("""COMPUTED_VALUE"""),"C-12")</f>
        <v>C-12</v>
      </c>
      <c r="J165" s="51">
        <f>IFERROR(__xludf.DUMMYFUNCTION("""COMPUTED_VALUE"""),3.0)</f>
        <v>3</v>
      </c>
      <c r="K165" s="51" t="str">
        <f>IFERROR(__xludf.DUMMYFUNCTION("""COMPUTED_VALUE"""),"")</f>
        <v/>
      </c>
      <c r="L165" s="50" t="str">
        <f>IFERROR(__xludf.DUMMYFUNCTION("""COMPUTED_VALUE"""),"6281230986395")</f>
        <v>6281230986395</v>
      </c>
      <c r="M165" s="54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4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4"/>
      <c r="AO165" s="54"/>
      <c r="AP165" s="54">
        <f>IFERROR(__xludf.DUMMYFUNCTION("""COMPUTED_VALUE"""),500000.0)</f>
        <v>500000</v>
      </c>
      <c r="AQ165" s="54"/>
      <c r="AR165" s="54"/>
      <c r="AS165" s="54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IFERROR(__xludf.DUMMYFUNCTION("""COMPUTED_VALUE"""),0.0)</f>
        <v>0</v>
      </c>
      <c r="BD165" s="54">
        <f>IFERROR(__xludf.DUMMYFUNCTION("""COMPUTED_VALUE"""),500000.0)</f>
        <v>500000</v>
      </c>
      <c r="BE165" s="54">
        <f>IFERROR(__xludf.DUMMYFUNCTION("""COMPUTED_VALUE"""),0.0)</f>
        <v>0</v>
      </c>
      <c r="BF165" s="55">
        <f>IFERROR(__xludf.DUMMYFUNCTION("""COMPUTED_VALUE"""),500000.0)</f>
        <v>500000</v>
      </c>
      <c r="BG165" s="57"/>
      <c r="BH165" s="57"/>
      <c r="BI165" s="57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</row>
    <row r="166">
      <c r="A166" s="36">
        <f>IFERROR(__xludf.DUMMYFUNCTION("""COMPUTED_VALUE"""),165.0)</f>
        <v>165</v>
      </c>
      <c r="B166" s="37" t="str">
        <f>IFERROR(__xludf.DUMMYFUNCTION("""COMPUTED_VALUE"""),"SUCI ABELIA IMROATUS SHOLIHA")</f>
        <v>SUCI ABELIA IMROATUS SHOLIHA</v>
      </c>
      <c r="C166" s="38">
        <f>IFERROR(__xludf.DUMMYFUNCTION("""COMPUTED_VALUE"""),2.02407051E9)</f>
        <v>2024070510</v>
      </c>
      <c r="D166" s="37" t="str">
        <f>IFERROR(__xludf.DUMMYFUNCTION("""COMPUTED_VALUE"""),"MATENO")</f>
        <v>MATENO</v>
      </c>
      <c r="E166" s="37" t="str">
        <f>IFERROR(__xludf.DUMMYFUNCTION("""COMPUTED_VALUE"""),"NUR HIDAYATI")</f>
        <v>NUR HIDAYATI</v>
      </c>
      <c r="F166" s="37" t="str">
        <f>IFERROR(__xludf.DUMMYFUNCTION("""COMPUTED_VALUE"""),"JETIS PETIYINTUNGGAL RT 006 RW 002 DUKUN GRESIK")</f>
        <v>JETIS PETIYINTUNGGAL RT 006 RW 002 DUKUN GRESIK</v>
      </c>
      <c r="G166" s="39" t="str">
        <f>IFERROR(__xludf.DUMMYFUNCTION("""COMPUTED_VALUE"""),"MTS-9 D")</f>
        <v>MTS-9 D</v>
      </c>
      <c r="H166" s="36" t="str">
        <f>IFERROR(__xludf.DUMMYFUNCTION("""COMPUTED_VALUE"""),"C")</f>
        <v>C</v>
      </c>
      <c r="I166" s="40" t="str">
        <f>IFERROR(__xludf.DUMMYFUNCTION("""COMPUTED_VALUE"""),"C-12")</f>
        <v>C-12</v>
      </c>
      <c r="J166" s="40">
        <f>IFERROR(__xludf.DUMMYFUNCTION("""COMPUTED_VALUE"""),3.0)</f>
        <v>3</v>
      </c>
      <c r="K166" s="40" t="str">
        <f>IFERROR(__xludf.DUMMYFUNCTION("""COMPUTED_VALUE"""),"")</f>
        <v/>
      </c>
      <c r="L166" s="39" t="str">
        <f>IFERROR(__xludf.DUMMYFUNCTION("""COMPUTED_VALUE"""),"6285852427521")</f>
        <v>6285852427521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>
        <f>IFERROR(__xludf.DUMMYFUNCTION("""COMPUTED_VALUE"""),500000.0)</f>
        <v>500000</v>
      </c>
      <c r="AQ166" s="42"/>
      <c r="AR166" s="42"/>
      <c r="AS166" s="43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56"/>
      <c r="BH166" s="56"/>
      <c r="BI166" s="5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</row>
    <row r="167">
      <c r="A167" s="47">
        <f>IFERROR(__xludf.DUMMYFUNCTION("""COMPUTED_VALUE"""),166.0)</f>
        <v>166</v>
      </c>
      <c r="B167" s="48" t="str">
        <f>IFERROR(__xludf.DUMMYFUNCTION("""COMPUTED_VALUE"""),"TEVY MAULIDAH AMIN")</f>
        <v>TEVY MAULIDAH AMIN</v>
      </c>
      <c r="C167" s="49">
        <f>IFERROR(__xludf.DUMMYFUNCTION("""COMPUTED_VALUE"""),2.024070607E9)</f>
        <v>2024070607</v>
      </c>
      <c r="D167" s="48" t="str">
        <f>IFERROR(__xludf.DUMMYFUNCTION("""COMPUTED_VALUE"""),"M. ZUHDI AMIN")</f>
        <v>M. ZUHDI AMIN</v>
      </c>
      <c r="E167" s="48" t="str">
        <f>IFERROR(__xludf.DUMMYFUNCTION("""COMPUTED_VALUE"""),"ASMAUL HUSNA")</f>
        <v>ASMAUL HUSNA</v>
      </c>
      <c r="F167" s="48" t="str">
        <f>IFERROR(__xludf.DUMMYFUNCTION("""COMPUTED_VALUE"""),"PUCANGRO RT 002 RW 001 KALITENGAH LAMONGAN")</f>
        <v>PUCANGRO RT 002 RW 001 KALITENGAH LAMONGAN</v>
      </c>
      <c r="G167" s="50" t="str">
        <f>IFERROR(__xludf.DUMMYFUNCTION("""COMPUTED_VALUE"""),"MTS-9 B")</f>
        <v>MTS-9 B</v>
      </c>
      <c r="H167" s="47" t="str">
        <f>IFERROR(__xludf.DUMMYFUNCTION("""COMPUTED_VALUE"""),"C")</f>
        <v>C</v>
      </c>
      <c r="I167" s="51" t="str">
        <f>IFERROR(__xludf.DUMMYFUNCTION("""COMPUTED_VALUE"""),"C-12")</f>
        <v>C-12</v>
      </c>
      <c r="J167" s="51">
        <f>IFERROR(__xludf.DUMMYFUNCTION("""COMPUTED_VALUE"""),3.0)</f>
        <v>3</v>
      </c>
      <c r="K167" s="51" t="str">
        <f>IFERROR(__xludf.DUMMYFUNCTION("""COMPUTED_VALUE"""),"3 ULA A PUTRI")</f>
        <v>3 ULA A PUTRI</v>
      </c>
      <c r="L167" s="50" t="str">
        <f>IFERROR(__xludf.DUMMYFUNCTION("""COMPUTED_VALUE"""),"6285731140388")</f>
        <v>6285731140388</v>
      </c>
      <c r="M167" s="54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4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>
        <f>IFERROR(__xludf.DUMMYFUNCTION("""COMPUTED_VALUE"""),450000.0)</f>
        <v>450000</v>
      </c>
      <c r="AO167" s="54"/>
      <c r="AP167" s="54"/>
      <c r="AQ167" s="53"/>
      <c r="AR167" s="54"/>
      <c r="AS167" s="54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IFERROR(__xludf.DUMMYFUNCTION("""COMPUTED_VALUE"""),450000.0)</f>
        <v>450000</v>
      </c>
      <c r="BD167" s="54">
        <f>IFERROR(__xludf.DUMMYFUNCTION("""COMPUTED_VALUE"""),0.0)</f>
        <v>0</v>
      </c>
      <c r="BE167" s="54">
        <f>IFERROR(__xludf.DUMMYFUNCTION("""COMPUTED_VALUE"""),0.0)</f>
        <v>0</v>
      </c>
      <c r="BF167" s="55">
        <f>IFERROR(__xludf.DUMMYFUNCTION("""COMPUTED_VALUE"""),450000.0)</f>
        <v>450000</v>
      </c>
      <c r="BG167" s="57"/>
      <c r="BH167" s="57"/>
      <c r="BI167" s="57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</row>
    <row r="168">
      <c r="A168" s="36">
        <f>IFERROR(__xludf.DUMMYFUNCTION("""COMPUTED_VALUE"""),167.0)</f>
        <v>167</v>
      </c>
      <c r="B168" s="37" t="str">
        <f>IFERROR(__xludf.DUMMYFUNCTION("""COMPUTED_VALUE"""),"VANIA WANGSA SYAH ADAM")</f>
        <v>VANIA WANGSA SYAH ADAM</v>
      </c>
      <c r="C168" s="38">
        <f>IFERROR(__xludf.DUMMYFUNCTION("""COMPUTED_VALUE"""),2.025020002E9)</f>
        <v>2025020002</v>
      </c>
      <c r="D168" s="37" t="str">
        <f>IFERROR(__xludf.DUMMYFUNCTION("""COMPUTED_VALUE"""),"MUNIR EFENDI")</f>
        <v>MUNIR EFENDI</v>
      </c>
      <c r="E168" s="37" t="str">
        <f>IFERROR(__xludf.DUMMYFUNCTION("""COMPUTED_VALUE"""),"SITI MASITOH AGUSTIANA")</f>
        <v>SITI MASITOH AGUSTIANA</v>
      </c>
      <c r="F168" s="37" t="str">
        <f>IFERROR(__xludf.DUMMYFUNCTION("""COMPUTED_VALUE"""),"SUKOBENDU MANTUP LAMONGAN")</f>
        <v>SUKOBENDU MANTUP LAMONGAN</v>
      </c>
      <c r="G168" s="38" t="str">
        <f>IFERROR(__xludf.DUMMYFUNCTION("""COMPUTED_VALUE"""),"MTS-9 G")</f>
        <v>MTS-9 G</v>
      </c>
      <c r="H168" s="36" t="str">
        <f>IFERROR(__xludf.DUMMYFUNCTION("""COMPUTED_VALUE"""),"C")</f>
        <v>C</v>
      </c>
      <c r="I168" s="42" t="str">
        <f>IFERROR(__xludf.DUMMYFUNCTION("""COMPUTED_VALUE"""),"C-12")</f>
        <v>C-12</v>
      </c>
      <c r="J168" s="40">
        <f>IFERROR(__xludf.DUMMYFUNCTION("""COMPUTED_VALUE"""),3.0)</f>
        <v>3</v>
      </c>
      <c r="K168" s="40" t="str">
        <f>IFERROR(__xludf.DUMMYFUNCTION("""COMPUTED_VALUE"""),"")</f>
        <v/>
      </c>
      <c r="L168" s="39" t="str">
        <f>IFERROR(__xludf.DUMMYFUNCTION("""COMPUTED_VALUE"""),"6281216110229")</f>
        <v>6281216110229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>
        <f>IFERROR(__xludf.DUMMYFUNCTION("""COMPUTED_VALUE"""),450000.0)</f>
        <v>450000</v>
      </c>
      <c r="AO168" s="42"/>
      <c r="AP168" s="43">
        <f>IFERROR(__xludf.DUMMYFUNCTION("""COMPUTED_VALUE"""),500000.0)</f>
        <v>500000</v>
      </c>
      <c r="AQ168" s="42"/>
      <c r="AR168" s="42"/>
      <c r="AS168" s="43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IFERROR(__xludf.DUMMYFUNCTION("""COMPUTED_VALUE"""),450000.0)</f>
        <v>450000</v>
      </c>
      <c r="BD168" s="43">
        <f>IFERROR(__xludf.DUMMYFUNCTION("""COMPUTED_VALUE"""),500000.0)</f>
        <v>500000</v>
      </c>
      <c r="BE168" s="43">
        <f>IFERROR(__xludf.DUMMYFUNCTION("""COMPUTED_VALUE"""),0.0)</f>
        <v>0</v>
      </c>
      <c r="BF168" s="44">
        <f>IFERROR(__xludf.DUMMYFUNCTION("""COMPUTED_VALUE"""),950000.0)</f>
        <v>950000</v>
      </c>
      <c r="BG168" s="56"/>
      <c r="BH168" s="56"/>
      <c r="BI168" s="5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</row>
    <row r="169">
      <c r="A169" s="47">
        <f>IFERROR(__xludf.DUMMYFUNCTION("""COMPUTED_VALUE"""),168.0)</f>
        <v>168</v>
      </c>
      <c r="B169" s="48" t="str">
        <f>IFERROR(__xludf.DUMMYFUNCTION("""COMPUTED_VALUE"""),"WAHYUNI SUCI RAHMADANI")</f>
        <v>WAHYUNI SUCI RAHMADANI</v>
      </c>
      <c r="C169" s="49">
        <f>IFERROR(__xludf.DUMMYFUNCTION("""COMPUTED_VALUE"""),2.024070731E9)</f>
        <v>2024070731</v>
      </c>
      <c r="D169" s="48" t="str">
        <f>IFERROR(__xludf.DUMMYFUNCTION("""COMPUTED_VALUE"""),"SURATMAN")</f>
        <v>SURATMAN</v>
      </c>
      <c r="E169" s="48" t="str">
        <f>IFERROR(__xludf.DUMMYFUNCTION("""COMPUTED_VALUE"""),"MARIA ULFA")</f>
        <v>MARIA ULFA</v>
      </c>
      <c r="F169" s="48" t="str">
        <f>IFERROR(__xludf.DUMMYFUNCTION("""COMPUTED_VALUE"""),"KEDIREN RT 001 RW 002 KALITENGAH LAMONGAN")</f>
        <v>KEDIREN RT 001 RW 002 KALITENGAH LAMONGAN</v>
      </c>
      <c r="G169" s="49" t="str">
        <f>IFERROR(__xludf.DUMMYFUNCTION("""COMPUTED_VALUE"""),"SMP-IX C")</f>
        <v>SMP-IX C</v>
      </c>
      <c r="H169" s="47" t="str">
        <f>IFERROR(__xludf.DUMMYFUNCTION("""COMPUTED_VALUE"""),"C")</f>
        <v>C</v>
      </c>
      <c r="I169" s="53" t="str">
        <f>IFERROR(__xludf.DUMMYFUNCTION("""COMPUTED_VALUE"""),"C-3")</f>
        <v>C-3</v>
      </c>
      <c r="J169" s="51">
        <f>IFERROR(__xludf.DUMMYFUNCTION("""COMPUTED_VALUE"""),3.0)</f>
        <v>3</v>
      </c>
      <c r="K169" s="51" t="str">
        <f>IFERROR(__xludf.DUMMYFUNCTION("""COMPUTED_VALUE"""),"")</f>
        <v/>
      </c>
      <c r="L169" s="50" t="str">
        <f>IFERROR(__xludf.DUMMYFUNCTION("""COMPUTED_VALUE"""),"6281527879085")</f>
        <v>6281527879085</v>
      </c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>
        <f>IFERROR(__xludf.DUMMYFUNCTION("""COMPUTED_VALUE"""),450000.0)</f>
        <v>450000</v>
      </c>
      <c r="AO169" s="53"/>
      <c r="AP169" s="54"/>
      <c r="AQ169" s="53"/>
      <c r="AR169" s="53"/>
      <c r="AS169" s="54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IFERROR(__xludf.DUMMYFUNCTION("""COMPUTED_VALUE"""),450000.0)</f>
        <v>450000</v>
      </c>
      <c r="BD169" s="54">
        <f>IFERROR(__xludf.DUMMYFUNCTION("""COMPUTED_VALUE"""),0.0)</f>
        <v>0</v>
      </c>
      <c r="BE169" s="54">
        <f>IFERROR(__xludf.DUMMYFUNCTION("""COMPUTED_VALUE"""),0.0)</f>
        <v>0</v>
      </c>
      <c r="BF169" s="55">
        <f>IFERROR(__xludf.DUMMYFUNCTION("""COMPUTED_VALUE"""),450000.0)</f>
        <v>450000</v>
      </c>
      <c r="BG169" s="57"/>
      <c r="BH169" s="57"/>
      <c r="BI169" s="57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</row>
    <row r="170">
      <c r="A170" s="36">
        <f>IFERROR(__xludf.DUMMYFUNCTION("""COMPUTED_VALUE"""),169.0)</f>
        <v>169</v>
      </c>
      <c r="B170" s="37" t="str">
        <f>IFERROR(__xludf.DUMMYFUNCTION("""COMPUTED_VALUE"""),"ZAHRA RISKI ALFIANA")</f>
        <v>ZAHRA RISKI ALFIANA</v>
      </c>
      <c r="C170" s="38">
        <f>IFERROR(__xludf.DUMMYFUNCTION("""COMPUTED_VALUE"""),2.024070733E9)</f>
        <v>2024070733</v>
      </c>
      <c r="D170" s="37" t="str">
        <f>IFERROR(__xludf.DUMMYFUNCTION("""COMPUTED_VALUE"""),"MUNIF SUSANTO")</f>
        <v>MUNIF SUSANTO</v>
      </c>
      <c r="E170" s="37" t="str">
        <f>IFERROR(__xludf.DUMMYFUNCTION("""COMPUTED_VALUE"""),"YULIANI")</f>
        <v>YULIANI</v>
      </c>
      <c r="F170" s="37" t="str">
        <f>IFERROR(__xludf.DUMMYFUNCTION("""COMPUTED_VALUE"""),"SUMBERARUM RT 027 RW 009 DANDER BOJONEGORO")</f>
        <v>SUMBERARUM RT 027 RW 009 DANDER BOJONEGORO</v>
      </c>
      <c r="G170" s="38" t="str">
        <f>IFERROR(__xludf.DUMMYFUNCTION("""COMPUTED_VALUE"""),"SMP-IX C")</f>
        <v>SMP-IX C</v>
      </c>
      <c r="H170" s="36" t="str">
        <f>IFERROR(__xludf.DUMMYFUNCTION("""COMPUTED_VALUE"""),"C")</f>
        <v>C</v>
      </c>
      <c r="I170" s="40" t="str">
        <f>IFERROR(__xludf.DUMMYFUNCTION("""COMPUTED_VALUE"""),"C-3")</f>
        <v>C-3</v>
      </c>
      <c r="J170" s="40">
        <f>IFERROR(__xludf.DUMMYFUNCTION("""COMPUTED_VALUE"""),3.0)</f>
        <v>3</v>
      </c>
      <c r="K170" s="40" t="str">
        <f>IFERROR(__xludf.DUMMYFUNCTION("""COMPUTED_VALUE"""),"3 ULA B PUTRI")</f>
        <v>3 ULA B PUTRI</v>
      </c>
      <c r="L170" s="39" t="str">
        <f>IFERROR(__xludf.DUMMYFUNCTION("""COMPUTED_VALUE"""),"6285604387587")</f>
        <v>6285604387587</v>
      </c>
      <c r="M170" s="43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3"/>
      <c r="AC170" s="42"/>
      <c r="AD170" s="42"/>
      <c r="AE170" s="42"/>
      <c r="AF170" s="42"/>
      <c r="AG170" s="42"/>
      <c r="AH170" s="43"/>
      <c r="AI170" s="43"/>
      <c r="AJ170" s="43"/>
      <c r="AK170" s="43"/>
      <c r="AL170" s="43"/>
      <c r="AM170" s="43">
        <f>IFERROR(__xludf.DUMMYFUNCTION("""COMPUTED_VALUE"""),450000.0)</f>
        <v>450000</v>
      </c>
      <c r="AN170" s="43">
        <f>IFERROR(__xludf.DUMMYFUNCTION("""COMPUTED_VALUE"""),450000.0)</f>
        <v>450000</v>
      </c>
      <c r="AO170" s="43"/>
      <c r="AP170" s="43"/>
      <c r="AQ170" s="43"/>
      <c r="AR170" s="43"/>
      <c r="AS170" s="43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IFERROR(__xludf.DUMMYFUNCTION("""COMPUTED_VALUE"""),900000.0)</f>
        <v>900000</v>
      </c>
      <c r="BD170" s="43">
        <f>IFERROR(__xludf.DUMMYFUNCTION("""COMPUTED_VALUE"""),0.0)</f>
        <v>0</v>
      </c>
      <c r="BE170" s="43">
        <f>IFERROR(__xludf.DUMMYFUNCTION("""COMPUTED_VALUE"""),0.0)</f>
        <v>0</v>
      </c>
      <c r="BF170" s="44">
        <f>IFERROR(__xludf.DUMMYFUNCTION("""COMPUTED_VALUE"""),900000.0)</f>
        <v>900000</v>
      </c>
      <c r="BG170" s="56"/>
      <c r="BH170" s="56"/>
      <c r="BI170" s="5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</row>
    <row r="171">
      <c r="A171" s="47">
        <f>IFERROR(__xludf.DUMMYFUNCTION("""COMPUTED_VALUE"""),170.0)</f>
        <v>170</v>
      </c>
      <c r="B171" s="48" t="str">
        <f>IFERROR(__xludf.DUMMYFUNCTION("""COMPUTED_VALUE"""),"ZAHROTUS SYIFA FAIHATUL MAGHFIROH")</f>
        <v>ZAHROTUS SYIFA FAIHATUL MAGHFIROH</v>
      </c>
      <c r="C171" s="49">
        <f>IFERROR(__xludf.DUMMYFUNCTION("""COMPUTED_VALUE"""),2.024070625E9)</f>
        <v>2024070625</v>
      </c>
      <c r="D171" s="48" t="str">
        <f>IFERROR(__xludf.DUMMYFUNCTION("""COMPUTED_VALUE"""),"SURATMAN")</f>
        <v>SURATMAN</v>
      </c>
      <c r="E171" s="48" t="str">
        <f>IFERROR(__xludf.DUMMYFUNCTION("""COMPUTED_VALUE"""),"SITI KHOLIFAH")</f>
        <v>SITI KHOLIFAH</v>
      </c>
      <c r="F171" s="48" t="str">
        <f>IFERROR(__xludf.DUMMYFUNCTION("""COMPUTED_VALUE"""),"BADU BADURAME RT 001 RW 004 TURI LAMONGAN")</f>
        <v>BADU BADURAME RT 001 RW 004 TURI LAMONGAN</v>
      </c>
      <c r="G171" s="49" t="str">
        <f>IFERROR(__xludf.DUMMYFUNCTION("""COMPUTED_VALUE"""),"MTS-9 B")</f>
        <v>MTS-9 B</v>
      </c>
      <c r="H171" s="47" t="str">
        <f>IFERROR(__xludf.DUMMYFUNCTION("""COMPUTED_VALUE"""),"C")</f>
        <v>C</v>
      </c>
      <c r="I171" s="53" t="str">
        <f>IFERROR(__xludf.DUMMYFUNCTION("""COMPUTED_VALUE"""),"C-12")</f>
        <v>C-12</v>
      </c>
      <c r="J171" s="51">
        <f>IFERROR(__xludf.DUMMYFUNCTION("""COMPUTED_VALUE"""),3.0)</f>
        <v>3</v>
      </c>
      <c r="K171" s="51" t="str">
        <f>IFERROR(__xludf.DUMMYFUNCTION("""COMPUTED_VALUE"""),"")</f>
        <v/>
      </c>
      <c r="L171" s="50" t="str">
        <f>IFERROR(__xludf.DUMMYFUNCTION("""COMPUTED_VALUE"""),"628585527679")</f>
        <v>628585527679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>
        <f>IFERROR(__xludf.DUMMYFUNCTION("""COMPUTED_VALUE"""),500000.0)</f>
        <v>500000</v>
      </c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>
        <f>IFERROR(__xludf.DUMMYFUNCTION("""COMPUTED_VALUE"""),450000.0)</f>
        <v>450000</v>
      </c>
      <c r="AN171" s="53">
        <f>IFERROR(__xludf.DUMMYFUNCTION("""COMPUTED_VALUE"""),450000.0)</f>
        <v>450000</v>
      </c>
      <c r="AO171" s="53"/>
      <c r="AP171" s="54">
        <f>IFERROR(__xludf.DUMMYFUNCTION("""COMPUTED_VALUE"""),500000.0)</f>
        <v>500000</v>
      </c>
      <c r="AQ171" s="53"/>
      <c r="AR171" s="54"/>
      <c r="AS171" s="54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IFERROR(__xludf.DUMMYFUNCTION("""COMPUTED_VALUE"""),900000.0)</f>
        <v>900000</v>
      </c>
      <c r="BD171" s="54">
        <f>IFERROR(__xludf.DUMMYFUNCTION("""COMPUTED_VALUE"""),1000000.0)</f>
        <v>1000000</v>
      </c>
      <c r="BE171" s="54">
        <f>IFERROR(__xludf.DUMMYFUNCTION("""COMPUTED_VALUE"""),0.0)</f>
        <v>0</v>
      </c>
      <c r="BF171" s="55">
        <f>IFERROR(__xludf.DUMMYFUNCTION("""COMPUTED_VALUE"""),1900000.0)</f>
        <v>1900000</v>
      </c>
      <c r="BG171" s="57"/>
      <c r="BH171" s="57"/>
      <c r="BI171" s="57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</row>
    <row r="172">
      <c r="A172" s="36">
        <f>IFERROR(__xludf.DUMMYFUNCTION("""COMPUTED_VALUE"""),171.0)</f>
        <v>171</v>
      </c>
      <c r="B172" s="37" t="str">
        <f>IFERROR(__xludf.DUMMYFUNCTION("""COMPUTED_VALUE"""),"ZIYADAH WAHYU NINGSIH")</f>
        <v>ZIYADAH WAHYU NINGSIH</v>
      </c>
      <c r="C172" s="38">
        <f>IFERROR(__xludf.DUMMYFUNCTION("""COMPUTED_VALUE"""),2.024070484E9)</f>
        <v>2024070484</v>
      </c>
      <c r="D172" s="37" t="str">
        <f>IFERROR(__xludf.DUMMYFUNCTION("""COMPUTED_VALUE"""),"ICHYAUL CHOIRI")</f>
        <v>ICHYAUL CHOIRI</v>
      </c>
      <c r="E172" s="37" t="str">
        <f>IFERROR(__xludf.DUMMYFUNCTION("""COMPUTED_VALUE"""),"LATHIFAH")</f>
        <v>LATHIFAH</v>
      </c>
      <c r="F172" s="37" t="str">
        <f>IFERROR(__xludf.DUMMYFUNCTION("""COMPUTED_VALUE"""),"KALIREJO RT 006 RW 004 DUKUN GRESIK")</f>
        <v>KALIREJO RT 006 RW 004 DUKUN GRESIK</v>
      </c>
      <c r="G172" s="38" t="str">
        <f>IFERROR(__xludf.DUMMYFUNCTION("""COMPUTED_VALUE"""),"MTS-9 G")</f>
        <v>MTS-9 G</v>
      </c>
      <c r="H172" s="36" t="str">
        <f>IFERROR(__xludf.DUMMYFUNCTION("""COMPUTED_VALUE"""),"C")</f>
        <v>C</v>
      </c>
      <c r="I172" s="42" t="str">
        <f>IFERROR(__xludf.DUMMYFUNCTION("""COMPUTED_VALUE"""),"C-3")</f>
        <v>C-3</v>
      </c>
      <c r="J172" s="40">
        <f>IFERROR(__xludf.DUMMYFUNCTION("""COMPUTED_VALUE"""),3.0)</f>
        <v>3</v>
      </c>
      <c r="K172" s="40" t="str">
        <f>IFERROR(__xludf.DUMMYFUNCTION("""COMPUTED_VALUE"""),"3 ULA B PUTRI")</f>
        <v>3 ULA B PUTRI</v>
      </c>
      <c r="L172" s="39" t="str">
        <f>IFERROR(__xludf.DUMMYFUNCTION("""COMPUTED_VALUE"""),"628564090893")</f>
        <v>628564090893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3"/>
      <c r="AS172" s="43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IFERROR(__xludf.DUMMYFUNCTION("""COMPUTED_VALUE"""),0.0)</f>
        <v>0</v>
      </c>
      <c r="BE172" s="43">
        <f>IFERROR(__xludf.DUMMYFUNCTION("""COMPUTED_VALUE"""),0.0)</f>
        <v>0</v>
      </c>
      <c r="BF172" s="44">
        <f>IFERROR(__xludf.DUMMYFUNCTION("""COMPUTED_VALUE"""),0.0)</f>
        <v>0</v>
      </c>
      <c r="BG172" s="56"/>
      <c r="BH172" s="56"/>
      <c r="BI172" s="5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</row>
    <row r="173">
      <c r="A173" s="47">
        <f>IFERROR(__xludf.DUMMYFUNCTION("""COMPUTED_VALUE"""),172.0)</f>
        <v>172</v>
      </c>
      <c r="B173" s="48" t="str">
        <f>IFERROR(__xludf.DUMMYFUNCTION("""COMPUTED_VALUE"""),"ABIDAH OKTA SALSABILA")</f>
        <v>ABIDAH OKTA SALSABILA</v>
      </c>
      <c r="C173" s="49">
        <f>IFERROR(__xludf.DUMMYFUNCTION("""COMPUTED_VALUE"""),2.024070146E9)</f>
        <v>2024070146</v>
      </c>
      <c r="D173" s="48" t="str">
        <f>IFERROR(__xludf.DUMMYFUNCTION("""COMPUTED_VALUE"""),"ACH. SYAICHUDIN")</f>
        <v>ACH. SYAICHUDIN</v>
      </c>
      <c r="E173" s="48" t="str">
        <f>IFERROR(__xludf.DUMMYFUNCTION("""COMPUTED_VALUE"""),"CICIK LUTFIANAH")</f>
        <v>CICIK LUTFIANAH</v>
      </c>
      <c r="F173" s="48" t="str">
        <f>IFERROR(__xludf.DUMMYFUNCTION("""COMPUTED_VALUE"""),"RANDEKAN RT 001 RW 001 KEMBANGBAHU LAMONGAN")</f>
        <v>RANDEKAN RT 001 RW 001 KEMBANGBAHU LAMONGAN</v>
      </c>
      <c r="G173" s="49" t="str">
        <f>IFERROR(__xludf.DUMMYFUNCTION("""COMPUTED_VALUE"""),"MA-XII.5")</f>
        <v>MA-XII.5</v>
      </c>
      <c r="H173" s="47" t="str">
        <f>IFERROR(__xludf.DUMMYFUNCTION("""COMPUTED_VALUE"""),"C")</f>
        <v>C</v>
      </c>
      <c r="I173" s="53" t="str">
        <f>IFERROR(__xludf.DUMMYFUNCTION("""COMPUTED_VALUE"""),"C-9")</f>
        <v>C-9</v>
      </c>
      <c r="J173" s="51">
        <f>IFERROR(__xludf.DUMMYFUNCTION("""COMPUTED_VALUE"""),3.0)</f>
        <v>3</v>
      </c>
      <c r="K173" s="51" t="str">
        <f>IFERROR(__xludf.DUMMYFUNCTION("""COMPUTED_VALUE"""),"3 WUSTHO B PUTRI")</f>
        <v>3 WUSTHO B PUTRI</v>
      </c>
      <c r="L173" s="50" t="str">
        <f>IFERROR(__xludf.DUMMYFUNCTION("""COMPUTED_VALUE"""),"6285649525237")</f>
        <v>6285649525237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>
        <f>IFERROR(__xludf.DUMMYFUNCTION("""COMPUTED_VALUE"""),450000.0)</f>
        <v>450000</v>
      </c>
      <c r="AO173" s="53"/>
      <c r="AP173" s="53"/>
      <c r="AQ173" s="53"/>
      <c r="AR173" s="53"/>
      <c r="AS173" s="54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IFERROR(__xludf.DUMMYFUNCTION("""COMPUTED_VALUE"""),450000.0)</f>
        <v>450000</v>
      </c>
      <c r="BD173" s="54">
        <f>IFERROR(__xludf.DUMMYFUNCTION("""COMPUTED_VALUE"""),0.0)</f>
        <v>0</v>
      </c>
      <c r="BE173" s="54">
        <f>IFERROR(__xludf.DUMMYFUNCTION("""COMPUTED_VALUE"""),0.0)</f>
        <v>0</v>
      </c>
      <c r="BF173" s="55">
        <f>IFERROR(__xludf.DUMMYFUNCTION("""COMPUTED_VALUE"""),450000.0)</f>
        <v>450000</v>
      </c>
      <c r="BG173" s="57"/>
      <c r="BH173" s="57"/>
      <c r="BI173" s="57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</row>
    <row r="174">
      <c r="A174" s="36">
        <f>IFERROR(__xludf.DUMMYFUNCTION("""COMPUTED_VALUE"""),173.0)</f>
        <v>173</v>
      </c>
      <c r="B174" s="37" t="str">
        <f>IFERROR(__xludf.DUMMYFUNCTION("""COMPUTED_VALUE"""),"AFINA AGUSTIN ROMADHONI")</f>
        <v>AFINA AGUSTIN ROMADHONI</v>
      </c>
      <c r="C174" s="38">
        <f>IFERROR(__xludf.DUMMYFUNCTION("""COMPUTED_VALUE"""),2.024070561E9)</f>
        <v>2024070561</v>
      </c>
      <c r="D174" s="37" t="str">
        <f>IFERROR(__xludf.DUMMYFUNCTION("""COMPUTED_VALUE"""),"PONO")</f>
        <v>PONO</v>
      </c>
      <c r="E174" s="37" t="str">
        <f>IFERROR(__xludf.DUMMYFUNCTION("""COMPUTED_VALUE"""),"MAZROATUN")</f>
        <v>MAZROATUN</v>
      </c>
      <c r="F174" s="37" t="str">
        <f>IFERROR(__xludf.DUMMYFUNCTION("""COMPUTED_VALUE"""),"KEBEN RT 004 RW 002 TURI LAMONGAN")</f>
        <v>KEBEN RT 004 RW 002 TURI LAMONGAN</v>
      </c>
      <c r="G174" s="38" t="str">
        <f>IFERROR(__xludf.DUMMYFUNCTION("""COMPUTED_VALUE"""),"MTS-9 G")</f>
        <v>MTS-9 G</v>
      </c>
      <c r="H174" s="36" t="str">
        <f>IFERROR(__xludf.DUMMYFUNCTION("""COMPUTED_VALUE"""),"C")</f>
        <v>C</v>
      </c>
      <c r="I174" s="42" t="str">
        <f>IFERROR(__xludf.DUMMYFUNCTION("""COMPUTED_VALUE"""),"C-13")</f>
        <v>C-13</v>
      </c>
      <c r="J174" s="40">
        <f>IFERROR(__xludf.DUMMYFUNCTION("""COMPUTED_VALUE"""),3.0)</f>
        <v>3</v>
      </c>
      <c r="K174" s="40" t="str">
        <f>IFERROR(__xludf.DUMMYFUNCTION("""COMPUTED_VALUE"""),"")</f>
        <v/>
      </c>
      <c r="L174" s="39" t="str">
        <f>IFERROR(__xludf.DUMMYFUNCTION("""COMPUTED_VALUE"""),"6285748099065")</f>
        <v>6285748099065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3"/>
      <c r="AS174" s="43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IFERROR(__xludf.DUMMYFUNCTION("""COMPUTED_VALUE"""),0.0)</f>
        <v>0</v>
      </c>
      <c r="BE174" s="43">
        <f>IFERROR(__xludf.DUMMYFUNCTION("""COMPUTED_VALUE"""),0.0)</f>
        <v>0</v>
      </c>
      <c r="BF174" s="44">
        <f>IFERROR(__xludf.DUMMYFUNCTION("""COMPUTED_VALUE"""),0.0)</f>
        <v>0</v>
      </c>
      <c r="BG174" s="56"/>
      <c r="BH174" s="56"/>
      <c r="BI174" s="5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</row>
    <row r="175">
      <c r="A175" s="47">
        <f>IFERROR(__xludf.DUMMYFUNCTION("""COMPUTED_VALUE"""),174.0)</f>
        <v>174</v>
      </c>
      <c r="B175" s="48" t="str">
        <f>IFERROR(__xludf.DUMMYFUNCTION("""COMPUTED_VALUE"""),"AHDA KAISYA BADAATIL MUFIDAH")</f>
        <v>AHDA KAISYA BADAATIL MUFIDAH</v>
      </c>
      <c r="C175" s="49">
        <f>IFERROR(__xludf.DUMMYFUNCTION("""COMPUTED_VALUE"""),2.024070322E9)</f>
        <v>2024070322</v>
      </c>
      <c r="D175" s="48" t="str">
        <f>IFERROR(__xludf.DUMMYFUNCTION("""COMPUTED_VALUE"""),"IMAM AS`ARI")</f>
        <v>IMAM AS`ARI</v>
      </c>
      <c r="E175" s="48" t="str">
        <f>IFERROR(__xludf.DUMMYFUNCTION("""COMPUTED_VALUE"""),"INAYATUL KARIMAH")</f>
        <v>INAYATUL KARIMAH</v>
      </c>
      <c r="F175" s="48" t="str">
        <f>IFERROR(__xludf.DUMMYFUNCTION("""COMPUTED_VALUE"""),"KEBET RT 008 RW 002 LAMONGAN LAMONGAN")</f>
        <v>KEBET RT 008 RW 002 LAMONGAN LAMONGAN</v>
      </c>
      <c r="G175" s="49" t="str">
        <f>IFERROR(__xludf.DUMMYFUNCTION("""COMPUTED_VALUE"""),"MA-XII.10")</f>
        <v>MA-XII.10</v>
      </c>
      <c r="H175" s="47" t="str">
        <f>IFERROR(__xludf.DUMMYFUNCTION("""COMPUTED_VALUE"""),"C")</f>
        <v>C</v>
      </c>
      <c r="I175" s="53" t="str">
        <f>IFERROR(__xludf.DUMMYFUNCTION("""COMPUTED_VALUE"""),"C-9")</f>
        <v>C-9</v>
      </c>
      <c r="J175" s="51">
        <f>IFERROR(__xludf.DUMMYFUNCTION("""COMPUTED_VALUE"""),3.0)</f>
        <v>3</v>
      </c>
      <c r="K175" s="51" t="str">
        <f>IFERROR(__xludf.DUMMYFUNCTION("""COMPUTED_VALUE"""),"")</f>
        <v/>
      </c>
      <c r="L175" s="50" t="str">
        <f>IFERROR(__xludf.DUMMYFUNCTION("""COMPUTED_VALUE"""),"6285895759423")</f>
        <v>6285895759423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4"/>
      <c r="AR175" s="54"/>
      <c r="AS175" s="54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IFERROR(__xludf.DUMMYFUNCTION("""COMPUTED_VALUE"""),0.0)</f>
        <v>0</v>
      </c>
      <c r="BE175" s="54">
        <f>IFERROR(__xludf.DUMMYFUNCTION("""COMPUTED_VALUE"""),0.0)</f>
        <v>0</v>
      </c>
      <c r="BF175" s="55">
        <f>IFERROR(__xludf.DUMMYFUNCTION("""COMPUTED_VALUE"""),0.0)</f>
        <v>0</v>
      </c>
      <c r="BG175" s="57"/>
      <c r="BH175" s="57"/>
      <c r="BI175" s="57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</row>
    <row r="176">
      <c r="A176" s="36">
        <f>IFERROR(__xludf.DUMMYFUNCTION("""COMPUTED_VALUE"""),175.0)</f>
        <v>175</v>
      </c>
      <c r="B176" s="37" t="str">
        <f>IFERROR(__xludf.DUMMYFUNCTION("""COMPUTED_VALUE"""),"AININ QORIROH UMMU SALWA")</f>
        <v>AININ QORIROH UMMU SALWA</v>
      </c>
      <c r="C176" s="38">
        <f>IFERROR(__xludf.DUMMYFUNCTION("""COMPUTED_VALUE"""),2.024070338E9)</f>
        <v>2024070338</v>
      </c>
      <c r="D176" s="37" t="str">
        <f>IFERROR(__xludf.DUMMYFUNCTION("""COMPUTED_VALUE"""),"ARIFIN")</f>
        <v>ARIFIN</v>
      </c>
      <c r="E176" s="37" t="str">
        <f>IFERROR(__xludf.DUMMYFUNCTION("""COMPUTED_VALUE"""),"NUR JANNAH")</f>
        <v>NUR JANNAH</v>
      </c>
      <c r="F176" s="37" t="str">
        <f>IFERROR(__xludf.DUMMYFUNCTION("""COMPUTED_VALUE"""),"PLOSO BUDEN RT 003 RW 003 DEKET LAMONGAN")</f>
        <v>PLOSO BUDEN RT 003 RW 003 DEKET LAMONGAN</v>
      </c>
      <c r="G176" s="38" t="str">
        <f>IFERROR(__xludf.DUMMYFUNCTION("""COMPUTED_VALUE"""),"MA-XII.11")</f>
        <v>MA-XII.11</v>
      </c>
      <c r="H176" s="36" t="str">
        <f>IFERROR(__xludf.DUMMYFUNCTION("""COMPUTED_VALUE"""),"C")</f>
        <v>C</v>
      </c>
      <c r="I176" s="40" t="str">
        <f>IFERROR(__xludf.DUMMYFUNCTION("""COMPUTED_VALUE"""),"C-8")</f>
        <v>C-8</v>
      </c>
      <c r="J176" s="40">
        <f>IFERROR(__xludf.DUMMYFUNCTION("""COMPUTED_VALUE"""),3.0)</f>
        <v>3</v>
      </c>
      <c r="K176" s="40" t="str">
        <f>IFERROR(__xludf.DUMMYFUNCTION("""COMPUTED_VALUE"""),"3 WUSTHO C PUTRI")</f>
        <v>3 WUSTHO C PUTRI</v>
      </c>
      <c r="L176" s="39" t="str">
        <f>IFERROR(__xludf.DUMMYFUNCTION("""COMPUTED_VALUE"""),"6287844690419")</f>
        <v>6287844690419</v>
      </c>
      <c r="M176" s="43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3"/>
      <c r="AB176" s="43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>
        <f>IFERROR(__xludf.DUMMYFUNCTION("""COMPUTED_VALUE"""),450000.0)</f>
        <v>450000</v>
      </c>
      <c r="AO176" s="42"/>
      <c r="AP176" s="43">
        <f>IFERROR(__xludf.DUMMYFUNCTION("""COMPUTED_VALUE"""),500000.0)</f>
        <v>500000</v>
      </c>
      <c r="AQ176" s="42"/>
      <c r="AR176" s="42"/>
      <c r="AS176" s="43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IFERROR(__xludf.DUMMYFUNCTION("""COMPUTED_VALUE"""),450000.0)</f>
        <v>450000</v>
      </c>
      <c r="BD176" s="43">
        <f>IFERROR(__xludf.DUMMYFUNCTION("""COMPUTED_VALUE"""),500000.0)</f>
        <v>500000</v>
      </c>
      <c r="BE176" s="43">
        <f>IFERROR(__xludf.DUMMYFUNCTION("""COMPUTED_VALUE"""),0.0)</f>
        <v>0</v>
      </c>
      <c r="BF176" s="44">
        <f>IFERROR(__xludf.DUMMYFUNCTION("""COMPUTED_VALUE"""),950000.0)</f>
        <v>950000</v>
      </c>
      <c r="BG176" s="56"/>
      <c r="BH176" s="56"/>
      <c r="BI176" s="5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</row>
    <row r="177">
      <c r="A177" s="47">
        <f>IFERROR(__xludf.DUMMYFUNCTION("""COMPUTED_VALUE"""),176.0)</f>
        <v>176</v>
      </c>
      <c r="B177" s="48" t="str">
        <f>IFERROR(__xludf.DUMMYFUNCTION("""COMPUTED_VALUE"""),"AMINATUS SALMA")</f>
        <v>AMINATUS SALMA</v>
      </c>
      <c r="C177" s="49">
        <f>IFERROR(__xludf.DUMMYFUNCTION("""COMPUTED_VALUE"""),2.024070186E9)</f>
        <v>2024070186</v>
      </c>
      <c r="D177" s="48" t="str">
        <f>IFERROR(__xludf.DUMMYFUNCTION("""COMPUTED_VALUE"""),"SUDARMAJI")</f>
        <v>SUDARMAJI</v>
      </c>
      <c r="E177" s="48" t="str">
        <f>IFERROR(__xludf.DUMMYFUNCTION("""COMPUTED_VALUE"""),"SYAMSIAMAH")</f>
        <v>SYAMSIAMAH</v>
      </c>
      <c r="F177" s="48" t="str">
        <f>IFERROR(__xludf.DUMMYFUNCTION("""COMPUTED_VALUE"""),"KEBONSARI PALANGAN RT 2 RW 1 KARANGBINANGUN LAMONGAN")</f>
        <v>KEBONSARI PALANGAN RT 2 RW 1 KARANGBINANGUN LAMONGAN</v>
      </c>
      <c r="G177" s="49" t="str">
        <f>IFERROR(__xludf.DUMMYFUNCTION("""COMPUTED_VALUE"""),"MA-XII.7")</f>
        <v>MA-XII.7</v>
      </c>
      <c r="H177" s="47" t="str">
        <f>IFERROR(__xludf.DUMMYFUNCTION("""COMPUTED_VALUE"""),"D")</f>
        <v>D</v>
      </c>
      <c r="I177" s="53" t="str">
        <f>IFERROR(__xludf.DUMMYFUNCTION("""COMPUTED_VALUE"""),"D-6")</f>
        <v>D-6</v>
      </c>
      <c r="J177" s="51">
        <f>IFERROR(__xludf.DUMMYFUNCTION("""COMPUTED_VALUE"""),3.0)</f>
        <v>3</v>
      </c>
      <c r="K177" s="51" t="str">
        <f>IFERROR(__xludf.DUMMYFUNCTION("""COMPUTED_VALUE"""),"3 WUSTHO C PUTRI")</f>
        <v>3 WUSTHO C PUTRI</v>
      </c>
      <c r="L177" s="50" t="str">
        <f>IFERROR(__xludf.DUMMYFUNCTION("""COMPUTED_VALUE"""),"6285608570934")</f>
        <v>6285608570934</v>
      </c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4">
        <f>IFERROR(__xludf.DUMMYFUNCTION("""COMPUTED_VALUE"""),500000.0)</f>
        <v>500000</v>
      </c>
      <c r="AC177" s="53"/>
      <c r="AD177" s="53"/>
      <c r="AE177" s="53"/>
      <c r="AF177" s="53"/>
      <c r="AG177" s="53"/>
      <c r="AH177" s="53"/>
      <c r="AI177" s="53"/>
      <c r="AJ177" s="53"/>
      <c r="AK177" s="53"/>
      <c r="AL177" s="54">
        <f>IFERROR(__xludf.DUMMYFUNCTION("""COMPUTED_VALUE"""),450000.0)</f>
        <v>450000</v>
      </c>
      <c r="AM177" s="54">
        <f>IFERROR(__xludf.DUMMYFUNCTION("""COMPUTED_VALUE"""),450000.0)</f>
        <v>450000</v>
      </c>
      <c r="AN177" s="54">
        <f>IFERROR(__xludf.DUMMYFUNCTION("""COMPUTED_VALUE"""),450000.0)</f>
        <v>450000</v>
      </c>
      <c r="AO177" s="53"/>
      <c r="AP177" s="54">
        <f>IFERROR(__xludf.DUMMYFUNCTION("""COMPUTED_VALUE"""),500000.0)</f>
        <v>500000</v>
      </c>
      <c r="AQ177" s="54"/>
      <c r="AR177" s="54"/>
      <c r="AS177" s="54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IFERROR(__xludf.DUMMYFUNCTION("""COMPUTED_VALUE"""),1350000.0)</f>
        <v>1350000</v>
      </c>
      <c r="BD177" s="54">
        <f>IFERROR(__xludf.DUMMYFUNCTION("""COMPUTED_VALUE"""),1000000.0)</f>
        <v>1000000</v>
      </c>
      <c r="BE177" s="54">
        <f>IFERROR(__xludf.DUMMYFUNCTION("""COMPUTED_VALUE"""),0.0)</f>
        <v>0</v>
      </c>
      <c r="BF177" s="55">
        <f>IFERROR(__xludf.DUMMYFUNCTION("""COMPUTED_VALUE"""),2350000.0)</f>
        <v>2350000</v>
      </c>
      <c r="BG177" s="57"/>
      <c r="BH177" s="57"/>
      <c r="BI177" s="57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</row>
    <row r="178">
      <c r="A178" s="36">
        <f>IFERROR(__xludf.DUMMYFUNCTION("""COMPUTED_VALUE"""),177.0)</f>
        <v>177</v>
      </c>
      <c r="B178" s="37" t="str">
        <f>IFERROR(__xludf.DUMMYFUNCTION("""COMPUTED_VALUE"""),"ASTNA ANIS ADUBA")</f>
        <v>ASTNA ANIS ADUBA</v>
      </c>
      <c r="C178" s="38">
        <f>IFERROR(__xludf.DUMMYFUNCTION("""COMPUTED_VALUE"""),2.024070003E9)</f>
        <v>2024070003</v>
      </c>
      <c r="D178" s="37" t="str">
        <f>IFERROR(__xludf.DUMMYFUNCTION("""COMPUTED_VALUE"""),"NURUL YAQIN")</f>
        <v>NURUL YAQIN</v>
      </c>
      <c r="E178" s="37" t="str">
        <f>IFERROR(__xludf.DUMMYFUNCTION("""COMPUTED_VALUE"""),"ZUMROHAH")</f>
        <v>ZUMROHAH</v>
      </c>
      <c r="F178" s="37" t="str">
        <f>IFERROR(__xludf.DUMMYFUNCTION("""COMPUTED_VALUE"""),"TAKERHARJO RT 004 RW 002 SOLOKURO LAMONGAN")</f>
        <v>TAKERHARJO RT 004 RW 002 SOLOKURO LAMONGAN</v>
      </c>
      <c r="G178" s="38" t="str">
        <f>IFERROR(__xludf.DUMMYFUNCTION("""COMPUTED_VALUE"""),"MA-XII.1")</f>
        <v>MA-XII.1</v>
      </c>
      <c r="H178" s="36" t="str">
        <f>IFERROR(__xludf.DUMMYFUNCTION("""COMPUTED_VALUE"""),"C")</f>
        <v>C</v>
      </c>
      <c r="I178" s="42" t="str">
        <f>IFERROR(__xludf.DUMMYFUNCTION("""COMPUTED_VALUE"""),"C-2")</f>
        <v>C-2</v>
      </c>
      <c r="J178" s="40">
        <f>IFERROR(__xludf.DUMMYFUNCTION("""COMPUTED_VALUE"""),3.0)</f>
        <v>3</v>
      </c>
      <c r="K178" s="40" t="str">
        <f>IFERROR(__xludf.DUMMYFUNCTION("""COMPUTED_VALUE"""),"")</f>
        <v/>
      </c>
      <c r="L178" s="39" t="str">
        <f>IFERROR(__xludf.DUMMYFUNCTION("""COMPUTED_VALUE"""),"6285790863008")</f>
        <v>6285790863008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3"/>
      <c r="AR178" s="43"/>
      <c r="AS178" s="43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IFERROR(__xludf.DUMMYFUNCTION("""COMPUTED_VALUE"""),0.0)</f>
        <v>0</v>
      </c>
      <c r="BE178" s="43">
        <f>IFERROR(__xludf.DUMMYFUNCTION("""COMPUTED_VALUE"""),0.0)</f>
        <v>0</v>
      </c>
      <c r="BF178" s="44">
        <f>IFERROR(__xludf.DUMMYFUNCTION("""COMPUTED_VALUE"""),0.0)</f>
        <v>0</v>
      </c>
      <c r="BG178" s="56"/>
      <c r="BH178" s="56"/>
      <c r="BI178" s="5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</row>
    <row r="179">
      <c r="A179" s="47">
        <f>IFERROR(__xludf.DUMMYFUNCTION("""COMPUTED_VALUE"""),178.0)</f>
        <v>178</v>
      </c>
      <c r="B179" s="48" t="str">
        <f>IFERROR(__xludf.DUMMYFUNCTION("""COMPUTED_VALUE"""),"ATIQAH FAIRUZAH")</f>
        <v>ATIQAH FAIRUZAH</v>
      </c>
      <c r="C179" s="49">
        <f>IFERROR(__xludf.DUMMYFUNCTION("""COMPUTED_VALUE"""),2.024070544E9)</f>
        <v>2024070544</v>
      </c>
      <c r="D179" s="48" t="str">
        <f>IFERROR(__xludf.DUMMYFUNCTION("""COMPUTED_VALUE"""),"KHOIRUL ANIS")</f>
        <v>KHOIRUL ANIS</v>
      </c>
      <c r="E179" s="48" t="str">
        <f>IFERROR(__xludf.DUMMYFUNCTION("""COMPUTED_VALUE"""),"TISATUL AQOBAH")</f>
        <v>TISATUL AQOBAH</v>
      </c>
      <c r="F179" s="48" t="str">
        <f>IFERROR(__xludf.DUMMYFUNCTION("""COMPUTED_VALUE"""),"SEMBUNGAN KIDUL RT 003 RW 002 DUKUN GRESIK")</f>
        <v>SEMBUNGAN KIDUL RT 003 RW 002 DUKUN GRESIK</v>
      </c>
      <c r="G179" s="49" t="str">
        <f>IFERROR(__xludf.DUMMYFUNCTION("""COMPUTED_VALUE"""),"MTS-9 G")</f>
        <v>MTS-9 G</v>
      </c>
      <c r="H179" s="47" t="str">
        <f>IFERROR(__xludf.DUMMYFUNCTION("""COMPUTED_VALUE"""),"C")</f>
        <v>C</v>
      </c>
      <c r="I179" s="53" t="str">
        <f>IFERROR(__xludf.DUMMYFUNCTION("""COMPUTED_VALUE"""),"C-3")</f>
        <v>C-3</v>
      </c>
      <c r="J179" s="51">
        <f>IFERROR(__xludf.DUMMYFUNCTION("""COMPUTED_VALUE"""),3.0)</f>
        <v>3</v>
      </c>
      <c r="K179" s="51" t="str">
        <f>IFERROR(__xludf.DUMMYFUNCTION("""COMPUTED_VALUE"""),"3 ULA A PUTRI")</f>
        <v>3 ULA A PUTRI</v>
      </c>
      <c r="L179" s="50" t="str">
        <f>IFERROR(__xludf.DUMMYFUNCTION("""COMPUTED_VALUE"""),"6285731022920")</f>
        <v>6285731022920</v>
      </c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>
        <f>IFERROR(__xludf.DUMMYFUNCTION("""COMPUTED_VALUE"""),500000.0)</f>
        <v>500000</v>
      </c>
      <c r="AC179" s="53"/>
      <c r="AD179" s="53"/>
      <c r="AE179" s="53"/>
      <c r="AF179" s="53"/>
      <c r="AG179" s="53"/>
      <c r="AH179" s="53"/>
      <c r="AI179" s="53"/>
      <c r="AJ179" s="53"/>
      <c r="AK179" s="53">
        <f>IFERROR(__xludf.DUMMYFUNCTION("""COMPUTED_VALUE"""),450000.0)</f>
        <v>450000</v>
      </c>
      <c r="AL179" s="53">
        <f>IFERROR(__xludf.DUMMYFUNCTION("""COMPUTED_VALUE"""),450000.0)</f>
        <v>450000</v>
      </c>
      <c r="AM179" s="53">
        <f>IFERROR(__xludf.DUMMYFUNCTION("""COMPUTED_VALUE"""),450000.0)</f>
        <v>450000</v>
      </c>
      <c r="AN179" s="53">
        <f>IFERROR(__xludf.DUMMYFUNCTION("""COMPUTED_VALUE"""),450000.0)</f>
        <v>450000</v>
      </c>
      <c r="AO179" s="53"/>
      <c r="AP179" s="53">
        <f>IFERROR(__xludf.DUMMYFUNCTION("""COMPUTED_VALUE"""),500000.0)</f>
        <v>500000</v>
      </c>
      <c r="AQ179" s="53"/>
      <c r="AR179" s="53"/>
      <c r="AS179" s="54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IFERROR(__xludf.DUMMYFUNCTION("""COMPUTED_VALUE"""),1800000.0)</f>
        <v>1800000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IFERROR(__xludf.DUMMYFUNCTION("""COMPUTED_VALUE"""),2800000.0)</f>
        <v>2800000</v>
      </c>
      <c r="BG179" s="57"/>
      <c r="BH179" s="57"/>
      <c r="BI179" s="57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</row>
    <row r="180">
      <c r="A180" s="36">
        <f>IFERROR(__xludf.DUMMYFUNCTION("""COMPUTED_VALUE"""),179.0)</f>
        <v>179</v>
      </c>
      <c r="B180" s="37" t="str">
        <f>IFERROR(__xludf.DUMMYFUNCTION("""COMPUTED_VALUE"""),"AUVA HILYA LUBABAH")</f>
        <v>AUVA HILYA LUBABAH</v>
      </c>
      <c r="C180" s="38">
        <f>IFERROR(__xludf.DUMMYFUNCTION("""COMPUTED_VALUE"""),2.024070414E9)</f>
        <v>2024070414</v>
      </c>
      <c r="D180" s="37" t="str">
        <f>IFERROR(__xludf.DUMMYFUNCTION("""COMPUTED_VALUE"""),"SUPII")</f>
        <v>SUPII</v>
      </c>
      <c r="E180" s="37" t="str">
        <f>IFERROR(__xludf.DUMMYFUNCTION("""COMPUTED_VALUE"""),"RODHIATUN")</f>
        <v>RODHIATUN</v>
      </c>
      <c r="F180" s="37" t="str">
        <f>IFERROR(__xludf.DUMMYFUNCTION("""COMPUTED_VALUE"""),"GEDONG GEDONGBOYOUNTUNG RT 001 RW 001 TURI LAMONGAN")</f>
        <v>GEDONG GEDONGBOYOUNTUNG RT 001 RW 001 TURI LAMONGAN</v>
      </c>
      <c r="G180" s="38" t="str">
        <f>IFERROR(__xludf.DUMMYFUNCTION("""COMPUTED_VALUE"""),"MA-XII.13")</f>
        <v>MA-XII.13</v>
      </c>
      <c r="H180" s="36" t="str">
        <f>IFERROR(__xludf.DUMMYFUNCTION("""COMPUTED_VALUE"""),"C")</f>
        <v>C</v>
      </c>
      <c r="I180" s="42" t="str">
        <f>IFERROR(__xludf.DUMMYFUNCTION("""COMPUTED_VALUE"""),"C-7")</f>
        <v>C-7</v>
      </c>
      <c r="J180" s="40">
        <f>IFERROR(__xludf.DUMMYFUNCTION("""COMPUTED_VALUE"""),3.0)</f>
        <v>3</v>
      </c>
      <c r="K180" s="40" t="str">
        <f>IFERROR(__xludf.DUMMYFUNCTION("""COMPUTED_VALUE"""),"3 MAK PUTRI")</f>
        <v>3 MAK PUTRI</v>
      </c>
      <c r="L180" s="39" t="str">
        <f>IFERROR(__xludf.DUMMYFUNCTION("""COMPUTED_VALUE"""),"6285608051421")</f>
        <v>6285608051421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3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56"/>
      <c r="BH180" s="56"/>
      <c r="BI180" s="5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</row>
    <row r="181">
      <c r="A181" s="47">
        <f>IFERROR(__xludf.DUMMYFUNCTION("""COMPUTED_VALUE"""),180.0)</f>
        <v>180</v>
      </c>
      <c r="B181" s="48" t="str">
        <f>IFERROR(__xludf.DUMMYFUNCTION("""COMPUTED_VALUE"""),"AYU YOVA NAYLA FAZA")</f>
        <v>AYU YOVA NAYLA FAZA</v>
      </c>
      <c r="C181" s="49">
        <f>IFERROR(__xludf.DUMMYFUNCTION("""COMPUTED_VALUE"""),2.024070039E9)</f>
        <v>2024070039</v>
      </c>
      <c r="D181" s="48" t="str">
        <f>IFERROR(__xludf.DUMMYFUNCTION("""COMPUTED_VALUE"""),"MASYHARI")</f>
        <v>MASYHARI</v>
      </c>
      <c r="E181" s="48" t="str">
        <f>IFERROR(__xludf.DUMMYFUNCTION("""COMPUTED_VALUE"""),"HANIK ASYRIFAH")</f>
        <v>HANIK ASYRIFAH</v>
      </c>
      <c r="F181" s="48" t="str">
        <f>IFERROR(__xludf.DUMMYFUNCTION("""COMPUTED_VALUE"""),"DAGAN RT 002 RW 003 SOLOKURO LAMONGAN")</f>
        <v>DAGAN RT 002 RW 003 SOLOKURO LAMONGAN</v>
      </c>
      <c r="G181" s="49" t="str">
        <f>IFERROR(__xludf.DUMMYFUNCTION("""COMPUTED_VALUE"""),"MA-XII.2")</f>
        <v>MA-XII.2</v>
      </c>
      <c r="H181" s="47" t="str">
        <f>IFERROR(__xludf.DUMMYFUNCTION("""COMPUTED_VALUE"""),"C")</f>
        <v>C</v>
      </c>
      <c r="I181" s="53" t="str">
        <f>IFERROR(__xludf.DUMMYFUNCTION("""COMPUTED_VALUE"""),"C-8")</f>
        <v>C-8</v>
      </c>
      <c r="J181" s="51">
        <f>IFERROR(__xludf.DUMMYFUNCTION("""COMPUTED_VALUE"""),3.0)</f>
        <v>3</v>
      </c>
      <c r="K181" s="51" t="str">
        <f>IFERROR(__xludf.DUMMYFUNCTION("""COMPUTED_VALUE"""),"3 WUSTHO A PUTRI")</f>
        <v>3 WUSTHO A PUTRI</v>
      </c>
      <c r="L181" s="50" t="str">
        <f>IFERROR(__xludf.DUMMYFUNCTION("""COMPUTED_VALUE"""),"6285856022187")</f>
        <v>6285856022187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4"/>
      <c r="AS181" s="54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IFERROR(__xludf.DUMMYFUNCTION("""COMPUTED_VALUE"""),0.0)</f>
        <v>0</v>
      </c>
      <c r="BE181" s="54">
        <f>IFERROR(__xludf.DUMMYFUNCTION("""COMPUTED_VALUE"""),0.0)</f>
        <v>0</v>
      </c>
      <c r="BF181" s="55">
        <f>IFERROR(__xludf.DUMMYFUNCTION("""COMPUTED_VALUE"""),0.0)</f>
        <v>0</v>
      </c>
      <c r="BG181" s="57"/>
      <c r="BH181" s="57"/>
      <c r="BI181" s="57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</row>
    <row r="182">
      <c r="A182" s="36">
        <f>IFERROR(__xludf.DUMMYFUNCTION("""COMPUTED_VALUE"""),181.0)</f>
        <v>181</v>
      </c>
      <c r="B182" s="37" t="str">
        <f>IFERROR(__xludf.DUMMYFUNCTION("""COMPUTED_VALUE"""),"BALQIS FITHROTUN NUFUS")</f>
        <v>BALQIS FITHROTUN NUFUS</v>
      </c>
      <c r="C182" s="38">
        <f>IFERROR(__xludf.DUMMYFUNCTION("""COMPUTED_VALUE"""),2.024070703E9)</f>
        <v>2024070703</v>
      </c>
      <c r="D182" s="37" t="str">
        <f>IFERROR(__xludf.DUMMYFUNCTION("""COMPUTED_VALUE"""),"MUHAMMAD IMRON")</f>
        <v>MUHAMMAD IMRON</v>
      </c>
      <c r="E182" s="37" t="str">
        <f>IFERROR(__xludf.DUMMYFUNCTION("""COMPUTED_VALUE"""),"SU`IMAH")</f>
        <v>SU`IMAH</v>
      </c>
      <c r="F182" s="37" t="str">
        <f>IFERROR(__xludf.DUMMYFUNCTION("""COMPUTED_VALUE"""),"BARON RT 003 RW 002 DUKUN GRESIK")</f>
        <v>BARON RT 003 RW 002 DUKUN GRESIK</v>
      </c>
      <c r="G182" s="38" t="str">
        <f>IFERROR(__xludf.DUMMYFUNCTION("""COMPUTED_VALUE"""),"SMK-XII DKV")</f>
        <v>SMK-XII DKV</v>
      </c>
      <c r="H182" s="36" t="str">
        <f>IFERROR(__xludf.DUMMYFUNCTION("""COMPUTED_VALUE"""),"C")</f>
        <v>C</v>
      </c>
      <c r="I182" s="42" t="str">
        <f>IFERROR(__xludf.DUMMYFUNCTION("""COMPUTED_VALUE"""),"C-4")</f>
        <v>C-4</v>
      </c>
      <c r="J182" s="40">
        <f>IFERROR(__xludf.DUMMYFUNCTION("""COMPUTED_VALUE"""),3.0)</f>
        <v>3</v>
      </c>
      <c r="K182" s="40" t="str">
        <f>IFERROR(__xludf.DUMMYFUNCTION("""COMPUTED_VALUE"""),"")</f>
        <v/>
      </c>
      <c r="L182" s="39" t="str">
        <f>IFERROR(__xludf.DUMMYFUNCTION("""COMPUTED_VALUE"""),"6281357024383")</f>
        <v>6281357024383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>
        <f>IFERROR(__xludf.DUMMYFUNCTION("""COMPUTED_VALUE"""),500000.0)</f>
        <v>500000</v>
      </c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>
        <f>IFERROR(__xludf.DUMMYFUNCTION("""COMPUTED_VALUE"""),450000.0)</f>
        <v>450000</v>
      </c>
      <c r="AO182" s="42"/>
      <c r="AP182" s="42">
        <f>IFERROR(__xludf.DUMMYFUNCTION("""COMPUTED_VALUE"""),500000.0)</f>
        <v>500000</v>
      </c>
      <c r="AQ182" s="43"/>
      <c r="AR182" s="43"/>
      <c r="AS182" s="43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56"/>
      <c r="BH182" s="56"/>
      <c r="BI182" s="5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</row>
    <row r="183">
      <c r="A183" s="47">
        <f>IFERROR(__xludf.DUMMYFUNCTION("""COMPUTED_VALUE"""),182.0)</f>
        <v>182</v>
      </c>
      <c r="B183" s="48" t="str">
        <f>IFERROR(__xludf.DUMMYFUNCTION("""COMPUTED_VALUE"""),"BUNGA SALSABILA RAHMAH")</f>
        <v>BUNGA SALSABILA RAHMAH</v>
      </c>
      <c r="C183" s="49">
        <f>IFERROR(__xludf.DUMMYFUNCTION("""COMPUTED_VALUE"""),2.02407152E9)</f>
        <v>2024071520</v>
      </c>
      <c r="D183" s="48" t="str">
        <f>IFERROR(__xludf.DUMMYFUNCTION("""COMPUTED_VALUE"""),"MOCH. ANAS")</f>
        <v>MOCH. ANAS</v>
      </c>
      <c r="E183" s="48" t="str">
        <f>IFERROR(__xludf.DUMMYFUNCTION("""COMPUTED_VALUE"""),"USWATUN HASANAH")</f>
        <v>USWATUN HASANAH</v>
      </c>
      <c r="F183" s="48" t="str">
        <f>IFERROR(__xludf.DUMMYFUNCTION("""COMPUTED_VALUE"""),"SEMEMI JAYA 10 LANGGAR NO. 21 RT 005 RW 001 BENOWO SURABAYA")</f>
        <v>SEMEMI JAYA 10 LANGGAR NO. 21 RT 005 RW 001 BENOWO SURABAYA</v>
      </c>
      <c r="G183" s="49" t="str">
        <f>IFERROR(__xludf.DUMMYFUNCTION("""COMPUTED_VALUE"""),"MA-XIII.13")</f>
        <v>MA-XIII.13</v>
      </c>
      <c r="H183" s="47" t="str">
        <f>IFERROR(__xludf.DUMMYFUNCTION("""COMPUTED_VALUE"""),"C")</f>
        <v>C</v>
      </c>
      <c r="I183" s="51" t="str">
        <f>IFERROR(__xludf.DUMMYFUNCTION("""COMPUTED_VALUE"""),"C-7")</f>
        <v>C-7</v>
      </c>
      <c r="J183" s="51">
        <f>IFERROR(__xludf.DUMMYFUNCTION("""COMPUTED_VALUE"""),3.0)</f>
        <v>3</v>
      </c>
      <c r="K183" s="51" t="str">
        <f>IFERROR(__xludf.DUMMYFUNCTION("""COMPUTED_VALUE"""),"")</f>
        <v/>
      </c>
      <c r="L183" s="50" t="str">
        <f>IFERROR(__xludf.DUMMYFUNCTION("""COMPUTED_VALUE"""),"6285102700597")</f>
        <v>6285102700597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>
        <f>IFERROR(__xludf.DUMMYFUNCTION("""COMPUTED_VALUE"""),500000.0)</f>
        <v>500000</v>
      </c>
      <c r="AC183" s="53"/>
      <c r="AD183" s="53"/>
      <c r="AE183" s="53"/>
      <c r="AF183" s="53"/>
      <c r="AG183" s="53"/>
      <c r="AH183" s="53"/>
      <c r="AI183" s="53"/>
      <c r="AJ183" s="53"/>
      <c r="AK183" s="53"/>
      <c r="AL183" s="53">
        <f>IFERROR(__xludf.DUMMYFUNCTION("""COMPUTED_VALUE"""),450000.0)</f>
        <v>450000</v>
      </c>
      <c r="AM183" s="53">
        <f>IFERROR(__xludf.DUMMYFUNCTION("""COMPUTED_VALUE"""),450000.0)</f>
        <v>450000</v>
      </c>
      <c r="AN183" s="53">
        <f>IFERROR(__xludf.DUMMYFUNCTION("""COMPUTED_VALUE"""),450000.0)</f>
        <v>450000</v>
      </c>
      <c r="AO183" s="53"/>
      <c r="AP183" s="53">
        <f>IFERROR(__xludf.DUMMYFUNCTION("""COMPUTED_VALUE"""),500000.0)</f>
        <v>500000</v>
      </c>
      <c r="AQ183" s="53"/>
      <c r="AR183" s="54"/>
      <c r="AS183" s="54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IFERROR(__xludf.DUMMYFUNCTION("""COMPUTED_VALUE"""),1350000.0)</f>
        <v>1350000</v>
      </c>
      <c r="BD183" s="54">
        <f>IFERROR(__xludf.DUMMYFUNCTION("""COMPUTED_VALUE"""),1000000.0)</f>
        <v>1000000</v>
      </c>
      <c r="BE183" s="54">
        <f>IFERROR(__xludf.DUMMYFUNCTION("""COMPUTED_VALUE"""),0.0)</f>
        <v>0</v>
      </c>
      <c r="BF183" s="55">
        <f>IFERROR(__xludf.DUMMYFUNCTION("""COMPUTED_VALUE"""),2350000.0)</f>
        <v>2350000</v>
      </c>
      <c r="BG183" s="57"/>
      <c r="BH183" s="57"/>
      <c r="BI183" s="57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</row>
    <row r="184">
      <c r="A184" s="36">
        <f>IFERROR(__xludf.DUMMYFUNCTION("""COMPUTED_VALUE"""),183.0)</f>
        <v>183</v>
      </c>
      <c r="B184" s="37" t="str">
        <f>IFERROR(__xludf.DUMMYFUNCTION("""COMPUTED_VALUE"""),"CERLITA VANIA NUGRAHENI")</f>
        <v>CERLITA VANIA NUGRAHENI</v>
      </c>
      <c r="C184" s="38">
        <f>IFERROR(__xludf.DUMMYFUNCTION("""COMPUTED_VALUE"""),2.024070107E9)</f>
        <v>2024070107</v>
      </c>
      <c r="D184" s="37" t="str">
        <f>IFERROR(__xludf.DUMMYFUNCTION("""COMPUTED_VALUE"""),"ERIC DWI NUGROHO")</f>
        <v>ERIC DWI NUGROHO</v>
      </c>
      <c r="E184" s="37" t="str">
        <f>IFERROR(__xludf.DUMMYFUNCTION("""COMPUTED_VALUE"""),"LILIS SUJIATI")</f>
        <v>LILIS SUJIATI</v>
      </c>
      <c r="F184" s="37" t="str">
        <f>IFERROR(__xludf.DUMMYFUNCTION("""COMPUTED_VALUE"""),"KULURAN RT 004 RW 002 KALITENGAH LAMONGAN")</f>
        <v>KULURAN RT 004 RW 002 KALITENGAH LAMONGAN</v>
      </c>
      <c r="G184" s="38" t="str">
        <f>IFERROR(__xludf.DUMMYFUNCTION("""COMPUTED_VALUE"""),"MA-XII.4")</f>
        <v>MA-XII.4</v>
      </c>
      <c r="H184" s="36" t="str">
        <f>IFERROR(__xludf.DUMMYFUNCTION("""COMPUTED_VALUE"""),"C")</f>
        <v>C</v>
      </c>
      <c r="I184" s="40" t="str">
        <f>IFERROR(__xludf.DUMMYFUNCTION("""COMPUTED_VALUE"""),"C-9")</f>
        <v>C-9</v>
      </c>
      <c r="J184" s="40">
        <f>IFERROR(__xludf.DUMMYFUNCTION("""COMPUTED_VALUE"""),3.0)</f>
        <v>3</v>
      </c>
      <c r="K184" s="40" t="str">
        <f>IFERROR(__xludf.DUMMYFUNCTION("""COMPUTED_VALUE"""),"")</f>
        <v/>
      </c>
      <c r="L184" s="39" t="str">
        <f>IFERROR(__xludf.DUMMYFUNCTION("""COMPUTED_VALUE"""),"628563025554")</f>
        <v>628563025554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3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IFERROR(__xludf.DUMMYFUNCTION("""COMPUTED_VALUE"""),0.0)</f>
        <v>0</v>
      </c>
      <c r="BE184" s="43">
        <f>IFERROR(__xludf.DUMMYFUNCTION("""COMPUTED_VALUE"""),0.0)</f>
        <v>0</v>
      </c>
      <c r="BF184" s="44">
        <f>IFERROR(__xludf.DUMMYFUNCTION("""COMPUTED_VALUE"""),0.0)</f>
        <v>0</v>
      </c>
      <c r="BG184" s="56"/>
      <c r="BH184" s="56"/>
      <c r="BI184" s="5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</row>
    <row r="185">
      <c r="A185" s="47">
        <f>IFERROR(__xludf.DUMMYFUNCTION("""COMPUTED_VALUE"""),184.0)</f>
        <v>184</v>
      </c>
      <c r="B185" s="48" t="str">
        <f>IFERROR(__xludf.DUMMYFUNCTION("""COMPUTED_VALUE"""),"DEWI LAILA ANISAH SHOFIYAH")</f>
        <v>DEWI LAILA ANISAH SHOFIYAH</v>
      </c>
      <c r="C185" s="49">
        <f>IFERROR(__xludf.DUMMYFUNCTION("""COMPUTED_VALUE"""),2.024070373E9)</f>
        <v>2024070373</v>
      </c>
      <c r="D185" s="48" t="str">
        <f>IFERROR(__xludf.DUMMYFUNCTION("""COMPUTED_VALUE"""),"SUTRISNO")</f>
        <v>SUTRISNO</v>
      </c>
      <c r="E185" s="48" t="str">
        <f>IFERROR(__xludf.DUMMYFUNCTION("""COMPUTED_VALUE"""),"SITI ROKANI")</f>
        <v>SITI ROKANI</v>
      </c>
      <c r="F185" s="48" t="str">
        <f>IFERROR(__xludf.DUMMYFUNCTION("""COMPUTED_VALUE"""),"KADUNG KADUNGREMBUG RT 001 RW 005 SUKODADI LAMONGAN")</f>
        <v>KADUNG KADUNGREMBUG RT 001 RW 005 SUKODADI LAMONGAN</v>
      </c>
      <c r="G185" s="49" t="str">
        <f>IFERROR(__xludf.DUMMYFUNCTION("""COMPUTED_VALUE"""),"MA-XII.12")</f>
        <v>MA-XII.12</v>
      </c>
      <c r="H185" s="47" t="str">
        <f>IFERROR(__xludf.DUMMYFUNCTION("""COMPUTED_VALUE"""),"C")</f>
        <v>C</v>
      </c>
      <c r="I185" s="51" t="str">
        <f>IFERROR(__xludf.DUMMYFUNCTION("""COMPUTED_VALUE"""),"C-9")</f>
        <v>C-9</v>
      </c>
      <c r="J185" s="51">
        <f>IFERROR(__xludf.DUMMYFUNCTION("""COMPUTED_VALUE"""),3.0)</f>
        <v>3</v>
      </c>
      <c r="K185" s="51" t="str">
        <f>IFERROR(__xludf.DUMMYFUNCTION("""COMPUTED_VALUE"""),"3 WUSTHO A PUTRI")</f>
        <v>3 WUSTHO A PUTRI</v>
      </c>
      <c r="L185" s="50" t="str">
        <f>IFERROR(__xludf.DUMMYFUNCTION("""COMPUTED_VALUE"""),"6285748023154")</f>
        <v>6285748023154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>
        <f>IFERROR(__xludf.DUMMYFUNCTION("""COMPUTED_VALUE"""),500000.0)</f>
        <v>500000</v>
      </c>
      <c r="AQ185" s="53"/>
      <c r="AR185" s="53"/>
      <c r="AS185" s="54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IFERROR(__xludf.DUMMYFUNCTION("""COMPUTED_VALUE"""),500000.0)</f>
        <v>500000</v>
      </c>
      <c r="BE185" s="54">
        <f>IFERROR(__xludf.DUMMYFUNCTION("""COMPUTED_VALUE"""),0.0)</f>
        <v>0</v>
      </c>
      <c r="BF185" s="55">
        <f>IFERROR(__xludf.DUMMYFUNCTION("""COMPUTED_VALUE"""),500000.0)</f>
        <v>500000</v>
      </c>
      <c r="BG185" s="57"/>
      <c r="BH185" s="57"/>
      <c r="BI185" s="57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</row>
    <row r="186">
      <c r="A186" s="36">
        <f>IFERROR(__xludf.DUMMYFUNCTION("""COMPUTED_VALUE"""),185.0)</f>
        <v>185</v>
      </c>
      <c r="B186" s="37" t="str">
        <f>IFERROR(__xludf.DUMMYFUNCTION("""COMPUTED_VALUE"""),"DIVA APRILIA SHOLIKHA")</f>
        <v>DIVA APRILIA SHOLIKHA</v>
      </c>
      <c r="C186" s="38">
        <f>IFERROR(__xludf.DUMMYFUNCTION("""COMPUTED_VALUE"""),2.024070223E9)</f>
        <v>2024070223</v>
      </c>
      <c r="D186" s="37" t="str">
        <f>IFERROR(__xludf.DUMMYFUNCTION("""COMPUTED_VALUE"""),"SUTRISNO")</f>
        <v>SUTRISNO</v>
      </c>
      <c r="E186" s="37" t="str">
        <f>IFERROR(__xludf.DUMMYFUNCTION("""COMPUTED_VALUE"""),"KHOTIM SUNARIYAH")</f>
        <v>KHOTIM SUNARIYAH</v>
      </c>
      <c r="F186" s="37" t="str">
        <f>IFERROR(__xludf.DUMMYFUNCTION("""COMPUTED_VALUE"""),"KARANGCANGKRING RT 7 RW 3 DUKUN GRESIK")</f>
        <v>KARANGCANGKRING RT 7 RW 3 DUKUN GRESIK</v>
      </c>
      <c r="G186" s="38" t="str">
        <f>IFERROR(__xludf.DUMMYFUNCTION("""COMPUTED_VALUE"""),"MA-XII.6")</f>
        <v>MA-XII.6</v>
      </c>
      <c r="H186" s="36" t="str">
        <f>IFERROR(__xludf.DUMMYFUNCTION("""COMPUTED_VALUE"""),"C")</f>
        <v>C</v>
      </c>
      <c r="I186" s="42" t="str">
        <f>IFERROR(__xludf.DUMMYFUNCTION("""COMPUTED_VALUE"""),"C-8")</f>
        <v>C-8</v>
      </c>
      <c r="J186" s="40">
        <f>IFERROR(__xludf.DUMMYFUNCTION("""COMPUTED_VALUE"""),3.0)</f>
        <v>3</v>
      </c>
      <c r="K186" s="40" t="str">
        <f>IFERROR(__xludf.DUMMYFUNCTION("""COMPUTED_VALUE"""),"3 WUSTHO A PUTRI")</f>
        <v>3 WUSTHO A PUTRI</v>
      </c>
      <c r="L186" s="39" t="str">
        <f>IFERROR(__xludf.DUMMYFUNCTION("""COMPUTED_VALUE"""),"6281553483950")</f>
        <v>6281553483950</v>
      </c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3"/>
      <c r="AR186" s="43"/>
      <c r="AS186" s="43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IFERROR(__xludf.DUMMYFUNCTION("""COMPUTED_VALUE"""),0.0)</f>
        <v>0</v>
      </c>
      <c r="BD186" s="43">
        <f>IFERROR(__xludf.DUMMYFUNCTION("""COMPUTED_VALUE"""),500000.0)</f>
        <v>500000</v>
      </c>
      <c r="BE186" s="43">
        <f>IFERROR(__xludf.DUMMYFUNCTION("""COMPUTED_VALUE"""),0.0)</f>
        <v>0</v>
      </c>
      <c r="BF186" s="44">
        <f>IFERROR(__xludf.DUMMYFUNCTION("""COMPUTED_VALUE"""),500000.0)</f>
        <v>500000</v>
      </c>
      <c r="BG186" s="56"/>
      <c r="BH186" s="56"/>
      <c r="BI186" s="5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</row>
    <row r="187">
      <c r="A187" s="47">
        <f>IFERROR(__xludf.DUMMYFUNCTION("""COMPUTED_VALUE"""),186.0)</f>
        <v>186</v>
      </c>
      <c r="B187" s="48" t="str">
        <f>IFERROR(__xludf.DUMMYFUNCTION("""COMPUTED_VALUE"""),"DIVA EKA LESTARI")</f>
        <v>DIVA EKA LESTARI</v>
      </c>
      <c r="C187" s="49">
        <f>IFERROR(__xludf.DUMMYFUNCTION("""COMPUTED_VALUE"""),2.024070006E9)</f>
        <v>2024070006</v>
      </c>
      <c r="D187" s="48" t="str">
        <f>IFERROR(__xludf.DUMMYFUNCTION("""COMPUTED_VALUE"""),"MOHAMMAD BISRI MUSTHOFA")</f>
        <v>MOHAMMAD BISRI MUSTHOFA</v>
      </c>
      <c r="E187" s="48" t="str">
        <f>IFERROR(__xludf.DUMMYFUNCTION("""COMPUTED_VALUE"""),"NING MINARSIH")</f>
        <v>NING MINARSIH</v>
      </c>
      <c r="F187" s="48" t="str">
        <f>IFERROR(__xludf.DUMMYFUNCTION("""COMPUTED_VALUE"""),"P. TENDEAN 24 KULURAN RT 004 RW 004 KALITENGAH LAMONGAN")</f>
        <v>P. TENDEAN 24 KULURAN RT 004 RW 004 KALITENGAH LAMONGAN</v>
      </c>
      <c r="G187" s="49" t="str">
        <f>IFERROR(__xludf.DUMMYFUNCTION("""COMPUTED_VALUE"""),"MA-XII.1")</f>
        <v>MA-XII.1</v>
      </c>
      <c r="H187" s="47" t="str">
        <f>IFERROR(__xludf.DUMMYFUNCTION("""COMPUTED_VALUE"""),"C")</f>
        <v>C</v>
      </c>
      <c r="I187" s="53" t="str">
        <f>IFERROR(__xludf.DUMMYFUNCTION("""COMPUTED_VALUE"""),"C-2")</f>
        <v>C-2</v>
      </c>
      <c r="J187" s="51">
        <f>IFERROR(__xludf.DUMMYFUNCTION("""COMPUTED_VALUE"""),3.0)</f>
        <v>3</v>
      </c>
      <c r="K187" s="51" t="str">
        <f>IFERROR(__xludf.DUMMYFUNCTION("""COMPUTED_VALUE"""),"")</f>
        <v/>
      </c>
      <c r="L187" s="50" t="str">
        <f>IFERROR(__xludf.DUMMYFUNCTION("""COMPUTED_VALUE"""),"6285755339391")</f>
        <v>6285755339391</v>
      </c>
      <c r="M187" s="54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4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7"/>
      <c r="BH187" s="57"/>
      <c r="BI187" s="57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</row>
    <row r="188">
      <c r="A188" s="36">
        <f>IFERROR(__xludf.DUMMYFUNCTION("""COMPUTED_VALUE"""),187.0)</f>
        <v>187</v>
      </c>
      <c r="B188" s="37" t="str">
        <f>IFERROR(__xludf.DUMMYFUNCTION("""COMPUTED_VALUE"""),"DZUN NUHA MAHMUDAH")</f>
        <v>DZUN NUHA MAHMUDAH</v>
      </c>
      <c r="C188" s="38">
        <f>IFERROR(__xludf.DUMMYFUNCTION("""COMPUTED_VALUE"""),2.024070042E9)</f>
        <v>2024070042</v>
      </c>
      <c r="D188" s="37" t="str">
        <f>IFERROR(__xludf.DUMMYFUNCTION("""COMPUTED_VALUE"""),"MAHMUDI")</f>
        <v>MAHMUDI</v>
      </c>
      <c r="E188" s="37" t="str">
        <f>IFERROR(__xludf.DUMMYFUNCTION("""COMPUTED_VALUE"""),"SRIATUN")</f>
        <v>SRIATUN</v>
      </c>
      <c r="F188" s="37" t="str">
        <f>IFERROR(__xludf.DUMMYFUNCTION("""COMPUTED_VALUE"""),"MENGAI SUKOREJO RT 2 RW 5 KARANGBINANGUN LAMONGAN")</f>
        <v>MENGAI SUKOREJO RT 2 RW 5 KARANGBINANGUN LAMONGAN</v>
      </c>
      <c r="G188" s="38" t="str">
        <f>IFERROR(__xludf.DUMMYFUNCTION("""COMPUTED_VALUE"""),"MA-XII.2")</f>
        <v>MA-XII.2</v>
      </c>
      <c r="H188" s="36" t="str">
        <f>IFERROR(__xludf.DUMMYFUNCTION("""COMPUTED_VALUE"""),"B")</f>
        <v>B</v>
      </c>
      <c r="I188" s="42"/>
      <c r="J188" s="40">
        <f>IFERROR(__xludf.DUMMYFUNCTION("""COMPUTED_VALUE"""),3.0)</f>
        <v>3</v>
      </c>
      <c r="K188" s="40" t="str">
        <f>IFERROR(__xludf.DUMMYFUNCTION("""COMPUTED_VALUE"""),"3 WUSTHO B PUTRI")</f>
        <v>3 WUSTHO B PUTRI</v>
      </c>
      <c r="L188" s="39" t="str">
        <f>IFERROR(__xludf.DUMMYFUNCTION("""COMPUTED_VALUE"""),"6285604191924")</f>
        <v>6285604191924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3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IFERROR(__xludf.DUMMYFUNCTION("""COMPUTED_VALUE"""),0.0)</f>
        <v>0</v>
      </c>
      <c r="BE188" s="43">
        <f>IFERROR(__xludf.DUMMYFUNCTION("""COMPUTED_VALUE"""),0.0)</f>
        <v>0</v>
      </c>
      <c r="BF188" s="44">
        <f>IFERROR(__xludf.DUMMYFUNCTION("""COMPUTED_VALUE"""),0.0)</f>
        <v>0</v>
      </c>
      <c r="BG188" s="56"/>
      <c r="BH188" s="56"/>
      <c r="BI188" s="5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</row>
    <row r="189">
      <c r="A189" s="47">
        <f>IFERROR(__xludf.DUMMYFUNCTION("""COMPUTED_VALUE"""),188.0)</f>
        <v>188</v>
      </c>
      <c r="B189" s="48" t="str">
        <f>IFERROR(__xludf.DUMMYFUNCTION("""COMPUTED_VALUE"""),"EIRMA NAFISYAH ADILLAH")</f>
        <v>EIRMA NAFISYAH ADILLAH</v>
      </c>
      <c r="C189" s="49">
        <f>IFERROR(__xludf.DUMMYFUNCTION("""COMPUTED_VALUE"""),2.02407019E9)</f>
        <v>2024070190</v>
      </c>
      <c r="D189" s="48" t="str">
        <f>IFERROR(__xludf.DUMMYFUNCTION("""COMPUTED_VALUE"""),"MOHD SUPARMAN")</f>
        <v>MOHD SUPARMAN</v>
      </c>
      <c r="E189" s="48" t="str">
        <f>IFERROR(__xludf.DUMMYFUNCTION("""COMPUTED_VALUE"""),"ENDANG SUGIARTI")</f>
        <v>ENDANG SUGIARTI</v>
      </c>
      <c r="F189" s="48" t="str">
        <f>IFERROR(__xludf.DUMMYFUNCTION("""COMPUTED_VALUE"""),"SHOBEROH DALEGAN RT 003 RW 009 PANCENG GRESIK")</f>
        <v>SHOBEROH DALEGAN RT 003 RW 009 PANCENG GRESIK</v>
      </c>
      <c r="G189" s="49" t="str">
        <f>IFERROR(__xludf.DUMMYFUNCTION("""COMPUTED_VALUE"""),"MA-XII.7")</f>
        <v>MA-XII.7</v>
      </c>
      <c r="H189" s="47" t="str">
        <f>IFERROR(__xludf.DUMMYFUNCTION("""COMPUTED_VALUE"""),"C")</f>
        <v>C</v>
      </c>
      <c r="I189" s="53" t="str">
        <f>IFERROR(__xludf.DUMMYFUNCTION("""COMPUTED_VALUE"""),"C-9")</f>
        <v>C-9</v>
      </c>
      <c r="J189" s="51">
        <f>IFERROR(__xludf.DUMMYFUNCTION("""COMPUTED_VALUE"""),3.0)</f>
        <v>3</v>
      </c>
      <c r="K189" s="51" t="str">
        <f>IFERROR(__xludf.DUMMYFUNCTION("""COMPUTED_VALUE"""),"3 WUSTHO B PUTRI")</f>
        <v>3 WUSTHO B PUTRI</v>
      </c>
      <c r="L189" s="50" t="str">
        <f>IFERROR(__xludf.DUMMYFUNCTION("""COMPUTED_VALUE"""),"601163973701")</f>
        <v>601163973701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>
        <f>IFERROR(__xludf.DUMMYFUNCTION("""COMPUTED_VALUE"""),450000.0)</f>
        <v>450000</v>
      </c>
      <c r="AJ189" s="53">
        <f>IFERROR(__xludf.DUMMYFUNCTION("""COMPUTED_VALUE"""),450000.0)</f>
        <v>450000</v>
      </c>
      <c r="AK189" s="53">
        <f>IFERROR(__xludf.DUMMYFUNCTION("""COMPUTED_VALUE"""),450000.0)</f>
        <v>450000</v>
      </c>
      <c r="AL189" s="53">
        <f>IFERROR(__xludf.DUMMYFUNCTION("""COMPUTED_VALUE"""),450000.0)</f>
        <v>450000</v>
      </c>
      <c r="AM189" s="53">
        <f>IFERROR(__xludf.DUMMYFUNCTION("""COMPUTED_VALUE"""),450000.0)</f>
        <v>450000</v>
      </c>
      <c r="AN189" s="53">
        <f>IFERROR(__xludf.DUMMYFUNCTION("""COMPUTED_VALUE"""),450000.0)</f>
        <v>450000</v>
      </c>
      <c r="AO189" s="53"/>
      <c r="AP189" s="53"/>
      <c r="AQ189" s="53"/>
      <c r="AR189" s="54"/>
      <c r="AS189" s="54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IFERROR(__xludf.DUMMYFUNCTION("""COMPUTED_VALUE"""),2700000.0)</f>
        <v>2700000</v>
      </c>
      <c r="BD189" s="54">
        <f>IFERROR(__xludf.DUMMYFUNCTION("""COMPUTED_VALUE"""),0.0)</f>
        <v>0</v>
      </c>
      <c r="BE189" s="54">
        <f>IFERROR(__xludf.DUMMYFUNCTION("""COMPUTED_VALUE"""),0.0)</f>
        <v>0</v>
      </c>
      <c r="BF189" s="55">
        <f>IFERROR(__xludf.DUMMYFUNCTION("""COMPUTED_VALUE"""),2700000.0)</f>
        <v>2700000</v>
      </c>
      <c r="BG189" s="57"/>
      <c r="BH189" s="57"/>
      <c r="BI189" s="57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</row>
    <row r="190">
      <c r="A190" s="36">
        <f>IFERROR(__xludf.DUMMYFUNCTION("""COMPUTED_VALUE"""),189.0)</f>
        <v>189</v>
      </c>
      <c r="B190" s="37" t="str">
        <f>IFERROR(__xludf.DUMMYFUNCTION("""COMPUTED_VALUE"""),"ELSA LAILATUN NIHAYAH")</f>
        <v>ELSA LAILATUN NIHAYAH</v>
      </c>
      <c r="C190" s="38">
        <f>IFERROR(__xludf.DUMMYFUNCTION("""COMPUTED_VALUE"""),2.024070112E9)</f>
        <v>2024070112</v>
      </c>
      <c r="D190" s="37" t="str">
        <f>IFERROR(__xludf.DUMMYFUNCTION("""COMPUTED_VALUE"""),"SAMUDJI")</f>
        <v>SAMUDJI</v>
      </c>
      <c r="E190" s="37" t="str">
        <f>IFERROR(__xludf.DUMMYFUNCTION("""COMPUTED_VALUE"""),"KARMU")</f>
        <v>KARMU</v>
      </c>
      <c r="F190" s="37" t="str">
        <f>IFERROR(__xludf.DUMMYFUNCTION("""COMPUTED_VALUE"""),"CLURING RT 002 RW 002 KALITENGAH LAMONGAN")</f>
        <v>CLURING RT 002 RW 002 KALITENGAH LAMONGAN</v>
      </c>
      <c r="G190" s="38" t="str">
        <f>IFERROR(__xludf.DUMMYFUNCTION("""COMPUTED_VALUE"""),"MA-XII.4")</f>
        <v>MA-XII.4</v>
      </c>
      <c r="H190" s="36" t="str">
        <f>IFERROR(__xludf.DUMMYFUNCTION("""COMPUTED_VALUE"""),"C")</f>
        <v>C</v>
      </c>
      <c r="I190" s="42" t="str">
        <f>IFERROR(__xludf.DUMMYFUNCTION("""COMPUTED_VALUE"""),"C-9")</f>
        <v>C-9</v>
      </c>
      <c r="J190" s="40">
        <f>IFERROR(__xludf.DUMMYFUNCTION("""COMPUTED_VALUE"""),3.0)</f>
        <v>3</v>
      </c>
      <c r="K190" s="40" t="str">
        <f>IFERROR(__xludf.DUMMYFUNCTION("""COMPUTED_VALUE"""),"3 WUSTHO B PUTRI")</f>
        <v>3 WUSTHO B PUTRI</v>
      </c>
      <c r="L190" s="39" t="str">
        <f>IFERROR(__xludf.DUMMYFUNCTION("""COMPUTED_VALUE"""),"6287794103025")</f>
        <v>6287794103025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>
        <f>IFERROR(__xludf.DUMMYFUNCTION("""COMPUTED_VALUE"""),500000.0)</f>
        <v>500000</v>
      </c>
      <c r="AQ190" s="43"/>
      <c r="AR190" s="43"/>
      <c r="AS190" s="43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IFERROR(__xludf.DUMMYFUNCTION("""COMPUTED_VALUE"""),500000.0)</f>
        <v>500000</v>
      </c>
      <c r="BE190" s="43">
        <f>IFERROR(__xludf.DUMMYFUNCTION("""COMPUTED_VALUE"""),0.0)</f>
        <v>0</v>
      </c>
      <c r="BF190" s="44">
        <f>IFERROR(__xludf.DUMMYFUNCTION("""COMPUTED_VALUE"""),500000.0)</f>
        <v>500000</v>
      </c>
      <c r="BG190" s="56"/>
      <c r="BH190" s="56"/>
      <c r="BI190" s="5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</row>
    <row r="191">
      <c r="A191" s="47">
        <f>IFERROR(__xludf.DUMMYFUNCTION("""COMPUTED_VALUE"""),190.0)</f>
        <v>190</v>
      </c>
      <c r="B191" s="48" t="str">
        <f>IFERROR(__xludf.DUMMYFUNCTION("""COMPUTED_VALUE"""),"FAIQOTU NABILA")</f>
        <v>FAIQOTU NABILA</v>
      </c>
      <c r="C191" s="49">
        <f>IFERROR(__xludf.DUMMYFUNCTION("""COMPUTED_VALUE"""),2.024070346E9)</f>
        <v>2024070346</v>
      </c>
      <c r="D191" s="48" t="str">
        <f>IFERROR(__xludf.DUMMYFUNCTION("""COMPUTED_VALUE"""),"HASAN ARIF")</f>
        <v>HASAN ARIF</v>
      </c>
      <c r="E191" s="48" t="str">
        <f>IFERROR(__xludf.DUMMYFUNCTION("""COMPUTED_VALUE"""),"KASMUDAH")</f>
        <v>KASMUDAH</v>
      </c>
      <c r="F191" s="48" t="str">
        <f>IFERROR(__xludf.DUMMYFUNCTION("""COMPUTED_VALUE"""),"WEDENG SUKOREJO RT 001 RW 003 KARANGBINANGUNG LAMONGAN")</f>
        <v>WEDENG SUKOREJO RT 001 RW 003 KARANGBINANGUNG LAMONGAN</v>
      </c>
      <c r="G191" s="49" t="str">
        <f>IFERROR(__xludf.DUMMYFUNCTION("""COMPUTED_VALUE"""),"MA-XII.11")</f>
        <v>MA-XII.11</v>
      </c>
      <c r="H191" s="47" t="str">
        <f>IFERROR(__xludf.DUMMYFUNCTION("""COMPUTED_VALUE"""),"C")</f>
        <v>C</v>
      </c>
      <c r="I191" s="53" t="str">
        <f>IFERROR(__xludf.DUMMYFUNCTION("""COMPUTED_VALUE"""),"C-9")</f>
        <v>C-9</v>
      </c>
      <c r="J191" s="51">
        <f>IFERROR(__xludf.DUMMYFUNCTION("""COMPUTED_VALUE"""),3.0)</f>
        <v>3</v>
      </c>
      <c r="K191" s="51" t="str">
        <f>IFERROR(__xludf.DUMMYFUNCTION("""COMPUTED_VALUE"""),"")</f>
        <v/>
      </c>
      <c r="L191" s="50" t="str">
        <f>IFERROR(__xludf.DUMMYFUNCTION("""COMPUTED_VALUE"""),"6285791219990")</f>
        <v>6285791219990</v>
      </c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>
        <f>IFERROR(__xludf.DUMMYFUNCTION("""COMPUTED_VALUE"""),450000.0)</f>
        <v>450000</v>
      </c>
      <c r="AN191" s="53">
        <f>IFERROR(__xludf.DUMMYFUNCTION("""COMPUTED_VALUE"""),450000.0)</f>
        <v>450000</v>
      </c>
      <c r="AO191" s="53"/>
      <c r="AP191" s="54"/>
      <c r="AQ191" s="53"/>
      <c r="AR191" s="54"/>
      <c r="AS191" s="54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IFERROR(__xludf.DUMMYFUNCTION("""COMPUTED_VALUE"""),900000.0)</f>
        <v>900000</v>
      </c>
      <c r="BD191" s="54">
        <f>IFERROR(__xludf.DUMMYFUNCTION("""COMPUTED_VALUE"""),0.0)</f>
        <v>0</v>
      </c>
      <c r="BE191" s="54">
        <f>IFERROR(__xludf.DUMMYFUNCTION("""COMPUTED_VALUE"""),0.0)</f>
        <v>0</v>
      </c>
      <c r="BF191" s="55">
        <f>IFERROR(__xludf.DUMMYFUNCTION("""COMPUTED_VALUE"""),900000.0)</f>
        <v>900000</v>
      </c>
      <c r="BG191" s="57"/>
      <c r="BH191" s="57"/>
      <c r="BI191" s="57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</row>
    <row r="192">
      <c r="A192" s="36">
        <f>IFERROR(__xludf.DUMMYFUNCTION("""COMPUTED_VALUE"""),191.0)</f>
        <v>191</v>
      </c>
      <c r="B192" s="37" t="str">
        <f>IFERROR(__xludf.DUMMYFUNCTION("""COMPUTED_VALUE"""),"FARADIVA AQILLA ELFARIANI")</f>
        <v>FARADIVA AQILLA ELFARIANI</v>
      </c>
      <c r="C192" s="38">
        <f>IFERROR(__xludf.DUMMYFUNCTION("""COMPUTED_VALUE"""),2.024070073E9)</f>
        <v>2024070073</v>
      </c>
      <c r="D192" s="37" t="str">
        <f>IFERROR(__xludf.DUMMYFUNCTION("""COMPUTED_VALUE"""),"ASKUR")</f>
        <v>ASKUR</v>
      </c>
      <c r="E192" s="37" t="str">
        <f>IFERROR(__xludf.DUMMYFUNCTION("""COMPUTED_VALUE"""),"SRI PURWANI")</f>
        <v>SRI PURWANI</v>
      </c>
      <c r="F192" s="37" t="str">
        <f>IFERROR(__xludf.DUMMYFUNCTION("""COMPUTED_VALUE"""),"KAWISTOLEGI RT 002 RW 001 KARANGGENENG LAMONGAN")</f>
        <v>KAWISTOLEGI RT 002 RW 001 KARANGGENENG LAMONGAN</v>
      </c>
      <c r="G192" s="38" t="str">
        <f>IFERROR(__xludf.DUMMYFUNCTION("""COMPUTED_VALUE"""),"MA-XII.3")</f>
        <v>MA-XII.3</v>
      </c>
      <c r="H192" s="36" t="str">
        <f>IFERROR(__xludf.DUMMYFUNCTION("""COMPUTED_VALUE"""),"C")</f>
        <v>C</v>
      </c>
      <c r="I192" s="42" t="str">
        <f>IFERROR(__xludf.DUMMYFUNCTION("""COMPUTED_VALUE"""),"C-9")</f>
        <v>C-9</v>
      </c>
      <c r="J192" s="40">
        <f>IFERROR(__xludf.DUMMYFUNCTION("""COMPUTED_VALUE"""),3.0)</f>
        <v>3</v>
      </c>
      <c r="K192" s="40" t="str">
        <f>IFERROR(__xludf.DUMMYFUNCTION("""COMPUTED_VALUE"""),"3 WUSTHO A PUTRI")</f>
        <v>3 WUSTHO A PUTRI</v>
      </c>
      <c r="L192" s="39" t="str">
        <f>IFERROR(__xludf.DUMMYFUNCTION("""COMPUTED_VALUE"""),"6285648727712")</f>
        <v>6285648727712</v>
      </c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>
        <f>IFERROR(__xludf.DUMMYFUNCTION("""COMPUTED_VALUE"""),500000.0)</f>
        <v>500000</v>
      </c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>
        <f>IFERROR(__xludf.DUMMYFUNCTION("""COMPUTED_VALUE"""),450000.0)</f>
        <v>450000</v>
      </c>
      <c r="AO192" s="43"/>
      <c r="AP192" s="42">
        <f>IFERROR(__xludf.DUMMYFUNCTION("""COMPUTED_VALUE"""),500000.0)</f>
        <v>500000</v>
      </c>
      <c r="AQ192" s="42"/>
      <c r="AR192" s="42"/>
      <c r="AS192" s="43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IFERROR(__xludf.DUMMYFUNCTION("""COMPUTED_VALUE"""),450000.0)</f>
        <v>450000</v>
      </c>
      <c r="BD192" s="43">
        <f>IFERROR(__xludf.DUMMYFUNCTION("""COMPUTED_VALUE"""),1000000.0)</f>
        <v>1000000</v>
      </c>
      <c r="BE192" s="43">
        <f>IFERROR(__xludf.DUMMYFUNCTION("""COMPUTED_VALUE"""),0.0)</f>
        <v>0</v>
      </c>
      <c r="BF192" s="44">
        <f>IFERROR(__xludf.DUMMYFUNCTION("""COMPUTED_VALUE"""),1450000.0)</f>
        <v>1450000</v>
      </c>
      <c r="BG192" s="56"/>
      <c r="BH192" s="56"/>
      <c r="BI192" s="5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</row>
    <row r="193">
      <c r="A193" s="47">
        <f>IFERROR(__xludf.DUMMYFUNCTION("""COMPUTED_VALUE"""),192.0)</f>
        <v>192</v>
      </c>
      <c r="B193" s="48" t="str">
        <f>IFERROR(__xludf.DUMMYFUNCTION("""COMPUTED_VALUE"""),"FARIKHATUL ISTIMAROH")</f>
        <v>FARIKHATUL ISTIMAROH</v>
      </c>
      <c r="C193" s="49">
        <f>IFERROR(__xludf.DUMMYFUNCTION("""COMPUTED_VALUE"""),2.024070419E9)</f>
        <v>2024070419</v>
      </c>
      <c r="D193" s="48" t="str">
        <f>IFERROR(__xludf.DUMMYFUNCTION("""COMPUTED_VALUE"""),"RADI")</f>
        <v>RADI</v>
      </c>
      <c r="E193" s="48" t="str">
        <f>IFERROR(__xludf.DUMMYFUNCTION("""COMPUTED_VALUE"""),"MURNI")</f>
        <v>MURNI</v>
      </c>
      <c r="F193" s="48" t="str">
        <f>IFERROR(__xludf.DUMMYFUNCTION("""COMPUTED_VALUE"""),"MOROGO PUTATKUMPUL RT 003 RW 005 TURI LAMONGAN")</f>
        <v>MOROGO PUTATKUMPUL RT 003 RW 005 TURI LAMONGAN</v>
      </c>
      <c r="G193" s="49" t="str">
        <f>IFERROR(__xludf.DUMMYFUNCTION("""COMPUTED_VALUE"""),"MA-XII.13")</f>
        <v>MA-XII.13</v>
      </c>
      <c r="H193" s="47" t="str">
        <f>IFERROR(__xludf.DUMMYFUNCTION("""COMPUTED_VALUE"""),"C")</f>
        <v>C</v>
      </c>
      <c r="I193" s="53" t="str">
        <f>IFERROR(__xludf.DUMMYFUNCTION("""COMPUTED_VALUE"""),"C-7")</f>
        <v>C-7</v>
      </c>
      <c r="J193" s="51">
        <f>IFERROR(__xludf.DUMMYFUNCTION("""COMPUTED_VALUE"""),3.0)</f>
        <v>3</v>
      </c>
      <c r="K193" s="51" t="str">
        <f>IFERROR(__xludf.DUMMYFUNCTION("""COMPUTED_VALUE"""),"3 MAK PUTRI")</f>
        <v>3 MAK PUTRI</v>
      </c>
      <c r="L193" s="50" t="str">
        <f>IFERROR(__xludf.DUMMYFUNCTION("""COMPUTED_VALUE"""),"6285648855706")</f>
        <v>6285648855706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>
        <f>IFERROR(__xludf.DUMMYFUNCTION("""COMPUTED_VALUE"""),500000.0)</f>
        <v>500000</v>
      </c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>
        <f>IFERROR(__xludf.DUMMYFUNCTION("""COMPUTED_VALUE"""),450000.0)</f>
        <v>450000</v>
      </c>
      <c r="AN193" s="53">
        <f>IFERROR(__xludf.DUMMYFUNCTION("""COMPUTED_VALUE"""),450000.0)</f>
        <v>450000</v>
      </c>
      <c r="AO193" s="53"/>
      <c r="AP193" s="54">
        <f>IFERROR(__xludf.DUMMYFUNCTION("""COMPUTED_VALUE"""),500000.0)</f>
        <v>500000</v>
      </c>
      <c r="AQ193" s="53"/>
      <c r="AR193" s="54"/>
      <c r="AS193" s="54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IFERROR(__xludf.DUMMYFUNCTION("""COMPUTED_VALUE"""),900000.0)</f>
        <v>900000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IFERROR(__xludf.DUMMYFUNCTION("""COMPUTED_VALUE"""),1900000.0)</f>
        <v>1900000</v>
      </c>
      <c r="BG193" s="57"/>
      <c r="BH193" s="57"/>
      <c r="BI193" s="57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</row>
    <row r="194">
      <c r="A194" s="36">
        <f>IFERROR(__xludf.DUMMYFUNCTION("""COMPUTED_VALUE"""),193.0)</f>
        <v>193</v>
      </c>
      <c r="B194" s="37" t="str">
        <f>IFERROR(__xludf.DUMMYFUNCTION("""COMPUTED_VALUE"""),"FARIKHTA RAMADHANI RIDWAN")</f>
        <v>FARIKHTA RAMADHANI RIDWAN</v>
      </c>
      <c r="C194" s="38">
        <f>IFERROR(__xludf.DUMMYFUNCTION("""COMPUTED_VALUE"""),2.024070043E9)</f>
        <v>2024070043</v>
      </c>
      <c r="D194" s="37" t="str">
        <f>IFERROR(__xludf.DUMMYFUNCTION("""COMPUTED_VALUE"""),"RIDWAN")</f>
        <v>RIDWAN</v>
      </c>
      <c r="E194" s="37" t="str">
        <f>IFERROR(__xludf.DUMMYFUNCTION("""COMPUTED_VALUE"""),"YENI KHUSNIYAH")</f>
        <v>YENI KHUSNIYAH</v>
      </c>
      <c r="F194" s="37" t="str">
        <f>IFERROR(__xludf.DUMMYFUNCTION("""COMPUTED_VALUE"""),"PEGANDEN PALACE PEGANDEN RT 3 RW 7 MANYAR GRESIK")</f>
        <v>PEGANDEN PALACE PEGANDEN RT 3 RW 7 MANYAR GRESIK</v>
      </c>
      <c r="G194" s="38" t="str">
        <f>IFERROR(__xludf.DUMMYFUNCTION("""COMPUTED_VALUE"""),"MA-XII.2")</f>
        <v>MA-XII.2</v>
      </c>
      <c r="H194" s="36" t="str">
        <f>IFERROR(__xludf.DUMMYFUNCTION("""COMPUTED_VALUE"""),"C")</f>
        <v>C</v>
      </c>
      <c r="I194" s="42" t="str">
        <f>IFERROR(__xludf.DUMMYFUNCTION("""COMPUTED_VALUE"""),"C-8")</f>
        <v>C-8</v>
      </c>
      <c r="J194" s="40">
        <f>IFERROR(__xludf.DUMMYFUNCTION("""COMPUTED_VALUE"""),3.0)</f>
        <v>3</v>
      </c>
      <c r="K194" s="40" t="str">
        <f>IFERROR(__xludf.DUMMYFUNCTION("""COMPUTED_VALUE"""),"")</f>
        <v/>
      </c>
      <c r="L194" s="39" t="str">
        <f>IFERROR(__xludf.DUMMYFUNCTION("""COMPUTED_VALUE"""),"6283856686322")</f>
        <v>6283856686322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>
        <f>IFERROR(__xludf.DUMMYFUNCTION("""COMPUTED_VALUE"""),0.0)</f>
        <v>0</v>
      </c>
      <c r="AG194" s="42">
        <f>IFERROR(__xludf.DUMMYFUNCTION("""COMPUTED_VALUE"""),0.0)</f>
        <v>0</v>
      </c>
      <c r="AH194" s="42">
        <f>IFERROR(__xludf.DUMMYFUNCTION("""COMPUTED_VALUE"""),0.0)</f>
        <v>0</v>
      </c>
      <c r="AI194" s="42">
        <f>IFERROR(__xludf.DUMMYFUNCTION("""COMPUTED_VALUE"""),0.0)</f>
        <v>0</v>
      </c>
      <c r="AJ194" s="42">
        <f>IFERROR(__xludf.DUMMYFUNCTION("""COMPUTED_VALUE"""),0.0)</f>
        <v>0</v>
      </c>
      <c r="AK194" s="42">
        <f>IFERROR(__xludf.DUMMYFUNCTION("""COMPUTED_VALUE"""),0.0)</f>
        <v>0</v>
      </c>
      <c r="AL194" s="42">
        <f>IFERROR(__xludf.DUMMYFUNCTION("""COMPUTED_VALUE"""),0.0)</f>
        <v>0</v>
      </c>
      <c r="AM194" s="42">
        <f>IFERROR(__xludf.DUMMYFUNCTION("""COMPUTED_VALUE"""),0.0)</f>
        <v>0</v>
      </c>
      <c r="AN194" s="42">
        <f>IFERROR(__xludf.DUMMYFUNCTION("""COMPUTED_VALUE"""),0.0)</f>
        <v>0</v>
      </c>
      <c r="AO194" s="42"/>
      <c r="AP194" s="42"/>
      <c r="AQ194" s="42"/>
      <c r="AR194" s="43"/>
      <c r="AS194" s="43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IFERROR(__xludf.DUMMYFUNCTION("""COMPUTED_VALUE"""),0.0)</f>
        <v>0</v>
      </c>
      <c r="BE194" s="43">
        <f>IFERROR(__xludf.DUMMYFUNCTION("""COMPUTED_VALUE"""),0.0)</f>
        <v>0</v>
      </c>
      <c r="BF194" s="44">
        <f>IFERROR(__xludf.DUMMYFUNCTION("""COMPUTED_VALUE"""),0.0)</f>
        <v>0</v>
      </c>
      <c r="BG194" s="56"/>
      <c r="BH194" s="56"/>
      <c r="BI194" s="5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</row>
    <row r="195">
      <c r="A195" s="47">
        <f>IFERROR(__xludf.DUMMYFUNCTION("""COMPUTED_VALUE"""),194.0)</f>
        <v>194</v>
      </c>
      <c r="B195" s="48" t="str">
        <f>IFERROR(__xludf.DUMMYFUNCTION("""COMPUTED_VALUE"""),"FATHIMAH ANNAJWA")</f>
        <v>FATHIMAH ANNAJWA</v>
      </c>
      <c r="C195" s="49">
        <f>IFERROR(__xludf.DUMMYFUNCTION("""COMPUTED_VALUE"""),2.02407042E9)</f>
        <v>2024070420</v>
      </c>
      <c r="D195" s="48" t="str">
        <f>IFERROR(__xludf.DUMMYFUNCTION("""COMPUTED_VALUE"""),"AH YASIR")</f>
        <v>AH YASIR</v>
      </c>
      <c r="E195" s="57" t="str">
        <f>IFERROR(__xludf.DUMMYFUNCTION("""COMPUTED_VALUE"""),"MARIYATUL QIBTIYAH")</f>
        <v>MARIYATUL QIBTIYAH</v>
      </c>
      <c r="F195" s="48" t="str">
        <f>IFERROR(__xludf.DUMMYFUNCTION("""COMPUTED_VALUE"""),"TAMBAKREJO RT 005 RW 001 DUDUK SAMPEYAN GRESIK")</f>
        <v>TAMBAKREJO RT 005 RW 001 DUDUK SAMPEYAN GRESIK</v>
      </c>
      <c r="G195" s="49" t="str">
        <f>IFERROR(__xludf.DUMMYFUNCTION("""COMPUTED_VALUE"""),"MA-XII.13")</f>
        <v>MA-XII.13</v>
      </c>
      <c r="H195" s="47" t="str">
        <f>IFERROR(__xludf.DUMMYFUNCTION("""COMPUTED_VALUE"""),"C")</f>
        <v>C</v>
      </c>
      <c r="I195" s="51" t="str">
        <f>IFERROR(__xludf.DUMMYFUNCTION("""COMPUTED_VALUE"""),"C-7")</f>
        <v>C-7</v>
      </c>
      <c r="J195" s="51">
        <f>IFERROR(__xludf.DUMMYFUNCTION("""COMPUTED_VALUE"""),3.0)</f>
        <v>3</v>
      </c>
      <c r="K195" s="51" t="str">
        <f>IFERROR(__xludf.DUMMYFUNCTION("""COMPUTED_VALUE"""),"3 MAK PUTRI")</f>
        <v>3 MAK PUTRI</v>
      </c>
      <c r="L195" s="50" t="str">
        <f>IFERROR(__xludf.DUMMYFUNCTION("""COMPUTED_VALUE"""),"6282132397918")</f>
        <v>6282132397918</v>
      </c>
      <c r="M195" s="54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4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4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7"/>
      <c r="BH195" s="57"/>
      <c r="BI195" s="57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</row>
    <row r="196">
      <c r="A196" s="36">
        <f>IFERROR(__xludf.DUMMYFUNCTION("""COMPUTED_VALUE"""),195.0)</f>
        <v>195</v>
      </c>
      <c r="B196" s="37" t="str">
        <f>IFERROR(__xludf.DUMMYFUNCTION("""COMPUTED_VALUE"""),"FATIMATUZZAHROH MUSOFFA")</f>
        <v>FATIMATUZZAHROH MUSOFFA</v>
      </c>
      <c r="C196" s="38">
        <f>IFERROR(__xludf.DUMMYFUNCTION("""COMPUTED_VALUE"""),2.024070045E9)</f>
        <v>2024070045</v>
      </c>
      <c r="D196" s="37" t="str">
        <f>IFERROR(__xludf.DUMMYFUNCTION("""COMPUTED_VALUE"""),"SUFYAN ZAKARIYAH")</f>
        <v>SUFYAN ZAKARIYAH</v>
      </c>
      <c r="E196" s="37" t="str">
        <f>IFERROR(__xludf.DUMMYFUNCTION("""COMPUTED_VALUE"""),"MUSLIMAH")</f>
        <v>MUSLIMAH</v>
      </c>
      <c r="F196" s="37" t="str">
        <f>IFERROR(__xludf.DUMMYFUNCTION("""COMPUTED_VALUE"""),"WEDENG SUKOREJO RT 002 RW 003 KARANGBINANGUN LAMONGAN")</f>
        <v>WEDENG SUKOREJO RT 002 RW 003 KARANGBINANGUN LAMONGAN</v>
      </c>
      <c r="G196" s="38" t="str">
        <f>IFERROR(__xludf.DUMMYFUNCTION("""COMPUTED_VALUE"""),"MA-XII.2")</f>
        <v>MA-XII.2</v>
      </c>
      <c r="H196" s="36" t="str">
        <f>IFERROR(__xludf.DUMMYFUNCTION("""COMPUTED_VALUE"""),"C")</f>
        <v>C</v>
      </c>
      <c r="I196" s="42" t="str">
        <f>IFERROR(__xludf.DUMMYFUNCTION("""COMPUTED_VALUE"""),"C-9")</f>
        <v>C-9</v>
      </c>
      <c r="J196" s="40">
        <f>IFERROR(__xludf.DUMMYFUNCTION("""COMPUTED_VALUE"""),3.0)</f>
        <v>3</v>
      </c>
      <c r="K196" s="40" t="str">
        <f>IFERROR(__xludf.DUMMYFUNCTION("""COMPUTED_VALUE"""),"")</f>
        <v/>
      </c>
      <c r="L196" s="39" t="str">
        <f>IFERROR(__xludf.DUMMYFUNCTION("""COMPUTED_VALUE"""),"6285893727203")</f>
        <v>6285893727203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3"/>
      <c r="AB196" s="42">
        <f>IFERROR(__xludf.DUMMYFUNCTION("""COMPUTED_VALUE"""),500000.0)</f>
        <v>500000</v>
      </c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2">
        <f>IFERROR(__xludf.DUMMYFUNCTION("""COMPUTED_VALUE"""),500000.0)</f>
        <v>500000</v>
      </c>
      <c r="AQ196" s="43"/>
      <c r="AR196" s="43"/>
      <c r="AS196" s="43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IFERROR(__xludf.DUMMYFUNCTION("""COMPUTED_VALUE"""),0.0)</f>
        <v>0</v>
      </c>
      <c r="BD196" s="43">
        <f>IFERROR(__xludf.DUMMYFUNCTION("""COMPUTED_VALUE"""),1000000.0)</f>
        <v>1000000</v>
      </c>
      <c r="BE196" s="43">
        <f>IFERROR(__xludf.DUMMYFUNCTION("""COMPUTED_VALUE"""),0.0)</f>
        <v>0</v>
      </c>
      <c r="BF196" s="44">
        <f>IFERROR(__xludf.DUMMYFUNCTION("""COMPUTED_VALUE"""),1000000.0)</f>
        <v>1000000</v>
      </c>
      <c r="BG196" s="56"/>
      <c r="BH196" s="56"/>
      <c r="BI196" s="5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</row>
    <row r="197">
      <c r="A197" s="47">
        <f>IFERROR(__xludf.DUMMYFUNCTION("""COMPUTED_VALUE"""),196.0)</f>
        <v>196</v>
      </c>
      <c r="B197" s="48" t="str">
        <f>IFERROR(__xludf.DUMMYFUNCTION("""COMPUTED_VALUE"""),"FILDZAH ALTOFUN NESA")</f>
        <v>FILDZAH ALTOFUN NESA</v>
      </c>
      <c r="C197" s="49">
        <f>IFERROR(__xludf.DUMMYFUNCTION("""COMPUTED_VALUE"""),2.024070549E9)</f>
        <v>2024070549</v>
      </c>
      <c r="D197" s="48" t="str">
        <f>IFERROR(__xludf.DUMMYFUNCTION("""COMPUTED_VALUE"""),"MOCH SAIFUL ARIF")</f>
        <v>MOCH SAIFUL ARIF</v>
      </c>
      <c r="E197" s="48" t="str">
        <f>IFERROR(__xludf.DUMMYFUNCTION("""COMPUTED_VALUE"""),"LUSIANA DWININGTIAS")</f>
        <v>LUSIANA DWININGTIAS</v>
      </c>
      <c r="F197" s="48" t="str">
        <f>IFERROR(__xludf.DUMMYFUNCTION("""COMPUTED_VALUE"""),"NGULEK KALIREJO RT 003 RW 002 DUKUN GRESIK")</f>
        <v>NGULEK KALIREJO RT 003 RW 002 DUKUN GRESIK</v>
      </c>
      <c r="G197" s="49" t="str">
        <f>IFERROR(__xludf.DUMMYFUNCTION("""COMPUTED_VALUE"""),"MTS-9 G")</f>
        <v>MTS-9 G</v>
      </c>
      <c r="H197" s="47" t="str">
        <f>IFERROR(__xludf.DUMMYFUNCTION("""COMPUTED_VALUE"""),"C")</f>
        <v>C</v>
      </c>
      <c r="I197" s="53" t="str">
        <f>IFERROR(__xludf.DUMMYFUNCTION("""COMPUTED_VALUE"""),"C-12")</f>
        <v>C-12</v>
      </c>
      <c r="J197" s="51">
        <f>IFERROR(__xludf.DUMMYFUNCTION("""COMPUTED_VALUE"""),3.0)</f>
        <v>3</v>
      </c>
      <c r="K197" s="51" t="str">
        <f>IFERROR(__xludf.DUMMYFUNCTION("""COMPUTED_VALUE"""),"3 ULA B PUTRI")</f>
        <v>3 ULA B PUTRI</v>
      </c>
      <c r="L197" s="50" t="str">
        <f>IFERROR(__xludf.DUMMYFUNCTION("""COMPUTED_VALUE"""),"628121719135")</f>
        <v>628121719135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>
        <f>IFERROR(__xludf.DUMMYFUNCTION("""COMPUTED_VALUE"""),450000.0)</f>
        <v>450000</v>
      </c>
      <c r="AM197" s="53">
        <f>IFERROR(__xludf.DUMMYFUNCTION("""COMPUTED_VALUE"""),450000.0)</f>
        <v>450000</v>
      </c>
      <c r="AN197" s="53">
        <f>IFERROR(__xludf.DUMMYFUNCTION("""COMPUTED_VALUE"""),450000.0)</f>
        <v>450000</v>
      </c>
      <c r="AO197" s="53"/>
      <c r="AP197" s="53"/>
      <c r="AQ197" s="53"/>
      <c r="AR197" s="53"/>
      <c r="AS197" s="54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IFERROR(__xludf.DUMMYFUNCTION("""COMPUTED_VALUE"""),1350000.0)</f>
        <v>1350000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IFERROR(__xludf.DUMMYFUNCTION("""COMPUTED_VALUE"""),1350000.0)</f>
        <v>1350000</v>
      </c>
      <c r="BG197" s="57"/>
      <c r="BH197" s="57"/>
      <c r="BI197" s="57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</row>
    <row r="198">
      <c r="A198" s="36">
        <f>IFERROR(__xludf.DUMMYFUNCTION("""COMPUTED_VALUE"""),197.0)</f>
        <v>197</v>
      </c>
      <c r="B198" s="37" t="str">
        <f>IFERROR(__xludf.DUMMYFUNCTION("""COMPUTED_VALUE"""),"FIRNANDA KHOLAGUL HIDAYATUS MUAWIYAH")</f>
        <v>FIRNANDA KHOLAGUL HIDAYATUS MUAWIYAH</v>
      </c>
      <c r="C198" s="38">
        <f>IFERROR(__xludf.DUMMYFUNCTION("""COMPUTED_VALUE"""),2.024070421E9)</f>
        <v>2024070421</v>
      </c>
      <c r="D198" s="37" t="str">
        <f>IFERROR(__xludf.DUMMYFUNCTION("""COMPUTED_VALUE"""),"M ASYHARI")</f>
        <v>M ASYHARI</v>
      </c>
      <c r="E198" s="37" t="str">
        <f>IFERROR(__xludf.DUMMYFUNCTION("""COMPUTED_VALUE"""),"MU'INAH")</f>
        <v>MU'INAH</v>
      </c>
      <c r="F198" s="37" t="str">
        <f>IFERROR(__xludf.DUMMYFUNCTION("""COMPUTED_VALUE"""),"WEDENG SUKOREJO RT 001 RW 001 KARANGBINANGUN LAMONGAN")</f>
        <v>WEDENG SUKOREJO RT 001 RW 001 KARANGBINANGUN LAMONGAN</v>
      </c>
      <c r="G198" s="38" t="str">
        <f>IFERROR(__xludf.DUMMYFUNCTION("""COMPUTED_VALUE"""),"MA-XII.13")</f>
        <v>MA-XII.13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IFERROR(__xludf.DUMMYFUNCTION("""COMPUTED_VALUE"""),3.0)</f>
        <v>3</v>
      </c>
      <c r="K198" s="40" t="str">
        <f>IFERROR(__xludf.DUMMYFUNCTION("""COMPUTED_VALUE"""),"")</f>
        <v/>
      </c>
      <c r="L198" s="39" t="str">
        <f>IFERROR(__xludf.DUMMYFUNCTION("""COMPUTED_VALUE"""),"628564085976")</f>
        <v>628564085976</v>
      </c>
      <c r="M198" s="42">
        <f>IFERROR(__xludf.DUMMYFUNCTION("""COMPUTED_VALUE"""),600000.0)</f>
        <v>600000</v>
      </c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3"/>
      <c r="AD198" s="43"/>
      <c r="AE198" s="43"/>
      <c r="AF198" s="43"/>
      <c r="AG198" s="43">
        <f>IFERROR(__xludf.DUMMYFUNCTION("""COMPUTED_VALUE"""),450000.0)</f>
        <v>450000</v>
      </c>
      <c r="AH198" s="43">
        <f>IFERROR(__xludf.DUMMYFUNCTION("""COMPUTED_VALUE"""),450000.0)</f>
        <v>450000</v>
      </c>
      <c r="AI198" s="43">
        <f>IFERROR(__xludf.DUMMYFUNCTION("""COMPUTED_VALUE"""),450000.0)</f>
        <v>450000</v>
      </c>
      <c r="AJ198" s="43">
        <f>IFERROR(__xludf.DUMMYFUNCTION("""COMPUTED_VALUE"""),450000.0)</f>
        <v>450000</v>
      </c>
      <c r="AK198" s="43">
        <f>IFERROR(__xludf.DUMMYFUNCTION("""COMPUTED_VALUE"""),450000.0)</f>
        <v>450000</v>
      </c>
      <c r="AL198" s="43">
        <f>IFERROR(__xludf.DUMMYFUNCTION("""COMPUTED_VALUE"""),450000.0)</f>
        <v>450000</v>
      </c>
      <c r="AM198" s="43">
        <f>IFERROR(__xludf.DUMMYFUNCTION("""COMPUTED_VALUE"""),450000.0)</f>
        <v>450000</v>
      </c>
      <c r="AN198" s="43">
        <f>IFERROR(__xludf.DUMMYFUNCTION("""COMPUTED_VALUE"""),450000.0)</f>
        <v>450000</v>
      </c>
      <c r="AO198" s="43"/>
      <c r="AP198" s="43">
        <f>IFERROR(__xludf.DUMMYFUNCTION("""COMPUTED_VALUE"""),500000.0)</f>
        <v>500000</v>
      </c>
      <c r="AQ198" s="43"/>
      <c r="AR198" s="43"/>
      <c r="AS198" s="43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IFERROR(__xludf.DUMMYFUNCTION("""COMPUTED_VALUE"""),3600000.0)</f>
        <v>3600000</v>
      </c>
      <c r="BD198" s="43">
        <f>IFERROR(__xludf.DUMMYFUNCTION("""COMPUTED_VALUE"""),1600000.0)</f>
        <v>1600000</v>
      </c>
      <c r="BE198" s="43">
        <f>IFERROR(__xludf.DUMMYFUNCTION("""COMPUTED_VALUE"""),0.0)</f>
        <v>0</v>
      </c>
      <c r="BF198" s="44">
        <f>IFERROR(__xludf.DUMMYFUNCTION("""COMPUTED_VALUE"""),5200000.0)</f>
        <v>5200000</v>
      </c>
      <c r="BG198" s="56"/>
      <c r="BH198" s="56"/>
      <c r="BI198" s="5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</row>
    <row r="199">
      <c r="A199" s="47">
        <f>IFERROR(__xludf.DUMMYFUNCTION("""COMPUTED_VALUE"""),198.0)</f>
        <v>198</v>
      </c>
      <c r="B199" s="48" t="str">
        <f>IFERROR(__xludf.DUMMYFUNCTION("""COMPUTED_VALUE"""),"FITA ARUMNI SEPTHIANY")</f>
        <v>FITA ARUMNI SEPTHIANY</v>
      </c>
      <c r="C199" s="49">
        <f>IFERROR(__xludf.DUMMYFUNCTION("""COMPUTED_VALUE"""),2.024070008E9)</f>
        <v>2024070008</v>
      </c>
      <c r="D199" s="48" t="str">
        <f>IFERROR(__xludf.DUMMYFUNCTION("""COMPUTED_VALUE"""),"SOLADI")</f>
        <v>SOLADI</v>
      </c>
      <c r="E199" s="48" t="str">
        <f>IFERROR(__xludf.DUMMYFUNCTION("""COMPUTED_VALUE"""),"KASTILAH")</f>
        <v>KASTILAH</v>
      </c>
      <c r="F199" s="48" t="str">
        <f>IFERROR(__xludf.DUMMYFUNCTION("""COMPUTED_VALUE"""),"KULURAN RT 4 RW 4 KALITENGAH LAMONGAN")</f>
        <v>KULURAN RT 4 RW 4 KALITENGAH LAMONGAN</v>
      </c>
      <c r="G199" s="49" t="str">
        <f>IFERROR(__xludf.DUMMYFUNCTION("""COMPUTED_VALUE"""),"MA-XII.1")</f>
        <v>MA-XII.1</v>
      </c>
      <c r="H199" s="47" t="str">
        <f>IFERROR(__xludf.DUMMYFUNCTION("""COMPUTED_VALUE"""),"C")</f>
        <v>C</v>
      </c>
      <c r="I199" s="53" t="str">
        <f>IFERROR(__xludf.DUMMYFUNCTION("""COMPUTED_VALUE"""),"C-2")</f>
        <v>C-2</v>
      </c>
      <c r="J199" s="51">
        <f>IFERROR(__xludf.DUMMYFUNCTION("""COMPUTED_VALUE"""),3.0)</f>
        <v>3</v>
      </c>
      <c r="K199" s="51" t="str">
        <f>IFERROR(__xludf.DUMMYFUNCTION("""COMPUTED_VALUE"""),"")</f>
        <v/>
      </c>
      <c r="L199" s="50" t="str">
        <f>IFERROR(__xludf.DUMMYFUNCTION("""COMPUTED_VALUE"""),"6285707808910")</f>
        <v>6285707808910</v>
      </c>
      <c r="M199" s="54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4">
        <f>IFERROR(__xludf.DUMMYFUNCTION("""COMPUTED_VALUE"""),500000.0)</f>
        <v>500000</v>
      </c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>
        <f>IFERROR(__xludf.DUMMYFUNCTION("""COMPUTED_VALUE"""),450000.0)</f>
        <v>450000</v>
      </c>
      <c r="AN199" s="53">
        <f>IFERROR(__xludf.DUMMYFUNCTION("""COMPUTED_VALUE"""),450000.0)</f>
        <v>450000</v>
      </c>
      <c r="AO199" s="53"/>
      <c r="AP199" s="54">
        <f>IFERROR(__xludf.DUMMYFUNCTION("""COMPUTED_VALUE"""),500000.0)</f>
        <v>500000</v>
      </c>
      <c r="AQ199" s="53"/>
      <c r="AR199" s="53"/>
      <c r="AS199" s="54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IFERROR(__xludf.DUMMYFUNCTION("""COMPUTED_VALUE"""),900000.0)</f>
        <v>900000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IFERROR(__xludf.DUMMYFUNCTION("""COMPUTED_VALUE"""),1900000.0)</f>
        <v>1900000</v>
      </c>
      <c r="BG199" s="57"/>
      <c r="BH199" s="57"/>
      <c r="BI199" s="57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</row>
    <row r="200">
      <c r="A200" s="36">
        <f>IFERROR(__xludf.DUMMYFUNCTION("""COMPUTED_VALUE"""),199.0)</f>
        <v>199</v>
      </c>
      <c r="B200" s="37" t="str">
        <f>IFERROR(__xludf.DUMMYFUNCTION("""COMPUTED_VALUE"""),"FLORETA NAFISHA PUTRI")</f>
        <v>FLORETA NAFISHA PUTRI</v>
      </c>
      <c r="C200" s="38">
        <f>IFERROR(__xludf.DUMMYFUNCTION("""COMPUTED_VALUE"""),2.024070422E9)</f>
        <v>2024070422</v>
      </c>
      <c r="D200" s="37" t="str">
        <f>IFERROR(__xludf.DUMMYFUNCTION("""COMPUTED_VALUE"""),"JOKO PURNOMO")</f>
        <v>JOKO PURNOMO</v>
      </c>
      <c r="E200" s="37" t="str">
        <f>IFERROR(__xludf.DUMMYFUNCTION("""COMPUTED_VALUE"""),"PUTRI NINGSIH")</f>
        <v>PUTRI NINGSIH</v>
      </c>
      <c r="F200" s="37" t="str">
        <f>IFERROR(__xludf.DUMMYFUNCTION("""COMPUTED_VALUE"""),"JL. MAWAR NO. 047 SIMBATAN RT 001 RW 001 SARIREJO LAMONGAN")</f>
        <v>JL. MAWAR NO. 047 SIMBATAN RT 001 RW 001 SARIREJO LAMONGAN</v>
      </c>
      <c r="G200" s="38" t="str">
        <f>IFERROR(__xludf.DUMMYFUNCTION("""COMPUTED_VALUE"""),"MA-XII.13")</f>
        <v>MA-XII.13</v>
      </c>
      <c r="H200" s="36" t="str">
        <f>IFERROR(__xludf.DUMMYFUNCTION("""COMPUTED_VALUE"""),"C")</f>
        <v>C</v>
      </c>
      <c r="I200" s="42" t="str">
        <f>IFERROR(__xludf.DUMMYFUNCTION("""COMPUTED_VALUE"""),"C-7")</f>
        <v>C-7</v>
      </c>
      <c r="J200" s="40">
        <f>IFERROR(__xludf.DUMMYFUNCTION("""COMPUTED_VALUE"""),3.0)</f>
        <v>3</v>
      </c>
      <c r="K200" s="40" t="str">
        <f>IFERROR(__xludf.DUMMYFUNCTION("""COMPUTED_VALUE"""),"3 MAK PUTRI")</f>
        <v>3 MAK PUTRI</v>
      </c>
      <c r="L200" s="39" t="str">
        <f>IFERROR(__xludf.DUMMYFUNCTION("""COMPUTED_VALUE"""),"6281559946320")</f>
        <v>6281559946320</v>
      </c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>
        <f>IFERROR(__xludf.DUMMYFUNCTION("""COMPUTED_VALUE"""),500000.0)</f>
        <v>500000</v>
      </c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3"/>
      <c r="AS200" s="43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56"/>
      <c r="BH200" s="56"/>
      <c r="BI200" s="5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</row>
    <row r="201">
      <c r="A201" s="47">
        <f>IFERROR(__xludf.DUMMYFUNCTION("""COMPUTED_VALUE"""),200.0)</f>
        <v>200</v>
      </c>
      <c r="B201" s="48" t="str">
        <f>IFERROR(__xludf.DUMMYFUNCTION("""COMPUTED_VALUE"""),"HANUM CHARISSA AZZAHRA")</f>
        <v>HANUM CHARISSA AZZAHRA</v>
      </c>
      <c r="C201" s="49">
        <f>IFERROR(__xludf.DUMMYFUNCTION("""COMPUTED_VALUE"""),2.024070423E9)</f>
        <v>2024070423</v>
      </c>
      <c r="D201" s="48" t="str">
        <f>IFERROR(__xludf.DUMMYFUNCTION("""COMPUTED_VALUE"""),"CIPTO HARI SUBAGIO")</f>
        <v>CIPTO HARI SUBAGIO</v>
      </c>
      <c r="E201" s="48" t="str">
        <f>IFERROR(__xludf.DUMMYFUNCTION("""COMPUTED_VALUE"""),"AMILLATUL AZIZAH")</f>
        <v>AMILLATUL AZIZAH</v>
      </c>
      <c r="F201" s="48" t="str">
        <f>IFERROR(__xludf.DUMMYFUNCTION("""COMPUTED_VALUE"""),"KACANGAN RT 003 RW 001 MODO LAMONGAN")</f>
        <v>KACANGAN RT 003 RW 001 MODO LAMONGAN</v>
      </c>
      <c r="G201" s="49" t="str">
        <f>IFERROR(__xludf.DUMMYFUNCTION("""COMPUTED_VALUE"""),"MA-XII.13")</f>
        <v>MA-XII.13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IFERROR(__xludf.DUMMYFUNCTION("""COMPUTED_VALUE"""),3.0)</f>
        <v>3</v>
      </c>
      <c r="K201" s="51" t="str">
        <f>IFERROR(__xludf.DUMMYFUNCTION("""COMPUTED_VALUE"""),"3 MAK PUTRI")</f>
        <v>3 MAK PUTRI</v>
      </c>
      <c r="L201" s="50" t="str">
        <f>IFERROR(__xludf.DUMMYFUNCTION("""COMPUTED_VALUE"""),"6285708040713")</f>
        <v>6285708040713</v>
      </c>
      <c r="M201" s="53"/>
      <c r="N201" s="53"/>
      <c r="O201" s="53"/>
      <c r="P201" s="53"/>
      <c r="Q201" s="53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IFERROR(__xludf.DUMMYFUNCTION("""COMPUTED_VALUE"""),0.0)</f>
        <v>0</v>
      </c>
      <c r="BD201" s="54">
        <f>IFERROR(__xludf.DUMMYFUNCTION("""COMPUTED_VALUE"""),0.0)</f>
        <v>0</v>
      </c>
      <c r="BE201" s="54">
        <f>IFERROR(__xludf.DUMMYFUNCTION("""COMPUTED_VALUE"""),0.0)</f>
        <v>0</v>
      </c>
      <c r="BF201" s="55">
        <f>IFERROR(__xludf.DUMMYFUNCTION("""COMPUTED_VALUE"""),0.0)</f>
        <v>0</v>
      </c>
      <c r="BG201" s="57"/>
      <c r="BH201" s="57"/>
      <c r="BI201" s="57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</row>
    <row r="202">
      <c r="A202" s="36">
        <f>IFERROR(__xludf.DUMMYFUNCTION("""COMPUTED_VALUE"""),201.0)</f>
        <v>201</v>
      </c>
      <c r="B202" s="37" t="str">
        <f>IFERROR(__xludf.DUMMYFUNCTION("""COMPUTED_VALUE"""),"HARITSATUN NAJWA ABIDAH ALBANAN")</f>
        <v>HARITSATUN NAJWA ABIDAH ALBANAN</v>
      </c>
      <c r="C202" s="38">
        <f>IFERROR(__xludf.DUMMYFUNCTION("""COMPUTED_VALUE"""),2.024070569E9)</f>
        <v>2024070569</v>
      </c>
      <c r="D202" s="37" t="str">
        <f>IFERROR(__xludf.DUMMYFUNCTION("""COMPUTED_VALUE"""),"TSABIT AL BANAN")</f>
        <v>TSABIT AL BANAN</v>
      </c>
      <c r="E202" s="37" t="str">
        <f>IFERROR(__xludf.DUMMYFUNCTION("""COMPUTED_VALUE"""),"HIDAYATUL ABIDAH")</f>
        <v>HIDAYATUL ABIDAH</v>
      </c>
      <c r="F202" s="37" t="str">
        <f>IFERROR(__xludf.DUMMYFUNCTION("""COMPUTED_VALUE"""),"JANGGAN POMAHANJANGGAN RT 007 RW 003 TURI LAMONGAN")</f>
        <v>JANGGAN POMAHANJANGGAN RT 007 RW 003 TURI LAMONGAN</v>
      </c>
      <c r="G202" s="56" t="str">
        <f>IFERROR(__xludf.DUMMYFUNCTION("""COMPUTED_VALUE"""),"MTS-9 C")</f>
        <v>MTS-9 C</v>
      </c>
      <c r="H202" s="36" t="str">
        <f>IFERROR(__xludf.DUMMYFUNCTION("""COMPUTED_VALUE"""),"C")</f>
        <v>C</v>
      </c>
      <c r="I202" s="40" t="str">
        <f>IFERROR(__xludf.DUMMYFUNCTION("""COMPUTED_VALUE"""),"C-3")</f>
        <v>C-3</v>
      </c>
      <c r="J202" s="40">
        <f>IFERROR(__xludf.DUMMYFUNCTION("""COMPUTED_VALUE"""),3.0)</f>
        <v>3</v>
      </c>
      <c r="K202" s="40" t="str">
        <f>IFERROR(__xludf.DUMMYFUNCTION("""COMPUTED_VALUE"""),"")</f>
        <v/>
      </c>
      <c r="L202" s="39" t="str">
        <f>IFERROR(__xludf.DUMMYFUNCTION("""COMPUTED_VALUE"""),"6285655438946")</f>
        <v>6285655438946</v>
      </c>
      <c r="M202" s="43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3"/>
      <c r="AB202" s="43"/>
      <c r="AC202" s="43"/>
      <c r="AD202" s="43"/>
      <c r="AE202" s="43"/>
      <c r="AF202" s="43"/>
      <c r="AG202" s="43"/>
      <c r="AH202" s="43"/>
      <c r="AI202" s="43">
        <f>IFERROR(__xludf.DUMMYFUNCTION("""COMPUTED_VALUE"""),450000.0)</f>
        <v>450000</v>
      </c>
      <c r="AJ202" s="43">
        <f>IFERROR(__xludf.DUMMYFUNCTION("""COMPUTED_VALUE"""),450000.0)</f>
        <v>450000</v>
      </c>
      <c r="AK202" s="43">
        <f>IFERROR(__xludf.DUMMYFUNCTION("""COMPUTED_VALUE"""),450000.0)</f>
        <v>450000</v>
      </c>
      <c r="AL202" s="43">
        <f>IFERROR(__xludf.DUMMYFUNCTION("""COMPUTED_VALUE"""),450000.0)</f>
        <v>450000</v>
      </c>
      <c r="AM202" s="43">
        <f>IFERROR(__xludf.DUMMYFUNCTION("""COMPUTED_VALUE"""),450000.0)</f>
        <v>450000</v>
      </c>
      <c r="AN202" s="43">
        <f>IFERROR(__xludf.DUMMYFUNCTION("""COMPUTED_VALUE"""),450000.0)</f>
        <v>450000</v>
      </c>
      <c r="AO202" s="43"/>
      <c r="AP202" s="43"/>
      <c r="AQ202" s="43"/>
      <c r="AR202" s="43"/>
      <c r="AS202" s="43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IFERROR(__xludf.DUMMYFUNCTION("""COMPUTED_VALUE"""),2700000.0)</f>
        <v>2700000</v>
      </c>
      <c r="BD202" s="43">
        <f>IFERROR(__xludf.DUMMYFUNCTION("""COMPUTED_VALUE"""),0.0)</f>
        <v>0</v>
      </c>
      <c r="BE202" s="43">
        <f>IFERROR(__xludf.DUMMYFUNCTION("""COMPUTED_VALUE"""),0.0)</f>
        <v>0</v>
      </c>
      <c r="BF202" s="44">
        <f>IFERROR(__xludf.DUMMYFUNCTION("""COMPUTED_VALUE"""),2700000.0)</f>
        <v>2700000</v>
      </c>
      <c r="BG202" s="56"/>
      <c r="BH202" s="56"/>
      <c r="BI202" s="5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</row>
    <row r="203">
      <c r="A203" s="47">
        <f>IFERROR(__xludf.DUMMYFUNCTION("""COMPUTED_VALUE"""),202.0)</f>
        <v>202</v>
      </c>
      <c r="B203" s="48" t="str">
        <f>IFERROR(__xludf.DUMMYFUNCTION("""COMPUTED_VALUE"""),"HERAWATI ANGGRAINI")</f>
        <v>HERAWATI ANGGRAINI</v>
      </c>
      <c r="C203" s="49">
        <f>IFERROR(__xludf.DUMMYFUNCTION("""COMPUTED_VALUE"""),2.024070228E9)</f>
        <v>2024070228</v>
      </c>
      <c r="D203" s="48" t="str">
        <f>IFERROR(__xludf.DUMMYFUNCTION("""COMPUTED_VALUE"""),"AGUS ARIFIANTO")</f>
        <v>AGUS ARIFIANTO</v>
      </c>
      <c r="E203" s="48" t="str">
        <f>IFERROR(__xludf.DUMMYFUNCTION("""COMPUTED_VALUE"""),"ZUNI INDRIANA")</f>
        <v>ZUNI INDRIANA</v>
      </c>
      <c r="F203" s="48" t="str">
        <f>IFERROR(__xludf.DUMMYFUNCTION("""COMPUTED_VALUE"""),"KADUNG KADUNGREMBUG RT 001 RW 003 SUKODADI LAMONGAN")</f>
        <v>KADUNG KADUNGREMBUG RT 001 RW 003 SUKODADI LAMONGAN</v>
      </c>
      <c r="G203" s="50" t="str">
        <f>IFERROR(__xludf.DUMMYFUNCTION("""COMPUTED_VALUE"""),"MA-XII.6")</f>
        <v>MA-XII.6</v>
      </c>
      <c r="H203" s="47" t="str">
        <f>IFERROR(__xludf.DUMMYFUNCTION("""COMPUTED_VALUE"""),"C")</f>
        <v>C</v>
      </c>
      <c r="I203" s="51" t="str">
        <f>IFERROR(__xludf.DUMMYFUNCTION("""COMPUTED_VALUE"""),"C-9")</f>
        <v>C-9</v>
      </c>
      <c r="J203" s="51">
        <f>IFERROR(__xludf.DUMMYFUNCTION("""COMPUTED_VALUE"""),3.0)</f>
        <v>3</v>
      </c>
      <c r="K203" s="51" t="str">
        <f>IFERROR(__xludf.DUMMYFUNCTION("""COMPUTED_VALUE"""),"3 WUSTHO C PUTRI")</f>
        <v>3 WUSTHO C PUTRI</v>
      </c>
      <c r="L203" s="50" t="str">
        <f>IFERROR(__xludf.DUMMYFUNCTION("""COMPUTED_VALUE"""),"6285708807835")</f>
        <v>6285708807835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4"/>
      <c r="AP203" s="53"/>
      <c r="AQ203" s="54"/>
      <c r="AR203" s="54"/>
      <c r="AS203" s="54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IFERROR(__xludf.DUMMYFUNCTION("""COMPUTED_VALUE"""),0.0)</f>
        <v>0</v>
      </c>
      <c r="BE203" s="54">
        <f>IFERROR(__xludf.DUMMYFUNCTION("""COMPUTED_VALUE"""),0.0)</f>
        <v>0</v>
      </c>
      <c r="BF203" s="55">
        <f>IFERROR(__xludf.DUMMYFUNCTION("""COMPUTED_VALUE"""),0.0)</f>
        <v>0</v>
      </c>
      <c r="BG203" s="57"/>
      <c r="BH203" s="57"/>
      <c r="BI203" s="57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</row>
    <row r="204">
      <c r="A204" s="36">
        <f>IFERROR(__xludf.DUMMYFUNCTION("""COMPUTED_VALUE"""),203.0)</f>
        <v>203</v>
      </c>
      <c r="B204" s="37" t="str">
        <f>IFERROR(__xludf.DUMMYFUNCTION("""COMPUTED_VALUE"""),"HIMMATU ZAWA ARRIFA")</f>
        <v>HIMMATU ZAWA ARRIFA</v>
      </c>
      <c r="C204" s="38">
        <f>IFERROR(__xludf.DUMMYFUNCTION("""COMPUTED_VALUE"""),2.024070076E9)</f>
        <v>2024070076</v>
      </c>
      <c r="D204" s="37" t="str">
        <f>IFERROR(__xludf.DUMMYFUNCTION("""COMPUTED_VALUE"""),"MOCH. RIFA`I")</f>
        <v>MOCH. RIFA`I</v>
      </c>
      <c r="E204" s="37" t="str">
        <f>IFERROR(__xludf.DUMMYFUNCTION("""COMPUTED_VALUE"""),"SITI HALIMAH")</f>
        <v>SITI HALIMAH</v>
      </c>
      <c r="F204" s="37" t="str">
        <f>IFERROR(__xludf.DUMMYFUNCTION("""COMPUTED_VALUE"""),"SIDOMULYO RT 003 RW 003 DEKET LAMONGAN")</f>
        <v>SIDOMULYO RT 003 RW 003 DEKET LAMONGAN</v>
      </c>
      <c r="G204" s="56" t="str">
        <f>IFERROR(__xludf.DUMMYFUNCTION("""COMPUTED_VALUE"""),"MA-XII.3")</f>
        <v>MA-XII.3</v>
      </c>
      <c r="H204" s="36" t="str">
        <f>IFERROR(__xludf.DUMMYFUNCTION("""COMPUTED_VALUE"""),"C")</f>
        <v>C</v>
      </c>
      <c r="I204" s="42" t="str">
        <f>IFERROR(__xludf.DUMMYFUNCTION("""COMPUTED_VALUE"""),"C-8")</f>
        <v>C-8</v>
      </c>
      <c r="J204" s="40">
        <f>IFERROR(__xludf.DUMMYFUNCTION("""COMPUTED_VALUE"""),3.0)</f>
        <v>3</v>
      </c>
      <c r="K204" s="40" t="str">
        <f>IFERROR(__xludf.DUMMYFUNCTION("""COMPUTED_VALUE"""),"3 WUSTHO B PUTRI")</f>
        <v>3 WUSTHO B PUTRI</v>
      </c>
      <c r="L204" s="58" t="str">
        <f>IFERROR(__xludf.DUMMYFUNCTION("""COMPUTED_VALUE"""),"6285748986490")</f>
        <v>6285748986490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2"/>
      <c r="AF204" s="42"/>
      <c r="AG204" s="42"/>
      <c r="AH204" s="42">
        <f>IFERROR(__xludf.DUMMYFUNCTION("""COMPUTED_VALUE"""),450000.0)</f>
        <v>450000</v>
      </c>
      <c r="AI204" s="42">
        <f>IFERROR(__xludf.DUMMYFUNCTION("""COMPUTED_VALUE"""),450000.0)</f>
        <v>450000</v>
      </c>
      <c r="AJ204" s="42">
        <f>IFERROR(__xludf.DUMMYFUNCTION("""COMPUTED_VALUE"""),450000.0)</f>
        <v>450000</v>
      </c>
      <c r="AK204" s="42">
        <f>IFERROR(__xludf.DUMMYFUNCTION("""COMPUTED_VALUE"""),450000.0)</f>
        <v>450000</v>
      </c>
      <c r="AL204" s="42">
        <f>IFERROR(__xludf.DUMMYFUNCTION("""COMPUTED_VALUE"""),450000.0)</f>
        <v>450000</v>
      </c>
      <c r="AM204" s="42">
        <f>IFERROR(__xludf.DUMMYFUNCTION("""COMPUTED_VALUE"""),450000.0)</f>
        <v>450000</v>
      </c>
      <c r="AN204" s="42">
        <f>IFERROR(__xludf.DUMMYFUNCTION("""COMPUTED_VALUE"""),450000.0)</f>
        <v>450000</v>
      </c>
      <c r="AO204" s="42"/>
      <c r="AP204" s="42">
        <f>IFERROR(__xludf.DUMMYFUNCTION("""COMPUTED_VALUE"""),500000.0)</f>
        <v>500000</v>
      </c>
      <c r="AQ204" s="42"/>
      <c r="AR204" s="42"/>
      <c r="AS204" s="43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IFERROR(__xludf.DUMMYFUNCTION("""COMPUTED_VALUE"""),3150000.0)</f>
        <v>3150000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IFERROR(__xludf.DUMMYFUNCTION("""COMPUTED_VALUE"""),4150000.0)</f>
        <v>4150000</v>
      </c>
      <c r="BG204" s="56"/>
      <c r="BH204" s="56"/>
      <c r="BI204" s="5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</row>
    <row r="205">
      <c r="A205" s="47">
        <f>IFERROR(__xludf.DUMMYFUNCTION("""COMPUTED_VALUE"""),204.0)</f>
        <v>204</v>
      </c>
      <c r="B205" s="48" t="str">
        <f>IFERROR(__xludf.DUMMYFUNCTION("""COMPUTED_VALUE"""),"HUMAIRA AISH FAIHA")</f>
        <v>HUMAIRA AISH FAIHA</v>
      </c>
      <c r="C205" s="49">
        <f>IFERROR(__xludf.DUMMYFUNCTION("""COMPUTED_VALUE"""),2.024070009E9)</f>
        <v>2024070009</v>
      </c>
      <c r="D205" s="48" t="str">
        <f>IFERROR(__xludf.DUMMYFUNCTION("""COMPUTED_VALUE"""),"SUYANTO")</f>
        <v>SUYANTO</v>
      </c>
      <c r="E205" s="48" t="str">
        <f>IFERROR(__xludf.DUMMYFUNCTION("""COMPUTED_VALUE"""),"SITI MUTIAH")</f>
        <v>SITI MUTIAH</v>
      </c>
      <c r="F205" s="48" t="str">
        <f>IFERROR(__xludf.DUMMYFUNCTION("""COMPUTED_VALUE"""),"GLATIK RT 010 RW 003 UJUNGPANGKAH GRESIK")</f>
        <v>GLATIK RT 010 RW 003 UJUNGPANGKAH GRESIK</v>
      </c>
      <c r="G205" s="50" t="str">
        <f>IFERROR(__xludf.DUMMYFUNCTION("""COMPUTED_VALUE"""),"MA-XII.1")</f>
        <v>MA-XII.1</v>
      </c>
      <c r="H205" s="47" t="str">
        <f>IFERROR(__xludf.DUMMYFUNCTION("""COMPUTED_VALUE"""),"C")</f>
        <v>C</v>
      </c>
      <c r="I205" s="51" t="str">
        <f>IFERROR(__xludf.DUMMYFUNCTION("""COMPUTED_VALUE"""),"C-2")</f>
        <v>C-2</v>
      </c>
      <c r="J205" s="51">
        <f>IFERROR(__xludf.DUMMYFUNCTION("""COMPUTED_VALUE"""),3.0)</f>
        <v>3</v>
      </c>
      <c r="K205" s="51" t="str">
        <f>IFERROR(__xludf.DUMMYFUNCTION("""COMPUTED_VALUE"""),"")</f>
        <v/>
      </c>
      <c r="L205" s="50" t="str">
        <f>IFERROR(__xludf.DUMMYFUNCTION("""COMPUTED_VALUE"""),"62859185949449")</f>
        <v>62859185949449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4"/>
      <c r="AS205" s="54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IFERROR(__xludf.DUMMYFUNCTION("""COMPUTED_VALUE"""),0.0)</f>
        <v>0</v>
      </c>
      <c r="BE205" s="54">
        <f>IFERROR(__xludf.DUMMYFUNCTION("""COMPUTED_VALUE"""),0.0)</f>
        <v>0</v>
      </c>
      <c r="BF205" s="55">
        <f>IFERROR(__xludf.DUMMYFUNCTION("""COMPUTED_VALUE"""),0.0)</f>
        <v>0</v>
      </c>
      <c r="BG205" s="57"/>
      <c r="BH205" s="57"/>
      <c r="BI205" s="57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</row>
    <row r="206">
      <c r="A206" s="36">
        <f>IFERROR(__xludf.DUMMYFUNCTION("""COMPUTED_VALUE"""),205.0)</f>
        <v>205</v>
      </c>
      <c r="B206" s="37" t="str">
        <f>IFERROR(__xludf.DUMMYFUNCTION("""COMPUTED_VALUE"""),"IKROMAH DZATIS SAKINAH")</f>
        <v>IKROMAH DZATIS SAKINAH</v>
      </c>
      <c r="C206" s="38">
        <f>IFERROR(__xludf.DUMMYFUNCTION("""COMPUTED_VALUE"""),2.024070424E9)</f>
        <v>2024070424</v>
      </c>
      <c r="D206" s="37" t="str">
        <f>IFERROR(__xludf.DUMMYFUNCTION("""COMPUTED_VALUE"""),"SULADI")</f>
        <v>SULADI</v>
      </c>
      <c r="E206" s="37" t="str">
        <f>IFERROR(__xludf.DUMMYFUNCTION("""COMPUTED_VALUE"""),"SULASTRI")</f>
        <v>SULASTRI</v>
      </c>
      <c r="F206" s="37" t="str">
        <f>IFERROR(__xludf.DUMMYFUNCTION("""COMPUTED_VALUE"""),"PUTATREJO PUTATBANGAH RT 002 RW 003 KARANGBINANGUN LAMONGAN")</f>
        <v>PUTATREJO PUTATBANGAH RT 002 RW 003 KARANGBINANGUN LAMONGAN</v>
      </c>
      <c r="G206" s="39" t="str">
        <f>IFERROR(__xludf.DUMMYFUNCTION("""COMPUTED_VALUE"""),"MA-XII.13")</f>
        <v>MA-XII.13</v>
      </c>
      <c r="H206" s="36" t="str">
        <f>IFERROR(__xludf.DUMMYFUNCTION("""COMPUTED_VALUE"""),"C")</f>
        <v>C</v>
      </c>
      <c r="I206" s="42" t="str">
        <f>IFERROR(__xludf.DUMMYFUNCTION("""COMPUTED_VALUE"""),"C-7")</f>
        <v>C-7</v>
      </c>
      <c r="J206" s="40">
        <f>IFERROR(__xludf.DUMMYFUNCTION("""COMPUTED_VALUE"""),3.0)</f>
        <v>3</v>
      </c>
      <c r="K206" s="40" t="str">
        <f>IFERROR(__xludf.DUMMYFUNCTION("""COMPUTED_VALUE"""),"3 MAK PUTRI")</f>
        <v>3 MAK PUTRI</v>
      </c>
      <c r="L206" s="39" t="str">
        <f>IFERROR(__xludf.DUMMYFUNCTION("""COMPUTED_VALUE"""),"628554660287")</f>
        <v>628554660287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3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IFERROR(__xludf.DUMMYFUNCTION("""COMPUTED_VALUE"""),0.0)</f>
        <v>0</v>
      </c>
      <c r="BD206" s="43">
        <f>IFERROR(__xludf.DUMMYFUNCTION("""COMPUTED_VALUE"""),0.0)</f>
        <v>0</v>
      </c>
      <c r="BE206" s="43">
        <f>IFERROR(__xludf.DUMMYFUNCTION("""COMPUTED_VALUE"""),0.0)</f>
        <v>0</v>
      </c>
      <c r="BF206" s="44">
        <f>IFERROR(__xludf.DUMMYFUNCTION("""COMPUTED_VALUE"""),0.0)</f>
        <v>0</v>
      </c>
      <c r="BG206" s="56"/>
      <c r="BH206" s="56"/>
      <c r="BI206" s="5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</row>
    <row r="207">
      <c r="A207" s="47">
        <f>IFERROR(__xludf.DUMMYFUNCTION("""COMPUTED_VALUE"""),206.0)</f>
        <v>206</v>
      </c>
      <c r="B207" s="48" t="str">
        <f>IFERROR(__xludf.DUMMYFUNCTION("""COMPUTED_VALUE"""),"INTAN FAZIRAWATI")</f>
        <v>INTAN FAZIRAWATI</v>
      </c>
      <c r="C207" s="49">
        <f>IFERROR(__xludf.DUMMYFUNCTION("""COMPUTED_VALUE"""),2.02407001E9)</f>
        <v>2024070010</v>
      </c>
      <c r="D207" s="48" t="str">
        <f>IFERROR(__xludf.DUMMYFUNCTION("""COMPUTED_VALUE"""),"MOCHAMAD FAIZIN")</f>
        <v>MOCHAMAD FAIZIN</v>
      </c>
      <c r="E207" s="48" t="str">
        <f>IFERROR(__xludf.DUMMYFUNCTION("""COMPUTED_VALUE"""),"SUDARWATI")</f>
        <v>SUDARWATI</v>
      </c>
      <c r="F207" s="48" t="str">
        <f>IFERROR(__xludf.DUMMYFUNCTION("""COMPUTED_VALUE"""),"GEDONGOMBO RT 4 RW 12 SEMANDING TUBAN")</f>
        <v>GEDONGOMBO RT 4 RW 12 SEMANDING TUBAN</v>
      </c>
      <c r="G207" s="49" t="str">
        <f>IFERROR(__xludf.DUMMYFUNCTION("""COMPUTED_VALUE"""),"MA-XII.1")</f>
        <v>MA-XII.1</v>
      </c>
      <c r="H207" s="47" t="str">
        <f>IFERROR(__xludf.DUMMYFUNCTION("""COMPUTED_VALUE"""),"C")</f>
        <v>C</v>
      </c>
      <c r="I207" s="53" t="str">
        <f>IFERROR(__xludf.DUMMYFUNCTION("""COMPUTED_VALUE"""),"C-2")</f>
        <v>C-2</v>
      </c>
      <c r="J207" s="51">
        <f>IFERROR(__xludf.DUMMYFUNCTION("""COMPUTED_VALUE"""),3.0)</f>
        <v>3</v>
      </c>
      <c r="K207" s="51" t="str">
        <f>IFERROR(__xludf.DUMMYFUNCTION("""COMPUTED_VALUE"""),"")</f>
        <v/>
      </c>
      <c r="L207" s="50" t="str">
        <f>IFERROR(__xludf.DUMMYFUNCTION("""COMPUTED_VALUE"""),"6285607770247")</f>
        <v>6285607770247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4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IFERROR(__xludf.DUMMYFUNCTION("""COMPUTED_VALUE"""),0.0)</f>
        <v>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IFERROR(__xludf.DUMMYFUNCTION("""COMPUTED_VALUE"""),0.0)</f>
        <v>0</v>
      </c>
      <c r="BG207" s="57"/>
      <c r="BH207" s="57"/>
      <c r="BI207" s="57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</row>
    <row r="208">
      <c r="A208" s="36">
        <f>IFERROR(__xludf.DUMMYFUNCTION("""COMPUTED_VALUE"""),207.0)</f>
        <v>207</v>
      </c>
      <c r="B208" s="37" t="str">
        <f>IFERROR(__xludf.DUMMYFUNCTION("""COMPUTED_VALUE"""),"ISMAUL HUSNAH")</f>
        <v>ISMAUL HUSNAH</v>
      </c>
      <c r="C208" s="38">
        <f>IFERROR(__xludf.DUMMYFUNCTION("""COMPUTED_VALUE"""),2.024070704E9)</f>
        <v>2024070704</v>
      </c>
      <c r="D208" s="37" t="str">
        <f>IFERROR(__xludf.DUMMYFUNCTION("""COMPUTED_VALUE"""),"AJIB")</f>
        <v>AJIB</v>
      </c>
      <c r="E208" s="37" t="str">
        <f>IFERROR(__xludf.DUMMYFUNCTION("""COMPUTED_VALUE"""),"AMINAH")</f>
        <v>AMINAH</v>
      </c>
      <c r="F208" s="37" t="str">
        <f>IFERROR(__xludf.DUMMYFUNCTION("""COMPUTED_VALUE"""),"KLATING TAKERANKLATING RT 002 RW 001 TIKUNG LAMONGAN")</f>
        <v>KLATING TAKERANKLATING RT 002 RW 001 TIKUNG LAMONGAN</v>
      </c>
      <c r="G208" s="39" t="str">
        <f>IFERROR(__xludf.DUMMYFUNCTION("""COMPUTED_VALUE"""),"SMK-XII LPb")</f>
        <v>SMK-XII LPb</v>
      </c>
      <c r="H208" s="36" t="str">
        <f>IFERROR(__xludf.DUMMYFUNCTION("""COMPUTED_VALUE"""),"C")</f>
        <v>C</v>
      </c>
      <c r="I208" s="42" t="str">
        <f>IFERROR(__xludf.DUMMYFUNCTION("""COMPUTED_VALUE"""),"C-8")</f>
        <v>C-8</v>
      </c>
      <c r="J208" s="40">
        <f>IFERROR(__xludf.DUMMYFUNCTION("""COMPUTED_VALUE"""),3.0)</f>
        <v>3</v>
      </c>
      <c r="K208" s="40" t="str">
        <f>IFERROR(__xludf.DUMMYFUNCTION("""COMPUTED_VALUE"""),"3 WUSTHO A PUTRI")</f>
        <v>3 WUSTHO A PUTRI</v>
      </c>
      <c r="L208" s="39" t="str">
        <f>IFERROR(__xludf.DUMMYFUNCTION("""COMPUTED_VALUE"""),"6285604656734")</f>
        <v>6285604656734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>
        <f>IFERROR(__xludf.DUMMYFUNCTION("""COMPUTED_VALUE"""),450000.0)</f>
        <v>450000</v>
      </c>
      <c r="AN208" s="42">
        <f>IFERROR(__xludf.DUMMYFUNCTION("""COMPUTED_VALUE"""),450000.0)</f>
        <v>450000</v>
      </c>
      <c r="AO208" s="42"/>
      <c r="AP208" s="42"/>
      <c r="AQ208" s="42"/>
      <c r="AR208" s="42"/>
      <c r="AS208" s="43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IFERROR(__xludf.DUMMYFUNCTION("""COMPUTED_VALUE"""),900000.0)</f>
        <v>900000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IFERROR(__xludf.DUMMYFUNCTION("""COMPUTED_VALUE"""),900000.0)</f>
        <v>900000</v>
      </c>
      <c r="BG208" s="56"/>
      <c r="BH208" s="56"/>
      <c r="BI208" s="5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</row>
    <row r="209">
      <c r="A209" s="47">
        <f>IFERROR(__xludf.DUMMYFUNCTION("""COMPUTED_VALUE"""),208.0)</f>
        <v>208</v>
      </c>
      <c r="B209" s="48" t="str">
        <f>IFERROR(__xludf.DUMMYFUNCTION("""COMPUTED_VALUE"""),"KANZA DINA AQWIYA")</f>
        <v>KANZA DINA AQWIYA</v>
      </c>
      <c r="C209" s="49">
        <f>IFERROR(__xludf.DUMMYFUNCTION("""COMPUTED_VALUE"""),2.024070012E9)</f>
        <v>2024070012</v>
      </c>
      <c r="D209" s="48" t="str">
        <f>IFERROR(__xludf.DUMMYFUNCTION("""COMPUTED_VALUE"""),"MAFTUKHIN")</f>
        <v>MAFTUKHIN</v>
      </c>
      <c r="E209" s="48" t="str">
        <f>IFERROR(__xludf.DUMMYFUNCTION("""COMPUTED_VALUE"""),"ZAMALIYAH")</f>
        <v>ZAMALIYAH</v>
      </c>
      <c r="F209" s="48" t="str">
        <f>IFERROR(__xludf.DUMMYFUNCTION("""COMPUTED_VALUE"""),"SIDOMULYO RT 1 RW 1 SIDAYU GRESIK")</f>
        <v>SIDOMULYO RT 1 RW 1 SIDAYU GRESIK</v>
      </c>
      <c r="G209" s="49" t="str">
        <f>IFERROR(__xludf.DUMMYFUNCTION("""COMPUTED_VALUE"""),"MA-XII.1")</f>
        <v>MA-XII.1</v>
      </c>
      <c r="H209" s="47" t="str">
        <f>IFERROR(__xludf.DUMMYFUNCTION("""COMPUTED_VALUE"""),"C")</f>
        <v>C</v>
      </c>
      <c r="I209" s="53" t="str">
        <f>IFERROR(__xludf.DUMMYFUNCTION("""COMPUTED_VALUE"""),"C-2")</f>
        <v>C-2</v>
      </c>
      <c r="J209" s="51">
        <f>IFERROR(__xludf.DUMMYFUNCTION("""COMPUTED_VALUE"""),3.0)</f>
        <v>3</v>
      </c>
      <c r="K209" s="51" t="str">
        <f>IFERROR(__xludf.DUMMYFUNCTION("""COMPUTED_VALUE"""),"")</f>
        <v/>
      </c>
      <c r="L209" s="50" t="str">
        <f>IFERROR(__xludf.DUMMYFUNCTION("""COMPUTED_VALUE"""),"6285100650399")</f>
        <v>6285100650399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4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IFERROR(__xludf.DUMMYFUNCTION("""COMPUTED_VALUE"""),0.0)</f>
        <v>0</v>
      </c>
      <c r="BE209" s="54">
        <f>IFERROR(__xludf.DUMMYFUNCTION("""COMPUTED_VALUE"""),0.0)</f>
        <v>0</v>
      </c>
      <c r="BF209" s="55">
        <f>IFERROR(__xludf.DUMMYFUNCTION("""COMPUTED_VALUE"""),0.0)</f>
        <v>0</v>
      </c>
      <c r="BG209" s="57"/>
      <c r="BH209" s="57"/>
      <c r="BI209" s="57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</row>
    <row r="210">
      <c r="A210" s="36">
        <f>IFERROR(__xludf.DUMMYFUNCTION("""COMPUTED_VALUE"""),209.0)</f>
        <v>209</v>
      </c>
      <c r="B210" s="37" t="str">
        <f>IFERROR(__xludf.DUMMYFUNCTION("""COMPUTED_VALUE"""),"KAYLA KHUSUS FATIMATUZZAHRO")</f>
        <v>KAYLA KHUSUS FATIMATUZZAHRO</v>
      </c>
      <c r="C210" s="38">
        <f>IFERROR(__xludf.DUMMYFUNCTION("""COMPUTED_VALUE"""),2.02407057E9)</f>
        <v>2024070570</v>
      </c>
      <c r="D210" s="37" t="str">
        <f>IFERROR(__xludf.DUMMYFUNCTION("""COMPUTED_VALUE"""),"KHUSAINI")</f>
        <v>KHUSAINI</v>
      </c>
      <c r="E210" s="37" t="str">
        <f>IFERROR(__xludf.DUMMYFUNCTION("""COMPUTED_VALUE"""),"SRI SUSYATI")</f>
        <v>SRI SUSYATI</v>
      </c>
      <c r="F210" s="37" t="str">
        <f>IFERROR(__xludf.DUMMYFUNCTION("""COMPUTED_VALUE"""),"KARANGANOM RT 002 RW 001 KARANGBINANGUN LAMONGAN")</f>
        <v>KARANGANOM RT 002 RW 001 KARANGBINANGUN LAMONGAN</v>
      </c>
      <c r="G210" s="39" t="str">
        <f>IFERROR(__xludf.DUMMYFUNCTION("""COMPUTED_VALUE"""),"MTS-9 H")</f>
        <v>MTS-9 H</v>
      </c>
      <c r="H210" s="36" t="str">
        <f>IFERROR(__xludf.DUMMYFUNCTION("""COMPUTED_VALUE"""),"C")</f>
        <v>C</v>
      </c>
      <c r="I210" s="40" t="str">
        <f>IFERROR(__xludf.DUMMYFUNCTION("""COMPUTED_VALUE"""),"C-12")</f>
        <v>C-12</v>
      </c>
      <c r="J210" s="40">
        <f>IFERROR(__xludf.DUMMYFUNCTION("""COMPUTED_VALUE"""),3.0)</f>
        <v>3</v>
      </c>
      <c r="K210" s="40" t="str">
        <f>IFERROR(__xludf.DUMMYFUNCTION("""COMPUTED_VALUE"""),"")</f>
        <v/>
      </c>
      <c r="L210" s="39" t="str">
        <f>IFERROR(__xludf.DUMMYFUNCTION("""COMPUTED_VALUE"""),"6285802507179")</f>
        <v>6285802507179</v>
      </c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3"/>
      <c r="AS210" s="43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IFERROR(__xludf.DUMMYFUNCTION("""COMPUTED_VALUE"""),0.0)</f>
        <v>0</v>
      </c>
      <c r="BE210" s="43">
        <f>IFERROR(__xludf.DUMMYFUNCTION("""COMPUTED_VALUE"""),0.0)</f>
        <v>0</v>
      </c>
      <c r="BF210" s="44">
        <f>IFERROR(__xludf.DUMMYFUNCTION("""COMPUTED_VALUE"""),0.0)</f>
        <v>0</v>
      </c>
      <c r="BG210" s="56"/>
      <c r="BH210" s="56"/>
      <c r="BI210" s="5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</row>
    <row r="211">
      <c r="A211" s="47">
        <f>IFERROR(__xludf.DUMMYFUNCTION("""COMPUTED_VALUE"""),210.0)</f>
        <v>210</v>
      </c>
      <c r="B211" s="48" t="str">
        <f>IFERROR(__xludf.DUMMYFUNCTION("""COMPUTED_VALUE"""),"KHAIRANI PUTRI ANGGRAINI")</f>
        <v>KHAIRANI PUTRI ANGGRAINI</v>
      </c>
      <c r="C211" s="49">
        <f>IFERROR(__xludf.DUMMYFUNCTION("""COMPUTED_VALUE"""),2.024070013E9)</f>
        <v>2024070013</v>
      </c>
      <c r="D211" s="48" t="str">
        <f>IFERROR(__xludf.DUMMYFUNCTION("""COMPUTED_VALUE"""),"MAHFUD RIDWAN")</f>
        <v>MAHFUD RIDWAN</v>
      </c>
      <c r="E211" s="48" t="str">
        <f>IFERROR(__xludf.DUMMYFUNCTION("""COMPUTED_VALUE"""),"MUSYARROFAH")</f>
        <v>MUSYARROFAH</v>
      </c>
      <c r="F211" s="48" t="str">
        <f>IFERROR(__xludf.DUMMYFUNCTION("""COMPUTED_VALUE"""),"KEDANYANG RT 4 RW 15 KEBOMAS GRESIK")</f>
        <v>KEDANYANG RT 4 RW 15 KEBOMAS GRESIK</v>
      </c>
      <c r="G211" s="49" t="str">
        <f>IFERROR(__xludf.DUMMYFUNCTION("""COMPUTED_VALUE"""),"MA-XII.1")</f>
        <v>MA-XII.1</v>
      </c>
      <c r="H211" s="47" t="str">
        <f>IFERROR(__xludf.DUMMYFUNCTION("""COMPUTED_VALUE"""),"C")</f>
        <v>C</v>
      </c>
      <c r="I211" s="51" t="str">
        <f>IFERROR(__xludf.DUMMYFUNCTION("""COMPUTED_VALUE"""),"C-2")</f>
        <v>C-2</v>
      </c>
      <c r="J211" s="51">
        <f>IFERROR(__xludf.DUMMYFUNCTION("""COMPUTED_VALUE"""),3.0)</f>
        <v>3</v>
      </c>
      <c r="K211" s="51" t="str">
        <f>IFERROR(__xludf.DUMMYFUNCTION("""COMPUTED_VALUE"""),"")</f>
        <v/>
      </c>
      <c r="L211" s="50" t="str">
        <f>IFERROR(__xludf.DUMMYFUNCTION("""COMPUTED_VALUE"""),"6282131012610")</f>
        <v>6282131012610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4"/>
      <c r="AP211" s="53"/>
      <c r="AQ211" s="53"/>
      <c r="AR211" s="54"/>
      <c r="AS211" s="54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IFERROR(__xludf.DUMMYFUNCTION("""COMPUTED_VALUE"""),0.0)</f>
        <v>0</v>
      </c>
      <c r="BD211" s="54">
        <f>IFERROR(__xludf.DUMMYFUNCTION("""COMPUTED_VALUE"""),0.0)</f>
        <v>0</v>
      </c>
      <c r="BE211" s="54">
        <f>IFERROR(__xludf.DUMMYFUNCTION("""COMPUTED_VALUE"""),0.0)</f>
        <v>0</v>
      </c>
      <c r="BF211" s="55">
        <f>IFERROR(__xludf.DUMMYFUNCTION("""COMPUTED_VALUE"""),0.0)</f>
        <v>0</v>
      </c>
      <c r="BG211" s="57"/>
      <c r="BH211" s="57"/>
      <c r="BI211" s="57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</row>
    <row r="212">
      <c r="A212" s="36">
        <f>IFERROR(__xludf.DUMMYFUNCTION("""COMPUTED_VALUE"""),211.0)</f>
        <v>211</v>
      </c>
      <c r="B212" s="37" t="str">
        <f>IFERROR(__xludf.DUMMYFUNCTION("""COMPUTED_VALUE"""),"KHANSA LABIBAH")</f>
        <v>KHANSA LABIBAH</v>
      </c>
      <c r="C212" s="38">
        <f>IFERROR(__xludf.DUMMYFUNCTION("""COMPUTED_VALUE"""),2.024070543E9)</f>
        <v>2024070543</v>
      </c>
      <c r="D212" s="37" t="str">
        <f>IFERROR(__xludf.DUMMYFUNCTION("""COMPUTED_VALUE"""),"MOH FAJAR TRISNAAMIJAYA")</f>
        <v>MOH FAJAR TRISNAAMIJAYA</v>
      </c>
      <c r="E212" s="37" t="str">
        <f>IFERROR(__xludf.DUMMYFUNCTION("""COMPUTED_VALUE"""),"MAZIDHATUL CHUSNIYA")</f>
        <v>MAZIDHATUL CHUSNIYA</v>
      </c>
      <c r="F212" s="37" t="str">
        <f>IFERROR(__xludf.DUMMYFUNCTION("""COMPUTED_VALUE"""),"SEMBUNGAN KIDUL RT 003 RW 002 DUKUN GRESIK")</f>
        <v>SEMBUNGAN KIDUL RT 003 RW 002 DUKUN GRESIK</v>
      </c>
      <c r="G212" s="38" t="str">
        <f>IFERROR(__xludf.DUMMYFUNCTION("""COMPUTED_VALUE"""),"MTS-9 G")</f>
        <v>MTS-9 G</v>
      </c>
      <c r="H212" s="36" t="str">
        <f>IFERROR(__xludf.DUMMYFUNCTION("""COMPUTED_VALUE"""),"C")</f>
        <v>C</v>
      </c>
      <c r="I212" s="42" t="str">
        <f>IFERROR(__xludf.DUMMYFUNCTION("""COMPUTED_VALUE"""),"C-3")</f>
        <v>C-3</v>
      </c>
      <c r="J212" s="40">
        <f>IFERROR(__xludf.DUMMYFUNCTION("""COMPUTED_VALUE"""),3.0)</f>
        <v>3</v>
      </c>
      <c r="K212" s="40" t="str">
        <f>IFERROR(__xludf.DUMMYFUNCTION("""COMPUTED_VALUE"""),"3 ULA A PUTRI")</f>
        <v>3 ULA A PUTRI</v>
      </c>
      <c r="L212" s="39" t="str">
        <f>IFERROR(__xludf.DUMMYFUNCTION("""COMPUTED_VALUE"""),"6285895280860")</f>
        <v>6285895280860</v>
      </c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3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IFERROR(__xludf.DUMMYFUNCTION("""COMPUTED_VALUE"""),0.0)</f>
        <v>0</v>
      </c>
      <c r="BD212" s="43">
        <f>IFERROR(__xludf.DUMMYFUNCTION("""COMPUTED_VALUE"""),0.0)</f>
        <v>0</v>
      </c>
      <c r="BE212" s="43">
        <f>IFERROR(__xludf.DUMMYFUNCTION("""COMPUTED_VALUE"""),0.0)</f>
        <v>0</v>
      </c>
      <c r="BF212" s="44">
        <f>IFERROR(__xludf.DUMMYFUNCTION("""COMPUTED_VALUE"""),0.0)</f>
        <v>0</v>
      </c>
      <c r="BG212" s="56"/>
      <c r="BH212" s="56"/>
      <c r="BI212" s="5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</row>
    <row r="213">
      <c r="A213" s="47">
        <f>IFERROR(__xludf.DUMMYFUNCTION("""COMPUTED_VALUE"""),212.0)</f>
        <v>212</v>
      </c>
      <c r="B213" s="48" t="str">
        <f>IFERROR(__xludf.DUMMYFUNCTION("""COMPUTED_VALUE"""),"KHILDAH KHOIRINA")</f>
        <v>KHILDAH KHOIRINA</v>
      </c>
      <c r="C213" s="49">
        <f>IFERROR(__xludf.DUMMYFUNCTION("""COMPUTED_VALUE"""),2.024070078E9)</f>
        <v>2024070078</v>
      </c>
      <c r="D213" s="48" t="str">
        <f>IFERROR(__xludf.DUMMYFUNCTION("""COMPUTED_VALUE"""),"KHOIRUN")</f>
        <v>KHOIRUN</v>
      </c>
      <c r="E213" s="48" t="str">
        <f>IFERROR(__xludf.DUMMYFUNCTION("""COMPUTED_VALUE"""),"AFWAH")</f>
        <v>AFWAH</v>
      </c>
      <c r="F213" s="48" t="str">
        <f>IFERROR(__xludf.DUMMYFUNCTION("""COMPUTED_VALUE"""),"IMAAN RT 002 RW 001 DUKUN GRESIK")</f>
        <v>IMAAN RT 002 RW 001 DUKUN GRESIK</v>
      </c>
      <c r="G213" s="50" t="str">
        <f>IFERROR(__xludf.DUMMYFUNCTION("""COMPUTED_VALUE"""),"MA-XII.3")</f>
        <v>MA-XII.3</v>
      </c>
      <c r="H213" s="47" t="str">
        <f>IFERROR(__xludf.DUMMYFUNCTION("""COMPUTED_VALUE"""),"C")</f>
        <v>C</v>
      </c>
      <c r="I213" s="53" t="str">
        <f>IFERROR(__xludf.DUMMYFUNCTION("""COMPUTED_VALUE"""),"C-9")</f>
        <v>C-9</v>
      </c>
      <c r="J213" s="51">
        <f>IFERROR(__xludf.DUMMYFUNCTION("""COMPUTED_VALUE"""),3.0)</f>
        <v>3</v>
      </c>
      <c r="K213" s="51" t="str">
        <f>IFERROR(__xludf.DUMMYFUNCTION("""COMPUTED_VALUE"""),"3 WUSTHO A PUTRI")</f>
        <v>3 WUSTHO A PUTRI</v>
      </c>
      <c r="L213" s="50" t="str">
        <f>IFERROR(__xludf.DUMMYFUNCTION("""COMPUTED_VALUE"""),"628585908377")</f>
        <v>628585908377</v>
      </c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4"/>
      <c r="AS213" s="54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IFERROR(__xludf.DUMMYFUNCTION("""COMPUTED_VALUE"""),0.0)</f>
        <v>0</v>
      </c>
      <c r="BD213" s="54">
        <f>IFERROR(__xludf.DUMMYFUNCTION("""COMPUTED_VALUE"""),0.0)</f>
        <v>0</v>
      </c>
      <c r="BE213" s="54">
        <f>IFERROR(__xludf.DUMMYFUNCTION("""COMPUTED_VALUE"""),0.0)</f>
        <v>0</v>
      </c>
      <c r="BF213" s="55">
        <f>IFERROR(__xludf.DUMMYFUNCTION("""COMPUTED_VALUE"""),0.0)</f>
        <v>0</v>
      </c>
      <c r="BG213" s="57"/>
      <c r="BH213" s="57"/>
      <c r="BI213" s="57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</row>
    <row r="214">
      <c r="A214" s="36">
        <f>IFERROR(__xludf.DUMMYFUNCTION("""COMPUTED_VALUE"""),213.0)</f>
        <v>213</v>
      </c>
      <c r="B214" s="37" t="str">
        <f>IFERROR(__xludf.DUMMYFUNCTION("""COMPUTED_VALUE"""),"LELYANA DWI ROHMAWATIN")</f>
        <v>LELYANA DWI ROHMAWATIN</v>
      </c>
      <c r="C214" s="38">
        <f>IFERROR(__xludf.DUMMYFUNCTION("""COMPUTED_VALUE"""),2.024070014E9)</f>
        <v>2024070014</v>
      </c>
      <c r="D214" s="37" t="str">
        <f>IFERROR(__xludf.DUMMYFUNCTION("""COMPUTED_VALUE"""),"SUGENG")</f>
        <v>SUGENG</v>
      </c>
      <c r="E214" s="37" t="str">
        <f>IFERROR(__xludf.DUMMYFUNCTION("""COMPUTED_VALUE"""),"SAMINING")</f>
        <v>SAMINING</v>
      </c>
      <c r="F214" s="37" t="str">
        <f>IFERROR(__xludf.DUMMYFUNCTION("""COMPUTED_VALUE"""),"KARANGWUNGU RT 005 RW 001 KARANGGENENG LAMONGAN")</f>
        <v>KARANGWUNGU RT 005 RW 001 KARANGGENENG LAMONGAN</v>
      </c>
      <c r="G214" s="39" t="str">
        <f>IFERROR(__xludf.DUMMYFUNCTION("""COMPUTED_VALUE"""),"MA-XII.1")</f>
        <v>MA-XII.1</v>
      </c>
      <c r="H214" s="36" t="str">
        <f>IFERROR(__xludf.DUMMYFUNCTION("""COMPUTED_VALUE"""),"C")</f>
        <v>C</v>
      </c>
      <c r="I214" s="40" t="str">
        <f>IFERROR(__xludf.DUMMYFUNCTION("""COMPUTED_VALUE"""),"C-2")</f>
        <v>C-2</v>
      </c>
      <c r="J214" s="40">
        <f>IFERROR(__xludf.DUMMYFUNCTION("""COMPUTED_VALUE"""),3.0)</f>
        <v>3</v>
      </c>
      <c r="K214" s="40" t="str">
        <f>IFERROR(__xludf.DUMMYFUNCTION("""COMPUTED_VALUE"""),"")</f>
        <v/>
      </c>
      <c r="L214" s="39" t="str">
        <f>IFERROR(__xludf.DUMMYFUNCTION("""COMPUTED_VALUE"""),"6285735756658")</f>
        <v>6285735756658</v>
      </c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>
        <f>IFERROR(__xludf.DUMMYFUNCTION("""COMPUTED_VALUE"""),450000.0)</f>
        <v>450000</v>
      </c>
      <c r="AN214" s="42">
        <f>IFERROR(__xludf.DUMMYFUNCTION("""COMPUTED_VALUE"""),450000.0)</f>
        <v>450000</v>
      </c>
      <c r="AO214" s="43"/>
      <c r="AP214" s="42">
        <f>IFERROR(__xludf.DUMMYFUNCTION("""COMPUTED_VALUE"""),500000.0)</f>
        <v>500000</v>
      </c>
      <c r="AQ214" s="42"/>
      <c r="AR214" s="42"/>
      <c r="AS214" s="43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IFERROR(__xludf.DUMMYFUNCTION("""COMPUTED_VALUE"""),900000.0)</f>
        <v>900000</v>
      </c>
      <c r="BD214" s="43">
        <f>IFERROR(__xludf.DUMMYFUNCTION("""COMPUTED_VALUE"""),500000.0)</f>
        <v>500000</v>
      </c>
      <c r="BE214" s="43">
        <f>IFERROR(__xludf.DUMMYFUNCTION("""COMPUTED_VALUE"""),0.0)</f>
        <v>0</v>
      </c>
      <c r="BF214" s="44">
        <f>IFERROR(__xludf.DUMMYFUNCTION("""COMPUTED_VALUE"""),1400000.0)</f>
        <v>1400000</v>
      </c>
      <c r="BG214" s="56"/>
      <c r="BH214" s="56"/>
      <c r="BI214" s="5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</row>
    <row r="215">
      <c r="A215" s="47">
        <f>IFERROR(__xludf.DUMMYFUNCTION("""COMPUTED_VALUE"""),214.0)</f>
        <v>214</v>
      </c>
      <c r="B215" s="48" t="str">
        <f>IFERROR(__xludf.DUMMYFUNCTION("""COMPUTED_VALUE"""),"MALICHAH KAMILA ARIANI")</f>
        <v>MALICHAH KAMILA ARIANI</v>
      </c>
      <c r="C215" s="49">
        <f>IFERROR(__xludf.DUMMYFUNCTION("""COMPUTED_VALUE"""),2.024070331E9)</f>
        <v>2024070331</v>
      </c>
      <c r="D215" s="48" t="str">
        <f>IFERROR(__xludf.DUMMYFUNCTION("""COMPUTED_VALUE"""),"MOH NUR QOMARI")</f>
        <v>MOH NUR QOMARI</v>
      </c>
      <c r="E215" s="48" t="str">
        <f>IFERROR(__xludf.DUMMYFUNCTION("""COMPUTED_VALUE"""),"MACHMUDATUN NI`MAH")</f>
        <v>MACHMUDATUN NI`MAH</v>
      </c>
      <c r="F215" s="48" t="str">
        <f>IFERROR(__xludf.DUMMYFUNCTION("""COMPUTED_VALUE"""),"WONOKERTO RT 002 RW 001 DUKUN GRESIK")</f>
        <v>WONOKERTO RT 002 RW 001 DUKUN GRESIK</v>
      </c>
      <c r="G215" s="57" t="str">
        <f>IFERROR(__xludf.DUMMYFUNCTION("""COMPUTED_VALUE"""),"MA-XII.10")</f>
        <v>MA-XII.10</v>
      </c>
      <c r="H215" s="47" t="str">
        <f>IFERROR(__xludf.DUMMYFUNCTION("""COMPUTED_VALUE"""),"C")</f>
        <v>C</v>
      </c>
      <c r="I215" s="51" t="str">
        <f>IFERROR(__xludf.DUMMYFUNCTION("""COMPUTED_VALUE"""),"C-9")</f>
        <v>C-9</v>
      </c>
      <c r="J215" s="51">
        <f>IFERROR(__xludf.DUMMYFUNCTION("""COMPUTED_VALUE"""),3.0)</f>
        <v>3</v>
      </c>
      <c r="K215" s="51" t="str">
        <f>IFERROR(__xludf.DUMMYFUNCTION("""COMPUTED_VALUE"""),"")</f>
        <v/>
      </c>
      <c r="L215" s="50" t="str">
        <f>IFERROR(__xludf.DUMMYFUNCTION("""COMPUTED_VALUE"""),"6285859618682")</f>
        <v>6285859618682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4"/>
      <c r="AP215" s="53">
        <f>IFERROR(__xludf.DUMMYFUNCTION("""COMPUTED_VALUE"""),500000.0)</f>
        <v>500000</v>
      </c>
      <c r="AQ215" s="54"/>
      <c r="AR215" s="54"/>
      <c r="AS215" s="54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IFERROR(__xludf.DUMMYFUNCTION("""COMPUTED_VALUE"""),500000.0)</f>
        <v>500000</v>
      </c>
      <c r="BE215" s="54">
        <f>IFERROR(__xludf.DUMMYFUNCTION("""COMPUTED_VALUE"""),0.0)</f>
        <v>0</v>
      </c>
      <c r="BF215" s="55">
        <f>IFERROR(__xludf.DUMMYFUNCTION("""COMPUTED_VALUE"""),500000.0)</f>
        <v>500000</v>
      </c>
      <c r="BG215" s="57"/>
      <c r="BH215" s="57"/>
      <c r="BI215" s="57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</row>
    <row r="216">
      <c r="A216" s="36">
        <f>IFERROR(__xludf.DUMMYFUNCTION("""COMPUTED_VALUE"""),215.0)</f>
        <v>215</v>
      </c>
      <c r="B216" s="37" t="str">
        <f>IFERROR(__xludf.DUMMYFUNCTION("""COMPUTED_VALUE"""),"MAULIDINNA BASKORO INDAH KIRANNI")</f>
        <v>MAULIDINNA BASKORO INDAH KIRANNI</v>
      </c>
      <c r="C216" s="38">
        <f>IFERROR(__xludf.DUMMYFUNCTION("""COMPUTED_VALUE"""),2.024070079E9)</f>
        <v>2024070079</v>
      </c>
      <c r="D216" s="37" t="str">
        <f>IFERROR(__xludf.DUMMYFUNCTION("""COMPUTED_VALUE"""),"MUZAKIN")</f>
        <v>MUZAKIN</v>
      </c>
      <c r="E216" s="37" t="str">
        <f>IFERROR(__xludf.DUMMYFUNCTION("""COMPUTED_VALUE"""),"LAILATUL FAIZAH")</f>
        <v>LAILATUL FAIZAH</v>
      </c>
      <c r="F216" s="37" t="str">
        <f>IFERROR(__xludf.DUMMYFUNCTION("""COMPUTED_VALUE"""),"LEMBOR RT 001 RW 001 BRONDONG LAMONGAN")</f>
        <v>LEMBOR RT 001 RW 001 BRONDONG LAMONGAN</v>
      </c>
      <c r="G216" s="38" t="str">
        <f>IFERROR(__xludf.DUMMYFUNCTION("""COMPUTED_VALUE"""),"MA-XII.3")</f>
        <v>MA-XII.3</v>
      </c>
      <c r="H216" s="36" t="str">
        <f>IFERROR(__xludf.DUMMYFUNCTION("""COMPUTED_VALUE"""),"C")</f>
        <v>C</v>
      </c>
      <c r="I216" s="42" t="str">
        <f>IFERROR(__xludf.DUMMYFUNCTION("""COMPUTED_VALUE"""),"C-8")</f>
        <v>C-8</v>
      </c>
      <c r="J216" s="40">
        <f>IFERROR(__xludf.DUMMYFUNCTION("""COMPUTED_VALUE"""),3.0)</f>
        <v>3</v>
      </c>
      <c r="K216" s="40" t="str">
        <f>IFERROR(__xludf.DUMMYFUNCTION("""COMPUTED_VALUE"""),"")</f>
        <v/>
      </c>
      <c r="L216" s="39" t="str">
        <f>IFERROR(__xludf.DUMMYFUNCTION("""COMPUTED_VALUE"""),"6285646714671")</f>
        <v>6285646714671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3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IFERROR(__xludf.DUMMYFUNCTION("""COMPUTED_VALUE"""),0.0)</f>
        <v>0</v>
      </c>
      <c r="BE216" s="43">
        <f>IFERROR(__xludf.DUMMYFUNCTION("""COMPUTED_VALUE"""),0.0)</f>
        <v>0</v>
      </c>
      <c r="BF216" s="44">
        <f>IFERROR(__xludf.DUMMYFUNCTION("""COMPUTED_VALUE"""),0.0)</f>
        <v>0</v>
      </c>
      <c r="BG216" s="56"/>
      <c r="BH216" s="56"/>
      <c r="BI216" s="5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</row>
    <row r="217">
      <c r="A217" s="47">
        <f>IFERROR(__xludf.DUMMYFUNCTION("""COMPUTED_VALUE"""),216.0)</f>
        <v>216</v>
      </c>
      <c r="B217" s="48" t="str">
        <f>IFERROR(__xludf.DUMMYFUNCTION("""COMPUTED_VALUE"""),"MECCA MIKAILA")</f>
        <v>MECCA MIKAILA</v>
      </c>
      <c r="C217" s="49">
        <f>IFERROR(__xludf.DUMMYFUNCTION("""COMPUTED_VALUE"""),2.024070539E9)</f>
        <v>2024070539</v>
      </c>
      <c r="D217" s="48" t="str">
        <f>IFERROR(__xludf.DUMMYFUNCTION("""COMPUTED_VALUE"""),"YASMAUN")</f>
        <v>YASMAUN</v>
      </c>
      <c r="E217" s="48" t="str">
        <f>IFERROR(__xludf.DUMMYFUNCTION("""COMPUTED_VALUE"""),"SUSIAMI KHOIRUL UYUN")</f>
        <v>SUSIAMI KHOIRUL UYUN</v>
      </c>
      <c r="F217" s="48" t="str">
        <f>IFERROR(__xludf.DUMMYFUNCTION("""COMPUTED_VALUE"""),"KARANGCANGKRING RT 004 RW 002 DUKUN GRESIK")</f>
        <v>KARANGCANGKRING RT 004 RW 002 DUKUN GRESIK</v>
      </c>
      <c r="G217" s="49" t="str">
        <f>IFERROR(__xludf.DUMMYFUNCTION("""COMPUTED_VALUE"""),"MTS-9 H")</f>
        <v>MTS-9 H</v>
      </c>
      <c r="H217" s="47" t="str">
        <f>IFERROR(__xludf.DUMMYFUNCTION("""COMPUTED_VALUE"""),"C")</f>
        <v>C</v>
      </c>
      <c r="I217" s="53" t="str">
        <f>IFERROR(__xludf.DUMMYFUNCTION("""COMPUTED_VALUE"""),"C-13")</f>
        <v>C-13</v>
      </c>
      <c r="J217" s="51">
        <f>IFERROR(__xludf.DUMMYFUNCTION("""COMPUTED_VALUE"""),3.0)</f>
        <v>3</v>
      </c>
      <c r="K217" s="51" t="str">
        <f>IFERROR(__xludf.DUMMYFUNCTION("""COMPUTED_VALUE"""),"3 ULA B PUTRI")</f>
        <v>3 ULA B PUTRI</v>
      </c>
      <c r="L217" s="50" t="str">
        <f>IFERROR(__xludf.DUMMYFUNCTION("""COMPUTED_VALUE"""),"6285843253842")</f>
        <v>6285843253842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>
        <f>IFERROR(__xludf.DUMMYFUNCTION("""COMPUTED_VALUE"""),500000.0)</f>
        <v>500000</v>
      </c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>
        <f>IFERROR(__xludf.DUMMYFUNCTION("""COMPUTED_VALUE"""),500000.0)</f>
        <v>500000</v>
      </c>
      <c r="AQ217" s="54"/>
      <c r="AR217" s="54"/>
      <c r="AS217" s="54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IFERROR(__xludf.DUMMYFUNCTION("""COMPUTED_VALUE"""),1000000.0)</f>
        <v>1000000</v>
      </c>
      <c r="BE217" s="54">
        <f>IFERROR(__xludf.DUMMYFUNCTION("""COMPUTED_VALUE"""),0.0)</f>
        <v>0</v>
      </c>
      <c r="BF217" s="55">
        <f>IFERROR(__xludf.DUMMYFUNCTION("""COMPUTED_VALUE"""),1000000.0)</f>
        <v>1000000</v>
      </c>
      <c r="BG217" s="57"/>
      <c r="BH217" s="57"/>
      <c r="BI217" s="57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</row>
    <row r="218">
      <c r="A218" s="36">
        <f>IFERROR(__xludf.DUMMYFUNCTION("""COMPUTED_VALUE"""),217.0)</f>
        <v>217</v>
      </c>
      <c r="B218" s="37" t="str">
        <f>IFERROR(__xludf.DUMMYFUNCTION("""COMPUTED_VALUE"""),"MEILANI PUTRI ARINIL WAFA`")</f>
        <v>MEILANI PUTRI ARINIL WAFA`</v>
      </c>
      <c r="C218" s="38">
        <f>IFERROR(__xludf.DUMMYFUNCTION("""COMPUTED_VALUE"""),2.024070015E9)</f>
        <v>2024070015</v>
      </c>
      <c r="D218" s="37" t="str">
        <f>IFERROR(__xludf.DUMMYFUNCTION("""COMPUTED_VALUE"""),"MUSHOLIN")</f>
        <v>MUSHOLIN</v>
      </c>
      <c r="E218" s="37" t="str">
        <f>IFERROR(__xludf.DUMMYFUNCTION("""COMPUTED_VALUE"""),"NURASIATIN")</f>
        <v>NURASIATIN</v>
      </c>
      <c r="F218" s="37" t="str">
        <f>IFERROR(__xludf.DUMMYFUNCTION("""COMPUTED_VALUE"""),"KENDALKEMLAGI RT 002 RW 005 KARANGGENENG LAMONGAN")</f>
        <v>KENDALKEMLAGI RT 002 RW 005 KARANGGENENG LAMONGAN</v>
      </c>
      <c r="G218" s="39" t="str">
        <f>IFERROR(__xludf.DUMMYFUNCTION("""COMPUTED_VALUE"""),"MA-XII.1")</f>
        <v>MA-XII.1</v>
      </c>
      <c r="H218" s="36" t="str">
        <f>IFERROR(__xludf.DUMMYFUNCTION("""COMPUTED_VALUE"""),"C")</f>
        <v>C</v>
      </c>
      <c r="I218" s="40" t="str">
        <f>IFERROR(__xludf.DUMMYFUNCTION("""COMPUTED_VALUE"""),"C-2")</f>
        <v>C-2</v>
      </c>
      <c r="J218" s="40">
        <f>IFERROR(__xludf.DUMMYFUNCTION("""COMPUTED_VALUE"""),3.0)</f>
        <v>3</v>
      </c>
      <c r="K218" s="40" t="str">
        <f>IFERROR(__xludf.DUMMYFUNCTION("""COMPUTED_VALUE"""),"")</f>
        <v/>
      </c>
      <c r="L218" s="39" t="str">
        <f>IFERROR(__xludf.DUMMYFUNCTION("""COMPUTED_VALUE"""),"6285733138071")</f>
        <v>6285733138071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>
        <f>IFERROR(__xludf.DUMMYFUNCTION("""COMPUTED_VALUE"""),450000.0)</f>
        <v>450000</v>
      </c>
      <c r="AO218" s="42"/>
      <c r="AP218" s="42">
        <f>IFERROR(__xludf.DUMMYFUNCTION("""COMPUTED_VALUE"""),500000.0)</f>
        <v>500000</v>
      </c>
      <c r="AQ218" s="42"/>
      <c r="AR218" s="42"/>
      <c r="AS218" s="43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IFERROR(__xludf.DUMMYFUNCTION("""COMPUTED_VALUE"""),450000.0)</f>
        <v>450000</v>
      </c>
      <c r="BD218" s="43">
        <f>IFERROR(__xludf.DUMMYFUNCTION("""COMPUTED_VALUE"""),500000.0)</f>
        <v>500000</v>
      </c>
      <c r="BE218" s="43">
        <f>IFERROR(__xludf.DUMMYFUNCTION("""COMPUTED_VALUE"""),0.0)</f>
        <v>0</v>
      </c>
      <c r="BF218" s="44">
        <f>IFERROR(__xludf.DUMMYFUNCTION("""COMPUTED_VALUE"""),950000.0)</f>
        <v>950000</v>
      </c>
      <c r="BG218" s="56"/>
      <c r="BH218" s="56"/>
      <c r="BI218" s="5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</row>
    <row r="219">
      <c r="A219" s="47">
        <f>IFERROR(__xludf.DUMMYFUNCTION("""COMPUTED_VALUE"""),218.0)</f>
        <v>218</v>
      </c>
      <c r="B219" s="48" t="str">
        <f>IFERROR(__xludf.DUMMYFUNCTION("""COMPUTED_VALUE"""),"MITA NUR FAIZATUN NISA`")</f>
        <v>MITA NUR FAIZATUN NISA`</v>
      </c>
      <c r="C219" s="49">
        <f>IFERROR(__xludf.DUMMYFUNCTION("""COMPUTED_VALUE"""),2.024070429E9)</f>
        <v>2024070429</v>
      </c>
      <c r="D219" s="48" t="str">
        <f>IFERROR(__xludf.DUMMYFUNCTION("""COMPUTED_VALUE"""),"MOHAMMAD RIDHO")</f>
        <v>MOHAMMAD RIDHO</v>
      </c>
      <c r="E219" s="48" t="str">
        <f>IFERROR(__xludf.DUMMYFUNCTION("""COMPUTED_VALUE"""),"PURYAMI")</f>
        <v>PURYAMI</v>
      </c>
      <c r="F219" s="48" t="str">
        <f>IFERROR(__xludf.DUMMYFUNCTION("""COMPUTED_VALUE"""),"PENCOL WIDANG RT 005 RW 005 WIDANG TUBAN")</f>
        <v>PENCOL WIDANG RT 005 RW 005 WIDANG TUBAN</v>
      </c>
      <c r="G219" s="49" t="str">
        <f>IFERROR(__xludf.DUMMYFUNCTION("""COMPUTED_VALUE"""),"MA-XII.13")</f>
        <v>MA-XII.13</v>
      </c>
      <c r="H219" s="47" t="str">
        <f>IFERROR(__xludf.DUMMYFUNCTION("""COMPUTED_VALUE"""),"C")</f>
        <v>C</v>
      </c>
      <c r="I219" s="53" t="str">
        <f>IFERROR(__xludf.DUMMYFUNCTION("""COMPUTED_VALUE"""),"C-7")</f>
        <v>C-7</v>
      </c>
      <c r="J219" s="51">
        <f>IFERROR(__xludf.DUMMYFUNCTION("""COMPUTED_VALUE"""),3.0)</f>
        <v>3</v>
      </c>
      <c r="K219" s="51" t="str">
        <f>IFERROR(__xludf.DUMMYFUNCTION("""COMPUTED_VALUE"""),"")</f>
        <v/>
      </c>
      <c r="L219" s="50" t="str">
        <f>IFERROR(__xludf.DUMMYFUNCTION("""COMPUTED_VALUE"""),"6281332935951")</f>
        <v>6281332935951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4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4"/>
      <c r="AO219" s="53"/>
      <c r="AP219" s="54"/>
      <c r="AQ219" s="54"/>
      <c r="AR219" s="54"/>
      <c r="AS219" s="54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IFERROR(__xludf.DUMMYFUNCTION("""COMPUTED_VALUE"""),0.0)</f>
        <v>0</v>
      </c>
      <c r="BE219" s="54">
        <f>IFERROR(__xludf.DUMMYFUNCTION("""COMPUTED_VALUE"""),0.0)</f>
        <v>0</v>
      </c>
      <c r="BF219" s="55">
        <f>IFERROR(__xludf.DUMMYFUNCTION("""COMPUTED_VALUE"""),0.0)</f>
        <v>0</v>
      </c>
      <c r="BG219" s="57"/>
      <c r="BH219" s="57"/>
      <c r="BI219" s="57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</row>
    <row r="220">
      <c r="A220" s="36">
        <f>IFERROR(__xludf.DUMMYFUNCTION("""COMPUTED_VALUE"""),219.0)</f>
        <v>219</v>
      </c>
      <c r="B220" s="37" t="str">
        <f>IFERROR(__xludf.DUMMYFUNCTION("""COMPUTED_VALUE"""),"MUTIARA AZZAHRA")</f>
        <v>MUTIARA AZZAHRA</v>
      </c>
      <c r="C220" s="38">
        <f>IFERROR(__xludf.DUMMYFUNCTION("""COMPUTED_VALUE"""),2.024070562E9)</f>
        <v>2024070562</v>
      </c>
      <c r="D220" s="37" t="str">
        <f>IFERROR(__xludf.DUMMYFUNCTION("""COMPUTED_VALUE"""),"SUBIYONO")</f>
        <v>SUBIYONO</v>
      </c>
      <c r="E220" s="37" t="str">
        <f>IFERROR(__xludf.DUMMYFUNCTION("""COMPUTED_VALUE"""),"YATIKAH")</f>
        <v>YATIKAH</v>
      </c>
      <c r="F220" s="37" t="str">
        <f>IFERROR(__xludf.DUMMYFUNCTION("""COMPUTED_VALUE"""),"DADAPAN RT 004 RW 001 SOLOKURO LAMONGAN")</f>
        <v>DADAPAN RT 004 RW 001 SOLOKURO LAMONGAN</v>
      </c>
      <c r="G220" s="56" t="str">
        <f>IFERROR(__xludf.DUMMYFUNCTION("""COMPUTED_VALUE"""),"MTS-9 D")</f>
        <v>MTS-9 D</v>
      </c>
      <c r="H220" s="36" t="str">
        <f>IFERROR(__xludf.DUMMYFUNCTION("""COMPUTED_VALUE"""),"C")</f>
        <v>C</v>
      </c>
      <c r="I220" s="42" t="str">
        <f>IFERROR(__xludf.DUMMYFUNCTION("""COMPUTED_VALUE"""),"C-3")</f>
        <v>C-3</v>
      </c>
      <c r="J220" s="40">
        <f>IFERROR(__xludf.DUMMYFUNCTION("""COMPUTED_VALUE"""),3.0)</f>
        <v>3</v>
      </c>
      <c r="K220" s="40" t="str">
        <f>IFERROR(__xludf.DUMMYFUNCTION("""COMPUTED_VALUE"""),"3 ULA A PUTRI")</f>
        <v>3 ULA A PUTRI</v>
      </c>
      <c r="L220" s="39" t="str">
        <f>IFERROR(__xludf.DUMMYFUNCTION("""COMPUTED_VALUE"""),"6285852265482")</f>
        <v>6285852265482</v>
      </c>
      <c r="M220" s="43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3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3"/>
      <c r="AQ220" s="43"/>
      <c r="AR220" s="43"/>
      <c r="AS220" s="43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IFERROR(__xludf.DUMMYFUNCTION("""COMPUTED_VALUE"""),0.0)</f>
        <v>0</v>
      </c>
      <c r="BE220" s="43">
        <f>IFERROR(__xludf.DUMMYFUNCTION("""COMPUTED_VALUE"""),0.0)</f>
        <v>0</v>
      </c>
      <c r="BF220" s="44">
        <f>IFERROR(__xludf.DUMMYFUNCTION("""COMPUTED_VALUE"""),0.0)</f>
        <v>0</v>
      </c>
      <c r="BG220" s="56"/>
      <c r="BH220" s="56"/>
      <c r="BI220" s="5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</row>
    <row r="221">
      <c r="A221" s="47">
        <f>IFERROR(__xludf.DUMMYFUNCTION("""COMPUTED_VALUE"""),220.0)</f>
        <v>220</v>
      </c>
      <c r="B221" s="48" t="str">
        <f>IFERROR(__xludf.DUMMYFUNCTION("""COMPUTED_VALUE"""),"NADIA ZAHROTUSYTA")</f>
        <v>NADIA ZAHROTUSYTA</v>
      </c>
      <c r="C221" s="49">
        <f>IFERROR(__xludf.DUMMYFUNCTION("""COMPUTED_VALUE"""),2.024070693E9)</f>
        <v>2024070693</v>
      </c>
      <c r="D221" s="48" t="str">
        <f>IFERROR(__xludf.DUMMYFUNCTION("""COMPUTED_VALUE"""),"PURKONUDIN")</f>
        <v>PURKONUDIN</v>
      </c>
      <c r="E221" s="48" t="str">
        <f>IFERROR(__xludf.DUMMYFUNCTION("""COMPUTED_VALUE"""),"SITI KHODIJAH")</f>
        <v>SITI KHODIJAH</v>
      </c>
      <c r="F221" s="48" t="str">
        <f>IFERROR(__xludf.DUMMYFUNCTION("""COMPUTED_VALUE"""),"KP SINDANGASIH BANJARWARINGIN RT 005 RW 001 SALOPA TASIKMALAYA")</f>
        <v>KP SINDANGASIH BANJARWARINGIN RT 005 RW 001 SALOPA TASIKMALAYA</v>
      </c>
      <c r="G221" s="49" t="str">
        <f>IFERROR(__xludf.DUMMYFUNCTION("""COMPUTED_VALUE"""),"SMK-XII LPb")</f>
        <v>SMK-XII LPb</v>
      </c>
      <c r="H221" s="47" t="str">
        <f>IFERROR(__xludf.DUMMYFUNCTION("""COMPUTED_VALUE"""),"C")</f>
        <v>C</v>
      </c>
      <c r="I221" s="53" t="str">
        <f>IFERROR(__xludf.DUMMYFUNCTION("""COMPUTED_VALUE"""),"C-4")</f>
        <v>C-4</v>
      </c>
      <c r="J221" s="51">
        <f>IFERROR(__xludf.DUMMYFUNCTION("""COMPUTED_VALUE"""),3.0)</f>
        <v>3</v>
      </c>
      <c r="K221" s="51" t="str">
        <f>IFERROR(__xludf.DUMMYFUNCTION("""COMPUTED_VALUE"""),"3 WUSTHO B PUTRI")</f>
        <v>3 WUSTHO B PUTRI</v>
      </c>
      <c r="L221" s="50" t="str">
        <f>IFERROR(__xludf.DUMMYFUNCTION("""COMPUTED_VALUE"""),"6282120539883")</f>
        <v>6282120539883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/>
      <c r="AQ221" s="53"/>
      <c r="AR221" s="54"/>
      <c r="AS221" s="54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IFERROR(__xludf.DUMMYFUNCTION("""COMPUTED_VALUE"""),0.0)</f>
        <v>0</v>
      </c>
      <c r="BE221" s="54">
        <f>IFERROR(__xludf.DUMMYFUNCTION("""COMPUTED_VALUE"""),0.0)</f>
        <v>0</v>
      </c>
      <c r="BF221" s="55">
        <f>IFERROR(__xludf.DUMMYFUNCTION("""COMPUTED_VALUE"""),0.0)</f>
        <v>0</v>
      </c>
      <c r="BG221" s="57"/>
      <c r="BH221" s="57"/>
      <c r="BI221" s="57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</row>
    <row r="222">
      <c r="A222" s="36">
        <f>IFERROR(__xludf.DUMMYFUNCTION("""COMPUTED_VALUE"""),221.0)</f>
        <v>221</v>
      </c>
      <c r="B222" s="37" t="str">
        <f>IFERROR(__xludf.DUMMYFUNCTION("""COMPUTED_VALUE"""),"NADIYATAN NAQI`")</f>
        <v>NADIYATAN NAQI`</v>
      </c>
      <c r="C222" s="38">
        <f>IFERROR(__xludf.DUMMYFUNCTION("""COMPUTED_VALUE"""),2.024070017E9)</f>
        <v>2024070017</v>
      </c>
      <c r="D222" s="37" t="str">
        <f>IFERROR(__xludf.DUMMYFUNCTION("""COMPUTED_VALUE"""),"MOHAMMAD ZAINUL ARIFIN")</f>
        <v>MOHAMMAD ZAINUL ARIFIN</v>
      </c>
      <c r="E222" s="37" t="str">
        <f>IFERROR(__xludf.DUMMYFUNCTION("""COMPUTED_VALUE"""),"YAYUK WAHIBAH")</f>
        <v>YAYUK WAHIBAH</v>
      </c>
      <c r="F222" s="37" t="str">
        <f>IFERROR(__xludf.DUMMYFUNCTION("""COMPUTED_VALUE"""),"JL. KH. WAHID HASYIM 12 KULURAN RT 001 RW 001 KALITENGAH LAMONGAN")</f>
        <v>JL. KH. WAHID HASYIM 12 KULURAN RT 001 RW 001 KALITENGAH LAMONGAN</v>
      </c>
      <c r="G222" s="39" t="str">
        <f>IFERROR(__xludf.DUMMYFUNCTION("""COMPUTED_VALUE"""),"MA-XII.1")</f>
        <v>MA-XII.1</v>
      </c>
      <c r="H222" s="36" t="str">
        <f>IFERROR(__xludf.DUMMYFUNCTION("""COMPUTED_VALUE"""),"C")</f>
        <v>C</v>
      </c>
      <c r="I222" s="42" t="str">
        <f>IFERROR(__xludf.DUMMYFUNCTION("""COMPUTED_VALUE"""),"C-2")</f>
        <v>C-2</v>
      </c>
      <c r="J222" s="40">
        <f>IFERROR(__xludf.DUMMYFUNCTION("""COMPUTED_VALUE"""),3.0)</f>
        <v>3</v>
      </c>
      <c r="K222" s="40" t="str">
        <f>IFERROR(__xludf.DUMMYFUNCTION("""COMPUTED_VALUE"""),"")</f>
        <v/>
      </c>
      <c r="L222" s="39" t="str">
        <f>IFERROR(__xludf.DUMMYFUNCTION("""COMPUTED_VALUE"""),"6281331944544")</f>
        <v>6281331944544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3"/>
      <c r="AP222" s="42">
        <f>IFERROR(__xludf.DUMMYFUNCTION("""COMPUTED_VALUE"""),500000.0)</f>
        <v>500000</v>
      </c>
      <c r="AQ222" s="43"/>
      <c r="AR222" s="43"/>
      <c r="AS222" s="43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IFERROR(__xludf.DUMMYFUNCTION("""COMPUTED_VALUE"""),500000.0)</f>
        <v>500000</v>
      </c>
      <c r="BE222" s="43">
        <f>IFERROR(__xludf.DUMMYFUNCTION("""COMPUTED_VALUE"""),0.0)</f>
        <v>0</v>
      </c>
      <c r="BF222" s="44">
        <f>IFERROR(__xludf.DUMMYFUNCTION("""COMPUTED_VALUE"""),500000.0)</f>
        <v>500000</v>
      </c>
      <c r="BG222" s="56"/>
      <c r="BH222" s="56"/>
      <c r="BI222" s="5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</row>
    <row r="223">
      <c r="A223" s="47">
        <f>IFERROR(__xludf.DUMMYFUNCTION("""COMPUTED_VALUE"""),222.0)</f>
        <v>222</v>
      </c>
      <c r="B223" s="48" t="str">
        <f>IFERROR(__xludf.DUMMYFUNCTION("""COMPUTED_VALUE"""),"NAFISA BARROTUS TSANIAH")</f>
        <v>NAFISA BARROTUS TSANIAH</v>
      </c>
      <c r="C223" s="49">
        <f>IFERROR(__xludf.DUMMYFUNCTION("""COMPUTED_VALUE"""),2.024070018E9)</f>
        <v>2024070018</v>
      </c>
      <c r="D223" s="48" t="str">
        <f>IFERROR(__xludf.DUMMYFUNCTION("""COMPUTED_VALUE"""),"LADI")</f>
        <v>LADI</v>
      </c>
      <c r="E223" s="48" t="str">
        <f>IFERROR(__xludf.DUMMYFUNCTION("""COMPUTED_VALUE"""),"NASRI'AH")</f>
        <v>NASRI'AH</v>
      </c>
      <c r="F223" s="48" t="str">
        <f>IFERROR(__xludf.DUMMYFUNCTION("""COMPUTED_VALUE"""),"KEMLAGIGEDE RT 12 RW 2 TURI LAMONGAN")</f>
        <v>KEMLAGIGEDE RT 12 RW 2 TURI LAMONGAN</v>
      </c>
      <c r="G223" s="49" t="str">
        <f>IFERROR(__xludf.DUMMYFUNCTION("""COMPUTED_VALUE"""),"MA-XII.1")</f>
        <v>MA-XII.1</v>
      </c>
      <c r="H223" s="47" t="str">
        <f>IFERROR(__xludf.DUMMYFUNCTION("""COMPUTED_VALUE"""),"C")</f>
        <v>C</v>
      </c>
      <c r="I223" s="53" t="str">
        <f>IFERROR(__xludf.DUMMYFUNCTION("""COMPUTED_VALUE"""),"C-2")</f>
        <v>C-2</v>
      </c>
      <c r="J223" s="51">
        <f>IFERROR(__xludf.DUMMYFUNCTION("""COMPUTED_VALUE"""),3.0)</f>
        <v>3</v>
      </c>
      <c r="K223" s="51" t="str">
        <f>IFERROR(__xludf.DUMMYFUNCTION("""COMPUTED_VALUE"""),"")</f>
        <v/>
      </c>
      <c r="L223" s="50" t="str">
        <f>IFERROR(__xludf.DUMMYFUNCTION("""COMPUTED_VALUE"""),"62881036103894")</f>
        <v>62881036103894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4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7"/>
      <c r="BH223" s="57"/>
      <c r="BI223" s="57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</row>
    <row r="224">
      <c r="A224" s="36">
        <f>IFERROR(__xludf.DUMMYFUNCTION("""COMPUTED_VALUE"""),223.0)</f>
        <v>223</v>
      </c>
      <c r="B224" s="37" t="str">
        <f>IFERROR(__xludf.DUMMYFUNCTION("""COMPUTED_VALUE"""),"NAILIS SA`ADAH ALFIYANAH")</f>
        <v>NAILIS SA`ADAH ALFIYANAH</v>
      </c>
      <c r="C224" s="38">
        <f>IFERROR(__xludf.DUMMYFUNCTION("""COMPUTED_VALUE"""),2.024070431E9)</f>
        <v>2024070431</v>
      </c>
      <c r="D224" s="37" t="str">
        <f>IFERROR(__xludf.DUMMYFUNCTION("""COMPUTED_VALUE"""),"TASLIKAN")</f>
        <v>TASLIKAN</v>
      </c>
      <c r="E224" s="37" t="str">
        <f>IFERROR(__xludf.DUMMYFUNCTION("""COMPUTED_VALUE"""),"SITI KHOZANAH")</f>
        <v>SITI KHOZANAH</v>
      </c>
      <c r="F224" s="37" t="str">
        <f>IFERROR(__xludf.DUMMYFUNCTION("""COMPUTED_VALUE"""),"CABEAN NGEMBOH RT 001 RW 006 UJUNGPANGKAH GRESIK")</f>
        <v>CABEAN NGEMBOH RT 001 RW 006 UJUNGPANGKAH GRESIK</v>
      </c>
      <c r="G224" s="56" t="str">
        <f>IFERROR(__xludf.DUMMYFUNCTION("""COMPUTED_VALUE"""),"MA-XII.13")</f>
        <v>MA-XII.13</v>
      </c>
      <c r="H224" s="36" t="str">
        <f>IFERROR(__xludf.DUMMYFUNCTION("""COMPUTED_VALUE"""),"C")</f>
        <v>C</v>
      </c>
      <c r="I224" s="42" t="str">
        <f>IFERROR(__xludf.DUMMYFUNCTION("""COMPUTED_VALUE"""),"C-7")</f>
        <v>C-7</v>
      </c>
      <c r="J224" s="40">
        <f>IFERROR(__xludf.DUMMYFUNCTION("""COMPUTED_VALUE"""),3.0)</f>
        <v>3</v>
      </c>
      <c r="K224" s="40" t="str">
        <f>IFERROR(__xludf.DUMMYFUNCTION("""COMPUTED_VALUE"""),"")</f>
        <v/>
      </c>
      <c r="L224" s="39" t="str">
        <f>IFERROR(__xludf.DUMMYFUNCTION("""COMPUTED_VALUE"""),"6285330164564")</f>
        <v>6285330164564</v>
      </c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3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IFERROR(__xludf.DUMMYFUNCTION("""COMPUTED_VALUE"""),0.0)</f>
        <v>0</v>
      </c>
      <c r="BD224" s="43">
        <f>IFERROR(__xludf.DUMMYFUNCTION("""COMPUTED_VALUE"""),0.0)</f>
        <v>0</v>
      </c>
      <c r="BE224" s="43">
        <f>IFERROR(__xludf.DUMMYFUNCTION("""COMPUTED_VALUE"""),0.0)</f>
        <v>0</v>
      </c>
      <c r="BF224" s="44">
        <f>IFERROR(__xludf.DUMMYFUNCTION("""COMPUTED_VALUE"""),0.0)</f>
        <v>0</v>
      </c>
      <c r="BG224" s="56"/>
      <c r="BH224" s="56"/>
      <c r="BI224" s="5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</row>
    <row r="225">
      <c r="A225" s="47">
        <f>IFERROR(__xludf.DUMMYFUNCTION("""COMPUTED_VALUE"""),224.0)</f>
        <v>224</v>
      </c>
      <c r="B225" s="48" t="str">
        <f>IFERROR(__xludf.DUMMYFUNCTION("""COMPUTED_VALUE"""),"NAJWA ANAYA PUTRI FATIHAH")</f>
        <v>NAJWA ANAYA PUTRI FATIHAH</v>
      </c>
      <c r="C225" s="49">
        <f>IFERROR(__xludf.DUMMYFUNCTION("""COMPUTED_VALUE"""),2.024070019E9)</f>
        <v>2024070019</v>
      </c>
      <c r="D225" s="48" t="str">
        <f>IFERROR(__xludf.DUMMYFUNCTION("""COMPUTED_VALUE"""),"MUHAMMAD BASHIR")</f>
        <v>MUHAMMAD BASHIR</v>
      </c>
      <c r="E225" s="48" t="str">
        <f>IFERROR(__xludf.DUMMYFUNCTION("""COMPUTED_VALUE"""),"ILMIYAH FADLOL")</f>
        <v>ILMIYAH FADLOL</v>
      </c>
      <c r="F225" s="48" t="str">
        <f>IFERROR(__xludf.DUMMYFUNCTION("""COMPUTED_VALUE"""),"KARANGREJO RT 005 RW 003 UJUNGPANGKAH GRESIK")</f>
        <v>KARANGREJO RT 005 RW 003 UJUNGPANGKAH GRESIK</v>
      </c>
      <c r="G225" s="49" t="str">
        <f>IFERROR(__xludf.DUMMYFUNCTION("""COMPUTED_VALUE"""),"MA-XII.1")</f>
        <v>MA-XII.1</v>
      </c>
      <c r="H225" s="47" t="str">
        <f>IFERROR(__xludf.DUMMYFUNCTION("""COMPUTED_VALUE"""),"C")</f>
        <v>C</v>
      </c>
      <c r="I225" s="53" t="str">
        <f>IFERROR(__xludf.DUMMYFUNCTION("""COMPUTED_VALUE"""),"C-2")</f>
        <v>C-2</v>
      </c>
      <c r="J225" s="51">
        <f>IFERROR(__xludf.DUMMYFUNCTION("""COMPUTED_VALUE"""),3.0)</f>
        <v>3</v>
      </c>
      <c r="K225" s="51" t="str">
        <f>IFERROR(__xludf.DUMMYFUNCTION("""COMPUTED_VALUE"""),"")</f>
        <v/>
      </c>
      <c r="L225" s="50" t="str">
        <f>IFERROR(__xludf.DUMMYFUNCTION("""COMPUTED_VALUE"""),"6281232654948")</f>
        <v>6281232654948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4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4"/>
      <c r="AQ225" s="53"/>
      <c r="AR225" s="53"/>
      <c r="AS225" s="54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IFERROR(__xludf.DUMMYFUNCTION("""COMPUTED_VALUE"""),0.0)</f>
        <v>0</v>
      </c>
      <c r="BE225" s="54">
        <f>IFERROR(__xludf.DUMMYFUNCTION("""COMPUTED_VALUE"""),0.0)</f>
        <v>0</v>
      </c>
      <c r="BF225" s="55">
        <f>IFERROR(__xludf.DUMMYFUNCTION("""COMPUTED_VALUE"""),0.0)</f>
        <v>0</v>
      </c>
      <c r="BG225" s="57"/>
      <c r="BH225" s="57"/>
      <c r="BI225" s="57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</row>
    <row r="226">
      <c r="A226" s="36">
        <f>IFERROR(__xludf.DUMMYFUNCTION("""COMPUTED_VALUE"""),225.0)</f>
        <v>225</v>
      </c>
      <c r="B226" s="37" t="str">
        <f>IFERROR(__xludf.DUMMYFUNCTION("""COMPUTED_VALUE"""),"NAYLATUL MAWADDAH")</f>
        <v>NAYLATUL MAWADDAH</v>
      </c>
      <c r="C226" s="38">
        <f>IFERROR(__xludf.DUMMYFUNCTION("""COMPUTED_VALUE"""),2.024070682E9)</f>
        <v>2024070682</v>
      </c>
      <c r="D226" s="37" t="str">
        <f>IFERROR(__xludf.DUMMYFUNCTION("""COMPUTED_VALUE"""),"ABDUL JALIL")</f>
        <v>ABDUL JALIL</v>
      </c>
      <c r="E226" s="37" t="str">
        <f>IFERROR(__xludf.DUMMYFUNCTION("""COMPUTED_VALUE"""),"ZULIYATIN")</f>
        <v>ZULIYATIN</v>
      </c>
      <c r="F226" s="37" t="str">
        <f>IFERROR(__xludf.DUMMYFUNCTION("""COMPUTED_VALUE"""),"BANGERAN RT 006 RW 003 DUKUN GRESIK")</f>
        <v>BANGERAN RT 006 RW 003 DUKUN GRESIK</v>
      </c>
      <c r="G226" s="38" t="str">
        <f>IFERROR(__xludf.DUMMYFUNCTION("""COMPUTED_VALUE"""),"SMK-XII DKV")</f>
        <v>SMK-XII DKV</v>
      </c>
      <c r="H226" s="36" t="str">
        <f>IFERROR(__xludf.DUMMYFUNCTION("""COMPUTED_VALUE"""),"C")</f>
        <v>C</v>
      </c>
      <c r="I226" s="42" t="str">
        <f>IFERROR(__xludf.DUMMYFUNCTION("""COMPUTED_VALUE"""),"C-8")</f>
        <v>C-8</v>
      </c>
      <c r="J226" s="40">
        <f>IFERROR(__xludf.DUMMYFUNCTION("""COMPUTED_VALUE"""),3.0)</f>
        <v>3</v>
      </c>
      <c r="K226" s="40" t="str">
        <f>IFERROR(__xludf.DUMMYFUNCTION("""COMPUTED_VALUE"""),"3 WUSTHO C PUTRI")</f>
        <v>3 WUSTHO C PUTRI</v>
      </c>
      <c r="L226" s="39" t="str">
        <f>IFERROR(__xludf.DUMMYFUNCTION("""COMPUTED_VALUE"""),"6285608738797")</f>
        <v>6285608738797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>
        <f>IFERROR(__xludf.DUMMYFUNCTION("""COMPUTED_VALUE"""),450000.0)</f>
        <v>450000</v>
      </c>
      <c r="AO226" s="43"/>
      <c r="AP226" s="42">
        <f>IFERROR(__xludf.DUMMYFUNCTION("""COMPUTED_VALUE"""),500000.0)</f>
        <v>500000</v>
      </c>
      <c r="AQ226" s="42"/>
      <c r="AR226" s="43"/>
      <c r="AS226" s="43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IFERROR(__xludf.DUMMYFUNCTION("""COMPUTED_VALUE"""),450000.0)</f>
        <v>450000</v>
      </c>
      <c r="BD226" s="43">
        <f>IFERROR(__xludf.DUMMYFUNCTION("""COMPUTED_VALUE"""),500000.0)</f>
        <v>500000</v>
      </c>
      <c r="BE226" s="43">
        <f>IFERROR(__xludf.DUMMYFUNCTION("""COMPUTED_VALUE"""),0.0)</f>
        <v>0</v>
      </c>
      <c r="BF226" s="44">
        <f>IFERROR(__xludf.DUMMYFUNCTION("""COMPUTED_VALUE"""),950000.0)</f>
        <v>950000</v>
      </c>
      <c r="BG226" s="56"/>
      <c r="BH226" s="56"/>
      <c r="BI226" s="5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</row>
    <row r="227">
      <c r="A227" s="47">
        <f>IFERROR(__xludf.DUMMYFUNCTION("""COMPUTED_VALUE"""),226.0)</f>
        <v>226</v>
      </c>
      <c r="B227" s="48" t="str">
        <f>IFERROR(__xludf.DUMMYFUNCTION("""COMPUTED_VALUE"""),"NINDY AULIA PUTRI")</f>
        <v>NINDY AULIA PUTRI</v>
      </c>
      <c r="C227" s="49">
        <f>IFERROR(__xludf.DUMMYFUNCTION("""COMPUTED_VALUE"""),2.024070434E9)</f>
        <v>2024070434</v>
      </c>
      <c r="D227" s="48" t="str">
        <f>IFERROR(__xludf.DUMMYFUNCTION("""COMPUTED_VALUE"""),"SUNARDI")</f>
        <v>SUNARDI</v>
      </c>
      <c r="E227" s="48" t="str">
        <f>IFERROR(__xludf.DUMMYFUNCTION("""COMPUTED_VALUE"""),"SRI ANITA")</f>
        <v>SRI ANITA</v>
      </c>
      <c r="F227" s="48" t="str">
        <f>IFERROR(__xludf.DUMMYFUNCTION("""COMPUTED_VALUE"""),"MOROGO PUTATKUMPUL RT 003 RW 005 TURI LAMONGAN")</f>
        <v>MOROGO PUTATKUMPUL RT 003 RW 005 TURI LAMONGAN</v>
      </c>
      <c r="G227" s="50" t="str">
        <f>IFERROR(__xludf.DUMMYFUNCTION("""COMPUTED_VALUE"""),"MA-XII.13")</f>
        <v>MA-XII.13</v>
      </c>
      <c r="H227" s="47" t="str">
        <f>IFERROR(__xludf.DUMMYFUNCTION("""COMPUTED_VALUE"""),"C")</f>
        <v>C</v>
      </c>
      <c r="I227" s="53" t="str">
        <f>IFERROR(__xludf.DUMMYFUNCTION("""COMPUTED_VALUE"""),"C-7")</f>
        <v>C-7</v>
      </c>
      <c r="J227" s="51">
        <f>IFERROR(__xludf.DUMMYFUNCTION("""COMPUTED_VALUE"""),3.0)</f>
        <v>3</v>
      </c>
      <c r="K227" s="51" t="str">
        <f>IFERROR(__xludf.DUMMYFUNCTION("""COMPUTED_VALUE"""),"3 MAK PUTRI")</f>
        <v>3 MAK PUTRI</v>
      </c>
      <c r="L227" s="50" t="str">
        <f>IFERROR(__xludf.DUMMYFUNCTION("""COMPUTED_VALUE"""),"6285732999616")</f>
        <v>6285732999616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4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4">
        <f>IFERROR(__xludf.DUMMYFUNCTION("""COMPUTED_VALUE"""),500000.0)</f>
        <v>500000</v>
      </c>
      <c r="AQ227" s="53"/>
      <c r="AR227" s="54"/>
      <c r="AS227" s="54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IFERROR(__xludf.DUMMYFUNCTION("""COMPUTED_VALUE"""),500000.0)</f>
        <v>500000</v>
      </c>
      <c r="BE227" s="54">
        <f>IFERROR(__xludf.DUMMYFUNCTION("""COMPUTED_VALUE"""),0.0)</f>
        <v>0</v>
      </c>
      <c r="BF227" s="55">
        <f>IFERROR(__xludf.DUMMYFUNCTION("""COMPUTED_VALUE"""),500000.0)</f>
        <v>500000</v>
      </c>
      <c r="BG227" s="57"/>
      <c r="BH227" s="57"/>
      <c r="BI227" s="57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</row>
    <row r="228">
      <c r="A228" s="36">
        <f>IFERROR(__xludf.DUMMYFUNCTION("""COMPUTED_VALUE"""),227.0)</f>
        <v>227</v>
      </c>
      <c r="B228" s="37" t="str">
        <f>IFERROR(__xludf.DUMMYFUNCTION("""COMPUTED_VALUE"""),"NISAUL MAGHFIROH")</f>
        <v>NISAUL MAGHFIROH</v>
      </c>
      <c r="C228" s="38">
        <f>IFERROR(__xludf.DUMMYFUNCTION("""COMPUTED_VALUE"""),2.024070435E9)</f>
        <v>2024070435</v>
      </c>
      <c r="D228" s="37" t="str">
        <f>IFERROR(__xludf.DUMMYFUNCTION("""COMPUTED_VALUE"""),"MAKFUL")</f>
        <v>MAKFUL</v>
      </c>
      <c r="E228" s="37" t="str">
        <f>IFERROR(__xludf.DUMMYFUNCTION("""COMPUTED_VALUE"""),"FATIMAH")</f>
        <v>FATIMAH</v>
      </c>
      <c r="F228" s="37" t="str">
        <f>IFERROR(__xludf.DUMMYFUNCTION("""COMPUTED_VALUE"""),"GILIG SUGIHREJO RT 001 RW 004 SUKODADI LAMONGAN")</f>
        <v>GILIG SUGIHREJO RT 001 RW 004 SUKODADI LAMONGAN</v>
      </c>
      <c r="G228" s="56" t="str">
        <f>IFERROR(__xludf.DUMMYFUNCTION("""COMPUTED_VALUE"""),"MA-XII.13")</f>
        <v>MA-XII.13</v>
      </c>
      <c r="H228" s="36" t="str">
        <f>IFERROR(__xludf.DUMMYFUNCTION("""COMPUTED_VALUE"""),"C")</f>
        <v>C</v>
      </c>
      <c r="I228" s="40" t="str">
        <f>IFERROR(__xludf.DUMMYFUNCTION("""COMPUTED_VALUE"""),"C-7")</f>
        <v>C-7</v>
      </c>
      <c r="J228" s="40">
        <f>IFERROR(__xludf.DUMMYFUNCTION("""COMPUTED_VALUE"""),3.0)</f>
        <v>3</v>
      </c>
      <c r="K228" s="40" t="str">
        <f>IFERROR(__xludf.DUMMYFUNCTION("""COMPUTED_VALUE"""),"3 MAK PUTRI")</f>
        <v>3 MAK PUTRI</v>
      </c>
      <c r="L228" s="39" t="str">
        <f>IFERROR(__xludf.DUMMYFUNCTION("""COMPUTED_VALUE"""),"6285732899224")</f>
        <v>6285732899224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3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IFERROR(__xludf.DUMMYFUNCTION("""COMPUTED_VALUE"""),0.0)</f>
        <v>0</v>
      </c>
      <c r="BE228" s="43">
        <f>IFERROR(__xludf.DUMMYFUNCTION("""COMPUTED_VALUE"""),0.0)</f>
        <v>0</v>
      </c>
      <c r="BF228" s="44">
        <f>IFERROR(__xludf.DUMMYFUNCTION("""COMPUTED_VALUE"""),0.0)</f>
        <v>0</v>
      </c>
      <c r="BG228" s="56"/>
      <c r="BH228" s="56"/>
      <c r="BI228" s="5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</row>
    <row r="229">
      <c r="A229" s="47">
        <f>IFERROR(__xludf.DUMMYFUNCTION("""COMPUTED_VALUE"""),228.0)</f>
        <v>228</v>
      </c>
      <c r="B229" s="48" t="str">
        <f>IFERROR(__xludf.DUMMYFUNCTION("""COMPUTED_VALUE"""),"NOOR SHANIA RAHMAWATI")</f>
        <v>NOOR SHANIA RAHMAWATI</v>
      </c>
      <c r="C229" s="49">
        <f>IFERROR(__xludf.DUMMYFUNCTION("""COMPUTED_VALUE"""),2.024070021E9)</f>
        <v>2024070021</v>
      </c>
      <c r="D229" s="48" t="str">
        <f>IFERROR(__xludf.DUMMYFUNCTION("""COMPUTED_VALUE"""),"MOHAMMAD FAIZIN")</f>
        <v>MOHAMMAD FAIZIN</v>
      </c>
      <c r="E229" s="48" t="str">
        <f>IFERROR(__xludf.DUMMYFUNCTION("""COMPUTED_VALUE"""),"ISMAWATUR ROHMAH")</f>
        <v>ISMAWATUR ROHMAH</v>
      </c>
      <c r="F229" s="48" t="str">
        <f>IFERROR(__xludf.DUMMYFUNCTION("""COMPUTED_VALUE"""),"GLATIK RT 009 RW 003 UJUNGPANGKAH GRESIK")</f>
        <v>GLATIK RT 009 RW 003 UJUNGPANGKAH GRESIK</v>
      </c>
      <c r="G229" s="50" t="str">
        <f>IFERROR(__xludf.DUMMYFUNCTION("""COMPUTED_VALUE"""),"MA-XII.1")</f>
        <v>MA-XII.1</v>
      </c>
      <c r="H229" s="47" t="str">
        <f>IFERROR(__xludf.DUMMYFUNCTION("""COMPUTED_VALUE"""),"C")</f>
        <v>C</v>
      </c>
      <c r="I229" s="51" t="str">
        <f>IFERROR(__xludf.DUMMYFUNCTION("""COMPUTED_VALUE"""),"C-2")</f>
        <v>C-2</v>
      </c>
      <c r="J229" s="51">
        <f>IFERROR(__xludf.DUMMYFUNCTION("""COMPUTED_VALUE"""),3.0)</f>
        <v>3</v>
      </c>
      <c r="K229" s="51" t="str">
        <f>IFERROR(__xludf.DUMMYFUNCTION("""COMPUTED_VALUE"""),"")</f>
        <v/>
      </c>
      <c r="L229" s="50" t="str">
        <f>IFERROR(__xludf.DUMMYFUNCTION("""COMPUTED_VALUE"""),"62895385546488")</f>
        <v>62895385546488</v>
      </c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4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/>
      <c r="AQ229" s="53"/>
      <c r="AR229" s="53"/>
      <c r="AS229" s="54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IFERROR(__xludf.DUMMYFUNCTION("""COMPUTED_VALUE"""),0.0)</f>
        <v>0</v>
      </c>
      <c r="BD229" s="54">
        <f>IFERROR(__xludf.DUMMYFUNCTION("""COMPUTED_VALUE"""),0.0)</f>
        <v>0</v>
      </c>
      <c r="BE229" s="54">
        <f>IFERROR(__xludf.DUMMYFUNCTION("""COMPUTED_VALUE"""),0.0)</f>
        <v>0</v>
      </c>
      <c r="BF229" s="55">
        <f>IFERROR(__xludf.DUMMYFUNCTION("""COMPUTED_VALUE"""),0.0)</f>
        <v>0</v>
      </c>
      <c r="BG229" s="57"/>
      <c r="BH229" s="57"/>
      <c r="BI229" s="57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</row>
    <row r="230">
      <c r="A230" s="36">
        <f>IFERROR(__xludf.DUMMYFUNCTION("""COMPUTED_VALUE"""),229.0)</f>
        <v>229</v>
      </c>
      <c r="B230" s="37" t="str">
        <f>IFERROR(__xludf.DUMMYFUNCTION("""COMPUTED_VALUE"""),"NUR IZZAH SYAFIRAH")</f>
        <v>NUR IZZAH SYAFIRAH</v>
      </c>
      <c r="C230" s="38">
        <f>IFERROR(__xludf.DUMMYFUNCTION("""COMPUTED_VALUE"""),2.024070234E9)</f>
        <v>2024070234</v>
      </c>
      <c r="D230" s="37" t="str">
        <f>IFERROR(__xludf.DUMMYFUNCTION("""COMPUTED_VALUE"""),"SULTONI")</f>
        <v>SULTONI</v>
      </c>
      <c r="E230" s="37" t="str">
        <f>IFERROR(__xludf.DUMMYFUNCTION("""COMPUTED_VALUE"""),"UMU SAADAH")</f>
        <v>UMU SAADAH</v>
      </c>
      <c r="F230" s="37" t="str">
        <f>IFERROR(__xludf.DUMMYFUNCTION("""COMPUTED_VALUE"""),"KARANGCANGKRING RT 1 RW 1 DUKUN GRESIK")</f>
        <v>KARANGCANGKRING RT 1 RW 1 DUKUN GRESIK</v>
      </c>
      <c r="G230" s="38" t="str">
        <f>IFERROR(__xludf.DUMMYFUNCTION("""COMPUTED_VALUE"""),"MA-XII.6")</f>
        <v>MA-XII.6</v>
      </c>
      <c r="H230" s="36" t="str">
        <f>IFERROR(__xludf.DUMMYFUNCTION("""COMPUTED_VALUE"""),"C")</f>
        <v>C</v>
      </c>
      <c r="I230" s="42" t="str">
        <f>IFERROR(__xludf.DUMMYFUNCTION("""COMPUTED_VALUE"""),"C-9")</f>
        <v>C-9</v>
      </c>
      <c r="J230" s="40">
        <f>IFERROR(__xludf.DUMMYFUNCTION("""COMPUTED_VALUE"""),3.0)</f>
        <v>3</v>
      </c>
      <c r="K230" s="40" t="str">
        <f>IFERROR(__xludf.DUMMYFUNCTION("""COMPUTED_VALUE"""),"3 WUSTHO B PUTRI")</f>
        <v>3 WUSTHO B PUTRI</v>
      </c>
      <c r="L230" s="39" t="str">
        <f>IFERROR(__xludf.DUMMYFUNCTION("""COMPUTED_VALUE"""),"6288235840830")</f>
        <v>6288235840830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>
        <f>IFERROR(__xludf.DUMMYFUNCTION("""COMPUTED_VALUE"""),500000.0)</f>
        <v>500000</v>
      </c>
      <c r="AQ230" s="42"/>
      <c r="AR230" s="42"/>
      <c r="AS230" s="43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IFERROR(__xludf.DUMMYFUNCTION("""COMPUTED_VALUE"""),500000.0)</f>
        <v>500000</v>
      </c>
      <c r="BE230" s="43">
        <f>IFERROR(__xludf.DUMMYFUNCTION("""COMPUTED_VALUE"""),0.0)</f>
        <v>0</v>
      </c>
      <c r="BF230" s="44">
        <f>IFERROR(__xludf.DUMMYFUNCTION("""COMPUTED_VALUE"""),500000.0)</f>
        <v>500000</v>
      </c>
      <c r="BG230" s="56"/>
      <c r="BH230" s="56"/>
      <c r="BI230" s="5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</row>
    <row r="231">
      <c r="A231" s="47">
        <f>IFERROR(__xludf.DUMMYFUNCTION("""COMPUTED_VALUE"""),230.0)</f>
        <v>230</v>
      </c>
      <c r="B231" s="48" t="str">
        <f>IFERROR(__xludf.DUMMYFUNCTION("""COMPUTED_VALUE"""),"NURFUIMA LINDA HIDAYATI")</f>
        <v>NURFUIMA LINDA HIDAYATI</v>
      </c>
      <c r="C231" s="49">
        <f>IFERROR(__xludf.DUMMYFUNCTION("""COMPUTED_VALUE"""),2.024070357E9)</f>
        <v>2024070357</v>
      </c>
      <c r="D231" s="57" t="str">
        <f>IFERROR(__xludf.DUMMYFUNCTION("""COMPUTED_VALUE"""),"MOH. FUDAIRI")</f>
        <v>MOH. FUDAIRI</v>
      </c>
      <c r="E231" s="48" t="str">
        <f>IFERROR(__xludf.DUMMYFUNCTION("""COMPUTED_VALUE"""),"UMAIPAH")</f>
        <v>UMAIPAH</v>
      </c>
      <c r="F231" s="48" t="str">
        <f>IFERROR(__xludf.DUMMYFUNCTION("""COMPUTED_VALUE"""),"SAWO RT 009 RW 005 DUKUN GRESIK")</f>
        <v>SAWO RT 009 RW 005 DUKUN GRESIK</v>
      </c>
      <c r="G231" s="50" t="str">
        <f>IFERROR(__xludf.DUMMYFUNCTION("""COMPUTED_VALUE"""),"MA-XII.11")</f>
        <v>MA-XII.11</v>
      </c>
      <c r="H231" s="47" t="str">
        <f>IFERROR(__xludf.DUMMYFUNCTION("""COMPUTED_VALUE"""),"C")</f>
        <v>C</v>
      </c>
      <c r="I231" s="51" t="str">
        <f>IFERROR(__xludf.DUMMYFUNCTION("""COMPUTED_VALUE"""),"C-8")</f>
        <v>C-8</v>
      </c>
      <c r="J231" s="51">
        <f>IFERROR(__xludf.DUMMYFUNCTION("""COMPUTED_VALUE"""),3.0)</f>
        <v>3</v>
      </c>
      <c r="K231" s="51" t="str">
        <f>IFERROR(__xludf.DUMMYFUNCTION("""COMPUTED_VALUE"""),"")</f>
        <v/>
      </c>
      <c r="L231" s="50" t="str">
        <f>IFERROR(__xludf.DUMMYFUNCTION("""COMPUTED_VALUE"""),"6285606170861")</f>
        <v>6285606170861</v>
      </c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>
        <f>IFERROR(__xludf.DUMMYFUNCTION("""COMPUTED_VALUE"""),450000.0)</f>
        <v>450000</v>
      </c>
      <c r="AO231" s="53"/>
      <c r="AP231" s="53">
        <f>IFERROR(__xludf.DUMMYFUNCTION("""COMPUTED_VALUE"""),500000.0)</f>
        <v>500000</v>
      </c>
      <c r="AQ231" s="53"/>
      <c r="AR231" s="53"/>
      <c r="AS231" s="54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IFERROR(__xludf.DUMMYFUNCTION("""COMPUTED_VALUE"""),450000.0)</f>
        <v>450000</v>
      </c>
      <c r="BD231" s="54">
        <f>IFERROR(__xludf.DUMMYFUNCTION("""COMPUTED_VALUE"""),500000.0)</f>
        <v>500000</v>
      </c>
      <c r="BE231" s="54">
        <f>IFERROR(__xludf.DUMMYFUNCTION("""COMPUTED_VALUE"""),0.0)</f>
        <v>0</v>
      </c>
      <c r="BF231" s="55">
        <f>IFERROR(__xludf.DUMMYFUNCTION("""COMPUTED_VALUE"""),950000.0)</f>
        <v>950000</v>
      </c>
      <c r="BG231" s="57"/>
      <c r="BH231" s="57"/>
      <c r="BI231" s="57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</row>
    <row r="232">
      <c r="A232" s="36">
        <f>IFERROR(__xludf.DUMMYFUNCTION("""COMPUTED_VALUE"""),231.0)</f>
        <v>231</v>
      </c>
      <c r="B232" s="37" t="str">
        <f>IFERROR(__xludf.DUMMYFUNCTION("""COMPUTED_VALUE"""),"NURUL SYARIFAH AMALIA")</f>
        <v>NURUL SYARIFAH AMALIA</v>
      </c>
      <c r="C232" s="38">
        <f>IFERROR(__xludf.DUMMYFUNCTION("""COMPUTED_VALUE"""),2.02407005E9)</f>
        <v>2024070050</v>
      </c>
      <c r="D232" s="37" t="str">
        <f>IFERROR(__xludf.DUMMYFUNCTION("""COMPUTED_VALUE"""),"HARTONO")</f>
        <v>HARTONO</v>
      </c>
      <c r="E232" s="37" t="str">
        <f>IFERROR(__xludf.DUMMYFUNCTION("""COMPUTED_VALUE"""),"MUSLIHATUN")</f>
        <v>MUSLIHATUN</v>
      </c>
      <c r="F232" s="37" t="str">
        <f>IFERROR(__xludf.DUMMYFUNCTION("""COMPUTED_VALUE"""),"SAWO RT 009 RW 005 DUKUN GRESIK")</f>
        <v>SAWO RT 009 RW 005 DUKUN GRESIK</v>
      </c>
      <c r="G232" s="56" t="str">
        <f>IFERROR(__xludf.DUMMYFUNCTION("""COMPUTED_VALUE"""),"MA-XII.2")</f>
        <v>MA-XII.2</v>
      </c>
      <c r="H232" s="36" t="str">
        <f>IFERROR(__xludf.DUMMYFUNCTION("""COMPUTED_VALUE"""),"C")</f>
        <v>C</v>
      </c>
      <c r="I232" s="42" t="str">
        <f>IFERROR(__xludf.DUMMYFUNCTION("""COMPUTED_VALUE"""),"C-8")</f>
        <v>C-8</v>
      </c>
      <c r="J232" s="40">
        <f>IFERROR(__xludf.DUMMYFUNCTION("""COMPUTED_VALUE"""),3.0)</f>
        <v>3</v>
      </c>
      <c r="K232" s="40" t="str">
        <f>IFERROR(__xludf.DUMMYFUNCTION("""COMPUTED_VALUE"""),"")</f>
        <v/>
      </c>
      <c r="L232" s="58" t="str">
        <f>IFERROR(__xludf.DUMMYFUNCTION("""COMPUTED_VALUE"""),"6281554030081")</f>
        <v>6281554030081</v>
      </c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3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IFERROR(__xludf.DUMMYFUNCTION("""COMPUTED_VALUE"""),0.0)</f>
        <v>0</v>
      </c>
      <c r="BE232" s="43">
        <f>IFERROR(__xludf.DUMMYFUNCTION("""COMPUTED_VALUE"""),0.0)</f>
        <v>0</v>
      </c>
      <c r="BF232" s="44">
        <f>IFERROR(__xludf.DUMMYFUNCTION("""COMPUTED_VALUE"""),0.0)</f>
        <v>0</v>
      </c>
      <c r="BG232" s="56"/>
      <c r="BH232" s="56"/>
      <c r="BI232" s="5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</row>
    <row r="233">
      <c r="A233" s="47">
        <f>IFERROR(__xludf.DUMMYFUNCTION("""COMPUTED_VALUE"""),232.0)</f>
        <v>232</v>
      </c>
      <c r="B233" s="48" t="str">
        <f>IFERROR(__xludf.DUMMYFUNCTION("""COMPUTED_VALUE"""),"NURUN NAJWA ARROHMANIYAH")</f>
        <v>NURUN NAJWA ARROHMANIYAH</v>
      </c>
      <c r="C233" s="49">
        <f>IFERROR(__xludf.DUMMYFUNCTION("""COMPUTED_VALUE"""),2.024070119E9)</f>
        <v>2024070119</v>
      </c>
      <c r="D233" s="48" t="str">
        <f>IFERROR(__xludf.DUMMYFUNCTION("""COMPUTED_VALUE"""),"LUKMANUL KHAKIM")</f>
        <v>LUKMANUL KHAKIM</v>
      </c>
      <c r="E233" s="48" t="str">
        <f>IFERROR(__xludf.DUMMYFUNCTION("""COMPUTED_VALUE"""),"ZUBAIDAH")</f>
        <v>ZUBAIDAH</v>
      </c>
      <c r="F233" s="48" t="str">
        <f>IFERROR(__xludf.DUMMYFUNCTION("""COMPUTED_VALUE"""),"TRACAL RT 003 RW 002 KARANGGENENG LAMONGAN")</f>
        <v>TRACAL RT 003 RW 002 KARANGGENENG LAMONGAN</v>
      </c>
      <c r="G233" s="49" t="str">
        <f>IFERROR(__xludf.DUMMYFUNCTION("""COMPUTED_VALUE"""),"MA-XII.4")</f>
        <v>MA-XII.4</v>
      </c>
      <c r="H233" s="47" t="str">
        <f>IFERROR(__xludf.DUMMYFUNCTION("""COMPUTED_VALUE"""),"C")</f>
        <v>C</v>
      </c>
      <c r="I233" s="53" t="str">
        <f>IFERROR(__xludf.DUMMYFUNCTION("""COMPUTED_VALUE"""),"C-8")</f>
        <v>C-8</v>
      </c>
      <c r="J233" s="51">
        <f>IFERROR(__xludf.DUMMYFUNCTION("""COMPUTED_VALUE"""),3.0)</f>
        <v>3</v>
      </c>
      <c r="K233" s="51" t="str">
        <f>IFERROR(__xludf.DUMMYFUNCTION("""COMPUTED_VALUE"""),"")</f>
        <v/>
      </c>
      <c r="L233" s="50" t="str">
        <f>IFERROR(__xludf.DUMMYFUNCTION("""COMPUTED_VALUE"""),"6285731338909")</f>
        <v>6285731338909</v>
      </c>
      <c r="M233" s="54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>
        <f>IFERROR(__xludf.DUMMYFUNCTION("""COMPUTED_VALUE"""),500000.0)</f>
        <v>500000</v>
      </c>
      <c r="AQ233" s="54"/>
      <c r="AR233" s="54"/>
      <c r="AS233" s="54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IFERROR(__xludf.DUMMYFUNCTION("""COMPUTED_VALUE"""),500000.0)</f>
        <v>500000</v>
      </c>
      <c r="BE233" s="54">
        <f>IFERROR(__xludf.DUMMYFUNCTION("""COMPUTED_VALUE"""),0.0)</f>
        <v>0</v>
      </c>
      <c r="BF233" s="55">
        <f>IFERROR(__xludf.DUMMYFUNCTION("""COMPUTED_VALUE"""),500000.0)</f>
        <v>500000</v>
      </c>
      <c r="BG233" s="57"/>
      <c r="BH233" s="57"/>
      <c r="BI233" s="57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</row>
    <row r="234">
      <c r="A234" s="36">
        <f>IFERROR(__xludf.DUMMYFUNCTION("""COMPUTED_VALUE"""),233.0)</f>
        <v>233</v>
      </c>
      <c r="B234" s="37" t="str">
        <f>IFERROR(__xludf.DUMMYFUNCTION("""COMPUTED_VALUE"""),"PUTRI SALSABILA RAHMA NOVALITA")</f>
        <v>PUTRI SALSABILA RAHMA NOVALITA</v>
      </c>
      <c r="C234" s="38">
        <f>IFERROR(__xludf.DUMMYFUNCTION("""COMPUTED_VALUE"""),2.024070545E9)</f>
        <v>2024070545</v>
      </c>
      <c r="D234" s="37" t="str">
        <f>IFERROR(__xludf.DUMMYFUNCTION("""COMPUTED_VALUE"""),"ARIFIANTO")</f>
        <v>ARIFIANTO</v>
      </c>
      <c r="E234" s="37" t="str">
        <f>IFERROR(__xludf.DUMMYFUNCTION("""COMPUTED_VALUE"""),"NUR HASANAH")</f>
        <v>NUR HASANAH</v>
      </c>
      <c r="F234" s="37" t="str">
        <f>IFERROR(__xludf.DUMMYFUNCTION("""COMPUTED_VALUE"""),"SEMBUNGAN KIDUL RT 004 RW 002 DUKUN GRESIK")</f>
        <v>SEMBUNGAN KIDUL RT 004 RW 002 DUKUN GRESIK</v>
      </c>
      <c r="G234" s="39" t="str">
        <f>IFERROR(__xludf.DUMMYFUNCTION("""COMPUTED_VALUE"""),"MTS-9 G")</f>
        <v>MTS-9 G</v>
      </c>
      <c r="H234" s="36" t="str">
        <f>IFERROR(__xludf.DUMMYFUNCTION("""COMPUTED_VALUE"""),"C")</f>
        <v>C</v>
      </c>
      <c r="I234" s="40" t="str">
        <f>IFERROR(__xludf.DUMMYFUNCTION("""COMPUTED_VALUE"""),"C-3")</f>
        <v>C-3</v>
      </c>
      <c r="J234" s="40">
        <f>IFERROR(__xludf.DUMMYFUNCTION("""COMPUTED_VALUE"""),3.0)</f>
        <v>3</v>
      </c>
      <c r="K234" s="40" t="str">
        <f>IFERROR(__xludf.DUMMYFUNCTION("""COMPUTED_VALUE"""),"")</f>
        <v/>
      </c>
      <c r="L234" s="39" t="str">
        <f>IFERROR(__xludf.DUMMYFUNCTION("""COMPUTED_VALUE"""),"6285755578060")</f>
        <v>6285755578060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>
        <f>IFERROR(__xludf.DUMMYFUNCTION("""COMPUTED_VALUE"""),500000.0)</f>
        <v>500000</v>
      </c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>
        <f>IFERROR(__xludf.DUMMYFUNCTION("""COMPUTED_VALUE"""),450000.0)</f>
        <v>450000</v>
      </c>
      <c r="AN234" s="42">
        <f>IFERROR(__xludf.DUMMYFUNCTION("""COMPUTED_VALUE"""),450000.0)</f>
        <v>450000</v>
      </c>
      <c r="AO234" s="42"/>
      <c r="AP234" s="42">
        <f>IFERROR(__xludf.DUMMYFUNCTION("""COMPUTED_VALUE"""),500000.0)</f>
        <v>500000</v>
      </c>
      <c r="AQ234" s="42"/>
      <c r="AR234" s="42"/>
      <c r="AS234" s="43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IFERROR(__xludf.DUMMYFUNCTION("""COMPUTED_VALUE"""),900000.0)</f>
        <v>900000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IFERROR(__xludf.DUMMYFUNCTION("""COMPUTED_VALUE"""),1900000.0)</f>
        <v>1900000</v>
      </c>
      <c r="BG234" s="56"/>
      <c r="BH234" s="56"/>
      <c r="BI234" s="5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</row>
    <row r="235">
      <c r="A235" s="47">
        <f>IFERROR(__xludf.DUMMYFUNCTION("""COMPUTED_VALUE"""),234.0)</f>
        <v>234</v>
      </c>
      <c r="B235" s="48" t="str">
        <f>IFERROR(__xludf.DUMMYFUNCTION("""COMPUTED_VALUE"""),"SEPTIA ERRA RAMADHANI")</f>
        <v>SEPTIA ERRA RAMADHANI</v>
      </c>
      <c r="C235" s="49">
        <f>IFERROR(__xludf.DUMMYFUNCTION("""COMPUTED_VALUE"""),2.024070364E9)</f>
        <v>2024070364</v>
      </c>
      <c r="D235" s="48" t="str">
        <f>IFERROR(__xludf.DUMMYFUNCTION("""COMPUTED_VALUE"""),"SISWADI")</f>
        <v>SISWADI</v>
      </c>
      <c r="E235" s="48" t="str">
        <f>IFERROR(__xludf.DUMMYFUNCTION("""COMPUTED_VALUE"""),"RINI SETYOWATI")</f>
        <v>RINI SETYOWATI</v>
      </c>
      <c r="F235" s="48" t="str">
        <f>IFERROR(__xludf.DUMMYFUNCTION("""COMPUTED_VALUE"""),"BAKALAN BANYUURIP RT 001 RW 003 KARANGBINANGUN LAMONGAN")</f>
        <v>BAKALAN BANYUURIP RT 001 RW 003 KARANGBINANGUN LAMONGAN</v>
      </c>
      <c r="G235" s="50" t="str">
        <f>IFERROR(__xludf.DUMMYFUNCTION("""COMPUTED_VALUE"""),"MA-XII.11")</f>
        <v>MA-XII.11</v>
      </c>
      <c r="H235" s="47" t="str">
        <f>IFERROR(__xludf.DUMMYFUNCTION("""COMPUTED_VALUE"""),"C")</f>
        <v>C</v>
      </c>
      <c r="I235" s="51" t="str">
        <f>IFERROR(__xludf.DUMMYFUNCTION("""COMPUTED_VALUE"""),"C-8")</f>
        <v>C-8</v>
      </c>
      <c r="J235" s="51">
        <f>IFERROR(__xludf.DUMMYFUNCTION("""COMPUTED_VALUE"""),3.0)</f>
        <v>3</v>
      </c>
      <c r="K235" s="51" t="str">
        <f>IFERROR(__xludf.DUMMYFUNCTION("""COMPUTED_VALUE"""),"3 WUSTHO B PUTRI")</f>
        <v>3 WUSTHO B PUTRI</v>
      </c>
      <c r="L235" s="50" t="str">
        <f>IFERROR(__xludf.DUMMYFUNCTION("""COMPUTED_VALUE"""),"6285803383706")</f>
        <v>6285803383706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IFERROR(__xludf.DUMMYFUNCTION("""COMPUTED_VALUE"""),0.0)</f>
        <v>0</v>
      </c>
      <c r="BE235" s="54">
        <f>IFERROR(__xludf.DUMMYFUNCTION("""COMPUTED_VALUE"""),0.0)</f>
        <v>0</v>
      </c>
      <c r="BF235" s="55">
        <f>IFERROR(__xludf.DUMMYFUNCTION("""COMPUTED_VALUE"""),0.0)</f>
        <v>0</v>
      </c>
      <c r="BG235" s="57"/>
      <c r="BH235" s="57"/>
      <c r="BI235" s="57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</row>
    <row r="236">
      <c r="A236" s="36">
        <f>IFERROR(__xludf.DUMMYFUNCTION("""COMPUTED_VALUE"""),235.0)</f>
        <v>235</v>
      </c>
      <c r="B236" s="37" t="str">
        <f>IFERROR(__xludf.DUMMYFUNCTION("""COMPUTED_VALUE"""),"SHAFA ELMATALIA GHAZALI")</f>
        <v>SHAFA ELMATALIA GHAZALI</v>
      </c>
      <c r="C236" s="38">
        <f>IFERROR(__xludf.DUMMYFUNCTION("""COMPUTED_VALUE"""),2.024070437E9)</f>
        <v>2024070437</v>
      </c>
      <c r="D236" s="37" t="str">
        <f>IFERROR(__xludf.DUMMYFUNCTION("""COMPUTED_VALUE"""),"IMAM GHOZALI")</f>
        <v>IMAM GHOZALI</v>
      </c>
      <c r="E236" s="37" t="str">
        <f>IFERROR(__xludf.DUMMYFUNCTION("""COMPUTED_VALUE"""),"SSITI MAFTUCHAH")</f>
        <v>SSITI MAFTUCHAH</v>
      </c>
      <c r="F236" s="37" t="str">
        <f>IFERROR(__xludf.DUMMYFUNCTION("""COMPUTED_VALUE"""),"PETIYIN TAKERHARJO RT 001 RW 005 SOLOKURO LAMONGAN")</f>
        <v>PETIYIN TAKERHARJO RT 001 RW 005 SOLOKURO LAMONGAN</v>
      </c>
      <c r="G236" s="39" t="str">
        <f>IFERROR(__xludf.DUMMYFUNCTION("""COMPUTED_VALUE"""),"MA-XII.13")</f>
        <v>MA-XII.13</v>
      </c>
      <c r="H236" s="36" t="str">
        <f>IFERROR(__xludf.DUMMYFUNCTION("""COMPUTED_VALUE"""),"C")</f>
        <v>C</v>
      </c>
      <c r="I236" s="42" t="str">
        <f>IFERROR(__xludf.DUMMYFUNCTION("""COMPUTED_VALUE"""),"C-7")</f>
        <v>C-7</v>
      </c>
      <c r="J236" s="40">
        <f>IFERROR(__xludf.DUMMYFUNCTION("""COMPUTED_VALUE"""),3.0)</f>
        <v>3</v>
      </c>
      <c r="K236" s="40" t="str">
        <f>IFERROR(__xludf.DUMMYFUNCTION("""COMPUTED_VALUE"""),"3 MAK PUTRI")</f>
        <v>3 MAK PUTRI</v>
      </c>
      <c r="L236" s="39" t="str">
        <f>IFERROR(__xludf.DUMMYFUNCTION("""COMPUTED_VALUE"""),"6285817250698")</f>
        <v>6285817250698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>
        <f>IFERROR(__xludf.DUMMYFUNCTION("""COMPUTED_VALUE"""),500000.0)</f>
        <v>500000</v>
      </c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>
        <f>IFERROR(__xludf.DUMMYFUNCTION("""COMPUTED_VALUE"""),450000.0)</f>
        <v>450000</v>
      </c>
      <c r="AO236" s="43"/>
      <c r="AP236" s="42">
        <f>IFERROR(__xludf.DUMMYFUNCTION("""COMPUTED_VALUE"""),500000.0)</f>
        <v>500000</v>
      </c>
      <c r="AQ236" s="42"/>
      <c r="AR236" s="43"/>
      <c r="AS236" s="43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56"/>
      <c r="BH236" s="56"/>
      <c r="BI236" s="5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</row>
    <row r="237">
      <c r="A237" s="47">
        <f>IFERROR(__xludf.DUMMYFUNCTION("""COMPUTED_VALUE"""),236.0)</f>
        <v>236</v>
      </c>
      <c r="B237" s="48" t="str">
        <f>IFERROR(__xludf.DUMMYFUNCTION("""COMPUTED_VALUE"""),"SHIELLAH ALFI ALKARIMAH YUSUF")</f>
        <v>SHIELLAH ALFI ALKARIMAH YUSUF</v>
      </c>
      <c r="C237" s="49">
        <f>IFERROR(__xludf.DUMMYFUNCTION("""COMPUTED_VALUE"""),2.024070023E9)</f>
        <v>2024070023</v>
      </c>
      <c r="D237" s="48" t="str">
        <f>IFERROR(__xludf.DUMMYFUNCTION("""COMPUTED_VALUE"""),"ALI YUSUF")</f>
        <v>ALI YUSUF</v>
      </c>
      <c r="E237" s="48" t="str">
        <f>IFERROR(__xludf.DUMMYFUNCTION("""COMPUTED_VALUE"""),"ZULFATUM MA'KIFAH")</f>
        <v>ZULFATUM MA'KIFAH</v>
      </c>
      <c r="F237" s="48" t="str">
        <f>IFERROR(__xludf.DUMMYFUNCTION("""COMPUTED_VALUE"""),"TURI RT 9 RW 2 TURI LAMONGAN")</f>
        <v>TURI RT 9 RW 2 TURI LAMONGAN</v>
      </c>
      <c r="G237" s="57" t="str">
        <f>IFERROR(__xludf.DUMMYFUNCTION("""COMPUTED_VALUE"""),"MA-XII.1")</f>
        <v>MA-XII.1</v>
      </c>
      <c r="H237" s="47" t="str">
        <f>IFERROR(__xludf.DUMMYFUNCTION("""COMPUTED_VALUE"""),"C")</f>
        <v>C</v>
      </c>
      <c r="I237" s="53" t="str">
        <f>IFERROR(__xludf.DUMMYFUNCTION("""COMPUTED_VALUE"""),"C-2")</f>
        <v>C-2</v>
      </c>
      <c r="J237" s="51">
        <f>IFERROR(__xludf.DUMMYFUNCTION("""COMPUTED_VALUE"""),3.0)</f>
        <v>3</v>
      </c>
      <c r="K237" s="51" t="str">
        <f>IFERROR(__xludf.DUMMYFUNCTION("""COMPUTED_VALUE"""),"")</f>
        <v/>
      </c>
      <c r="L237" s="61" t="str">
        <f>IFERROR(__xludf.DUMMYFUNCTION("""COMPUTED_VALUE"""),"6285730526524")</f>
        <v>6285730526524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4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IFERROR(__xludf.DUMMYFUNCTION("""COMPUTED_VALUE"""),0.0)</f>
        <v>0</v>
      </c>
      <c r="BE237" s="54">
        <f>IFERROR(__xludf.DUMMYFUNCTION("""COMPUTED_VALUE"""),0.0)</f>
        <v>0</v>
      </c>
      <c r="BF237" s="55">
        <f>IFERROR(__xludf.DUMMYFUNCTION("""COMPUTED_VALUE"""),0.0)</f>
        <v>0</v>
      </c>
      <c r="BG237" s="57"/>
      <c r="BH237" s="57"/>
      <c r="BI237" s="57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</row>
    <row r="238">
      <c r="A238" s="36">
        <f>IFERROR(__xludf.DUMMYFUNCTION("""COMPUTED_VALUE"""),237.0)</f>
        <v>237</v>
      </c>
      <c r="B238" s="37" t="str">
        <f>IFERROR(__xludf.DUMMYFUNCTION("""COMPUTED_VALUE"""),"SHOFWATUL WIDAD")</f>
        <v>SHOFWATUL WIDAD</v>
      </c>
      <c r="C238" s="38">
        <f>IFERROR(__xludf.DUMMYFUNCTION("""COMPUTED_VALUE"""),2.024070024E9)</f>
        <v>2024070024</v>
      </c>
      <c r="D238" s="37" t="str">
        <f>IFERROR(__xludf.DUMMYFUNCTION("""COMPUTED_VALUE"""),"M. AGUS SALIM")</f>
        <v>M. AGUS SALIM</v>
      </c>
      <c r="E238" s="37" t="str">
        <f>IFERROR(__xludf.DUMMYFUNCTION("""COMPUTED_VALUE"""),"BADROTUL LAILI")</f>
        <v>BADROTUL LAILI</v>
      </c>
      <c r="F238" s="37" t="str">
        <f>IFERROR(__xludf.DUMMYFUNCTION("""COMPUTED_VALUE"""),"WEDORO RT 3 RW 1 GLAGAH LAMONGAN")</f>
        <v>WEDORO RT 3 RW 1 GLAGAH LAMONGAN</v>
      </c>
      <c r="G238" s="38" t="str">
        <f>IFERROR(__xludf.DUMMYFUNCTION("""COMPUTED_VALUE"""),"MA-XII.1")</f>
        <v>MA-XII.1</v>
      </c>
      <c r="H238" s="36" t="str">
        <f>IFERROR(__xludf.DUMMYFUNCTION("""COMPUTED_VALUE"""),"C")</f>
        <v>C</v>
      </c>
      <c r="I238" s="42" t="str">
        <f>IFERROR(__xludf.DUMMYFUNCTION("""COMPUTED_VALUE"""),"C-2")</f>
        <v>C-2</v>
      </c>
      <c r="J238" s="40">
        <f>IFERROR(__xludf.DUMMYFUNCTION("""COMPUTED_VALUE"""),3.0)</f>
        <v>3</v>
      </c>
      <c r="K238" s="40" t="str">
        <f>IFERROR(__xludf.DUMMYFUNCTION("""COMPUTED_VALUE"""),"")</f>
        <v/>
      </c>
      <c r="L238" s="39" t="str">
        <f>IFERROR(__xludf.DUMMYFUNCTION("""COMPUTED_VALUE"""),"6281334126096")</f>
        <v>6281334126096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3"/>
      <c r="AS238" s="43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IFERROR(__xludf.DUMMYFUNCTION("""COMPUTED_VALUE"""),0.0)</f>
        <v>0</v>
      </c>
      <c r="BE238" s="43">
        <f>IFERROR(__xludf.DUMMYFUNCTION("""COMPUTED_VALUE"""),0.0)</f>
        <v>0</v>
      </c>
      <c r="BF238" s="44">
        <f>IFERROR(__xludf.DUMMYFUNCTION("""COMPUTED_VALUE"""),0.0)</f>
        <v>0</v>
      </c>
      <c r="BG238" s="56"/>
      <c r="BH238" s="56"/>
      <c r="BI238" s="5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</row>
    <row r="239">
      <c r="A239" s="47">
        <f>IFERROR(__xludf.DUMMYFUNCTION("""COMPUTED_VALUE"""),238.0)</f>
        <v>238</v>
      </c>
      <c r="B239" s="48" t="str">
        <f>IFERROR(__xludf.DUMMYFUNCTION("""COMPUTED_VALUE"""),"SIFAAUR ROSYIDAH")</f>
        <v>SIFAAUR ROSYIDAH</v>
      </c>
      <c r="C239" s="49">
        <f>IFERROR(__xludf.DUMMYFUNCTION("""COMPUTED_VALUE"""),2.024070439E9)</f>
        <v>2024070439</v>
      </c>
      <c r="D239" s="48" t="str">
        <f>IFERROR(__xludf.DUMMYFUNCTION("""COMPUTED_VALUE"""),"ABD. SALAM")</f>
        <v>ABD. SALAM</v>
      </c>
      <c r="E239" s="48" t="str">
        <f>IFERROR(__xludf.DUMMYFUNCTION("""COMPUTED_VALUE"""),"MASRUROH")</f>
        <v>MASRUROH</v>
      </c>
      <c r="F239" s="48" t="str">
        <f>IFERROR(__xludf.DUMMYFUNCTION("""COMPUTED_VALUE"""),"KEMLAGILOR RT 2 RW 2 TURI LAMONGAN")</f>
        <v>KEMLAGILOR RT 2 RW 2 TURI LAMONGAN</v>
      </c>
      <c r="G239" s="50" t="str">
        <f>IFERROR(__xludf.DUMMYFUNCTION("""COMPUTED_VALUE"""),"MA-XII.13")</f>
        <v>MA-XII.13</v>
      </c>
      <c r="H239" s="47" t="str">
        <f>IFERROR(__xludf.DUMMYFUNCTION("""COMPUTED_VALUE"""),"C")</f>
        <v>C</v>
      </c>
      <c r="I239" s="51" t="str">
        <f>IFERROR(__xludf.DUMMYFUNCTION("""COMPUTED_VALUE"""),"C-7")</f>
        <v>C-7</v>
      </c>
      <c r="J239" s="51">
        <f>IFERROR(__xludf.DUMMYFUNCTION("""COMPUTED_VALUE"""),3.0)</f>
        <v>3</v>
      </c>
      <c r="K239" s="51" t="str">
        <f>IFERROR(__xludf.DUMMYFUNCTION("""COMPUTED_VALUE"""),"3 MAK PUTRI")</f>
        <v>3 MAK PUTRI</v>
      </c>
      <c r="L239" s="50" t="str">
        <f>IFERROR(__xludf.DUMMYFUNCTION("""COMPUTED_VALUE"""),"6285773511334")</f>
        <v>6285773511334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4">
        <f>IFERROR(__xludf.DUMMYFUNCTION("""COMPUTED_VALUE"""),450000.0)</f>
        <v>450000</v>
      </c>
      <c r="AO239" s="54"/>
      <c r="AP239" s="53"/>
      <c r="AQ239" s="54"/>
      <c r="AR239" s="54"/>
      <c r="AS239" s="54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IFERROR(__xludf.DUMMYFUNCTION("""COMPUTED_VALUE"""),450000.0)</f>
        <v>450000</v>
      </c>
      <c r="BD239" s="54">
        <f>IFERROR(__xludf.DUMMYFUNCTION("""COMPUTED_VALUE"""),0.0)</f>
        <v>0</v>
      </c>
      <c r="BE239" s="54">
        <f>IFERROR(__xludf.DUMMYFUNCTION("""COMPUTED_VALUE"""),0.0)</f>
        <v>0</v>
      </c>
      <c r="BF239" s="55">
        <f>IFERROR(__xludf.DUMMYFUNCTION("""COMPUTED_VALUE"""),450000.0)</f>
        <v>450000</v>
      </c>
      <c r="BG239" s="57"/>
      <c r="BH239" s="57"/>
      <c r="BI239" s="57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</row>
    <row r="240">
      <c r="A240" s="36">
        <f>IFERROR(__xludf.DUMMYFUNCTION("""COMPUTED_VALUE"""),239.0)</f>
        <v>239</v>
      </c>
      <c r="B240" s="37" t="str">
        <f>IFERROR(__xludf.DUMMYFUNCTION("""COMPUTED_VALUE"""),"SILVIA NUR FAIZAH")</f>
        <v>SILVIA NUR FAIZAH</v>
      </c>
      <c r="C240" s="38">
        <f>IFERROR(__xludf.DUMMYFUNCTION("""COMPUTED_VALUE"""),2.024070236E9)</f>
        <v>2024070236</v>
      </c>
      <c r="D240" s="37" t="str">
        <f>IFERROR(__xludf.DUMMYFUNCTION("""COMPUTED_VALUE"""),"SUYATNO")</f>
        <v>SUYATNO</v>
      </c>
      <c r="E240" s="37" t="str">
        <f>IFERROR(__xludf.DUMMYFUNCTION("""COMPUTED_VALUE"""),"NURUL HIDAYATI")</f>
        <v>NURUL HIDAYATI</v>
      </c>
      <c r="F240" s="37" t="str">
        <f>IFERROR(__xludf.DUMMYFUNCTION("""COMPUTED_VALUE"""),"BALAN BANJAREJO RT 004 RW 006 SUKODADI LAMONGAN")</f>
        <v>BALAN BANJAREJO RT 004 RW 006 SUKODADI LAMONGAN</v>
      </c>
      <c r="G240" s="39" t="str">
        <f>IFERROR(__xludf.DUMMYFUNCTION("""COMPUTED_VALUE"""),"MA-XII.6")</f>
        <v>MA-XII.6</v>
      </c>
      <c r="H240" s="36" t="str">
        <f>IFERROR(__xludf.DUMMYFUNCTION("""COMPUTED_VALUE"""),"C")</f>
        <v>C</v>
      </c>
      <c r="I240" s="42" t="str">
        <f>IFERROR(__xludf.DUMMYFUNCTION("""COMPUTED_VALUE"""),"C-9")</f>
        <v>C-9</v>
      </c>
      <c r="J240" s="40">
        <f>IFERROR(__xludf.DUMMYFUNCTION("""COMPUTED_VALUE"""),3.0)</f>
        <v>3</v>
      </c>
      <c r="K240" s="40" t="str">
        <f>IFERROR(__xludf.DUMMYFUNCTION("""COMPUTED_VALUE"""),"3 WUSTHO A PUTRI")</f>
        <v>3 WUSTHO A PUTRI</v>
      </c>
      <c r="L240" s="39" t="str">
        <f>IFERROR(__xludf.DUMMYFUNCTION("""COMPUTED_VALUE"""),"6285816435650")</f>
        <v>6285816435650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3"/>
      <c r="AQ240" s="42"/>
      <c r="AR240" s="42"/>
      <c r="AS240" s="43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IFERROR(__xludf.DUMMYFUNCTION("""COMPUTED_VALUE"""),0.0)</f>
        <v>0</v>
      </c>
      <c r="BE240" s="43">
        <f>IFERROR(__xludf.DUMMYFUNCTION("""COMPUTED_VALUE"""),0.0)</f>
        <v>0</v>
      </c>
      <c r="BF240" s="44">
        <f>IFERROR(__xludf.DUMMYFUNCTION("""COMPUTED_VALUE"""),0.0)</f>
        <v>0</v>
      </c>
      <c r="BG240" s="56"/>
      <c r="BH240" s="56"/>
      <c r="BI240" s="5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</row>
    <row r="241">
      <c r="A241" s="47">
        <f>IFERROR(__xludf.DUMMYFUNCTION("""COMPUTED_VALUE"""),240.0)</f>
        <v>240</v>
      </c>
      <c r="B241" s="48" t="str">
        <f>IFERROR(__xludf.DUMMYFUNCTION("""COMPUTED_VALUE"""),"SILVIANA NUR MAULIDIYA")</f>
        <v>SILVIANA NUR MAULIDIYA</v>
      </c>
      <c r="C241" s="49">
        <f>IFERROR(__xludf.DUMMYFUNCTION("""COMPUTED_VALUE"""),2.024070025E9)</f>
        <v>2024070025</v>
      </c>
      <c r="D241" s="48" t="str">
        <f>IFERROR(__xludf.DUMMYFUNCTION("""COMPUTED_VALUE"""),"DARMAJI")</f>
        <v>DARMAJI</v>
      </c>
      <c r="E241" s="48" t="str">
        <f>IFERROR(__xludf.DUMMYFUNCTION("""COMPUTED_VALUE"""),"INDARWATI")</f>
        <v>INDARWATI</v>
      </c>
      <c r="F241" s="48" t="str">
        <f>IFERROR(__xludf.DUMMYFUNCTION("""COMPUTED_VALUE"""),"TURI RT 006 RW 001 TURI LAMONGAN")</f>
        <v>TURI RT 006 RW 001 TURI LAMONGAN</v>
      </c>
      <c r="G241" s="50" t="str">
        <f>IFERROR(__xludf.DUMMYFUNCTION("""COMPUTED_VALUE"""),"MA-XII.1")</f>
        <v>MA-XII.1</v>
      </c>
      <c r="H241" s="47" t="str">
        <f>IFERROR(__xludf.DUMMYFUNCTION("""COMPUTED_VALUE"""),"C")</f>
        <v>C</v>
      </c>
      <c r="I241" s="53" t="str">
        <f>IFERROR(__xludf.DUMMYFUNCTION("""COMPUTED_VALUE"""),"C-2")</f>
        <v>C-2</v>
      </c>
      <c r="J241" s="51">
        <f>IFERROR(__xludf.DUMMYFUNCTION("""COMPUTED_VALUE"""),3.0)</f>
        <v>3</v>
      </c>
      <c r="K241" s="51" t="str">
        <f>IFERROR(__xludf.DUMMYFUNCTION("""COMPUTED_VALUE"""),"")</f>
        <v/>
      </c>
      <c r="L241" s="50" t="str">
        <f>IFERROR(__xludf.DUMMYFUNCTION("""COMPUTED_VALUE"""),"6285784942924")</f>
        <v>6285784942924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4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7"/>
      <c r="BH241" s="57"/>
      <c r="BI241" s="57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</row>
    <row r="242">
      <c r="A242" s="36">
        <f>IFERROR(__xludf.DUMMYFUNCTION("""COMPUTED_VALUE"""),241.0)</f>
        <v>241</v>
      </c>
      <c r="B242" s="37" t="str">
        <f>IFERROR(__xludf.DUMMYFUNCTION("""COMPUTED_VALUE"""),"SITI FAIZATUDDAAROINI")</f>
        <v>SITI FAIZATUDDAAROINI</v>
      </c>
      <c r="C242" s="38">
        <f>IFERROR(__xludf.DUMMYFUNCTION("""COMPUTED_VALUE"""),2.024070164E9)</f>
        <v>2024070164</v>
      </c>
      <c r="D242" s="37" t="str">
        <f>IFERROR(__xludf.DUMMYFUNCTION("""COMPUTED_VALUE"""),"AHMAD JA`FAR")</f>
        <v>AHMAD JA`FAR</v>
      </c>
      <c r="E242" s="37" t="str">
        <f>IFERROR(__xludf.DUMMYFUNCTION("""COMPUTED_VALUE"""),"YUNY NOVIA ROHMAYANTI")</f>
        <v>YUNY NOVIA ROHMAYANTI</v>
      </c>
      <c r="F242" s="37" t="str">
        <f>IFERROR(__xludf.DUMMYFUNCTION("""COMPUTED_VALUE"""),"DRAJAT RT 002 RW 003 PACIRAN LAMONGAN")</f>
        <v>DRAJAT RT 002 RW 003 PACIRAN LAMONGAN</v>
      </c>
      <c r="G242" s="39" t="str">
        <f>IFERROR(__xludf.DUMMYFUNCTION("""COMPUTED_VALUE"""),"MA-XII.5")</f>
        <v>MA-XII.5</v>
      </c>
      <c r="H242" s="36" t="str">
        <f>IFERROR(__xludf.DUMMYFUNCTION("""COMPUTED_VALUE"""),"C")</f>
        <v>C</v>
      </c>
      <c r="I242" s="42" t="str">
        <f>IFERROR(__xludf.DUMMYFUNCTION("""COMPUTED_VALUE"""),"C-9")</f>
        <v>C-9</v>
      </c>
      <c r="J242" s="40">
        <f>IFERROR(__xludf.DUMMYFUNCTION("""COMPUTED_VALUE"""),3.0)</f>
        <v>3</v>
      </c>
      <c r="K242" s="40" t="str">
        <f>IFERROR(__xludf.DUMMYFUNCTION("""COMPUTED_VALUE"""),"")</f>
        <v/>
      </c>
      <c r="L242" s="39" t="str">
        <f>IFERROR(__xludf.DUMMYFUNCTION("""COMPUTED_VALUE"""),"6289652609312")</f>
        <v>6289652609312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/>
      <c r="AQ242" s="43"/>
      <c r="AR242" s="43"/>
      <c r="AS242" s="43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IFERROR(__xludf.DUMMYFUNCTION("""COMPUTED_VALUE"""),0.0)</f>
        <v>0</v>
      </c>
      <c r="BD242" s="43">
        <f>IFERROR(__xludf.DUMMYFUNCTION("""COMPUTED_VALUE"""),0.0)</f>
        <v>0</v>
      </c>
      <c r="BE242" s="43">
        <f>IFERROR(__xludf.DUMMYFUNCTION("""COMPUTED_VALUE"""),0.0)</f>
        <v>0</v>
      </c>
      <c r="BF242" s="44">
        <f>IFERROR(__xludf.DUMMYFUNCTION("""COMPUTED_VALUE"""),0.0)</f>
        <v>0</v>
      </c>
      <c r="BG242" s="56"/>
      <c r="BH242" s="56"/>
      <c r="BI242" s="5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</row>
    <row r="243">
      <c r="A243" s="47">
        <f>IFERROR(__xludf.DUMMYFUNCTION("""COMPUTED_VALUE"""),242.0)</f>
        <v>242</v>
      </c>
      <c r="B243" s="48" t="str">
        <f>IFERROR(__xludf.DUMMYFUNCTION("""COMPUTED_VALUE"""),"SITI MUZAROTUS SHOBUROH")</f>
        <v>SITI MUZAROTUS SHOBUROH</v>
      </c>
      <c r="C243" s="49">
        <f>IFERROR(__xludf.DUMMYFUNCTION("""COMPUTED_VALUE"""),2.024070365E9)</f>
        <v>2024070365</v>
      </c>
      <c r="D243" s="48" t="str">
        <f>IFERROR(__xludf.DUMMYFUNCTION("""COMPUTED_VALUE"""),"MASDUKI")</f>
        <v>MASDUKI</v>
      </c>
      <c r="E243" s="48" t="str">
        <f>IFERROR(__xludf.DUMMYFUNCTION("""COMPUTED_VALUE"""),"MUSA`ADAH")</f>
        <v>MUSA`ADAH</v>
      </c>
      <c r="F243" s="48" t="str">
        <f>IFERROR(__xludf.DUMMYFUNCTION("""COMPUTED_VALUE"""),"BAMBANG RT 004 RW 001 TURI LAMONGAN")</f>
        <v>BAMBANG RT 004 RW 001 TURI LAMONGAN</v>
      </c>
      <c r="G243" s="50" t="str">
        <f>IFERROR(__xludf.DUMMYFUNCTION("""COMPUTED_VALUE"""),"MA-XII.11")</f>
        <v>MA-XII.11</v>
      </c>
      <c r="H243" s="47" t="str">
        <f>IFERROR(__xludf.DUMMYFUNCTION("""COMPUTED_VALUE"""),"C")</f>
        <v>C</v>
      </c>
      <c r="I243" s="51" t="str">
        <f>IFERROR(__xludf.DUMMYFUNCTION("""COMPUTED_VALUE"""),"C-8")</f>
        <v>C-8</v>
      </c>
      <c r="J243" s="51">
        <f>IFERROR(__xludf.DUMMYFUNCTION("""COMPUTED_VALUE"""),3.0)</f>
        <v>3</v>
      </c>
      <c r="K243" s="51" t="str">
        <f>IFERROR(__xludf.DUMMYFUNCTION("""COMPUTED_VALUE"""),"3 WUSTHO B PUTRI")</f>
        <v>3 WUSTHO B PUTRI</v>
      </c>
      <c r="L243" s="50" t="str">
        <f>IFERROR(__xludf.DUMMYFUNCTION("""COMPUTED_VALUE"""),"6285648285552")</f>
        <v>6285648285552</v>
      </c>
      <c r="M243" s="54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>
        <f>IFERROR(__xludf.DUMMYFUNCTION("""COMPUTED_VALUE"""),350000.0)</f>
        <v>350000</v>
      </c>
      <c r="AB243" s="54">
        <f>IFERROR(__xludf.DUMMYFUNCTION("""COMPUTED_VALUE"""),500000.0)</f>
        <v>500000</v>
      </c>
      <c r="AC243" s="53">
        <f>IFERROR(__xludf.DUMMYFUNCTION("""COMPUTED_VALUE"""),450000.0)</f>
        <v>450000</v>
      </c>
      <c r="AD243" s="53">
        <f>IFERROR(__xludf.DUMMYFUNCTION("""COMPUTED_VALUE"""),450000.0)</f>
        <v>450000</v>
      </c>
      <c r="AE243" s="53">
        <f>IFERROR(__xludf.DUMMYFUNCTION("""COMPUTED_VALUE"""),450000.0)</f>
        <v>450000</v>
      </c>
      <c r="AF243" s="53">
        <f>IFERROR(__xludf.DUMMYFUNCTION("""COMPUTED_VALUE"""),450000.0)</f>
        <v>450000</v>
      </c>
      <c r="AG243" s="53">
        <f>IFERROR(__xludf.DUMMYFUNCTION("""COMPUTED_VALUE"""),100000.0)</f>
        <v>100000</v>
      </c>
      <c r="AH243" s="53">
        <f>IFERROR(__xludf.DUMMYFUNCTION("""COMPUTED_VALUE"""),100000.0)</f>
        <v>100000</v>
      </c>
      <c r="AI243" s="53">
        <f>IFERROR(__xludf.DUMMYFUNCTION("""COMPUTED_VALUE"""),100000.0)</f>
        <v>100000</v>
      </c>
      <c r="AJ243" s="53">
        <f>IFERROR(__xludf.DUMMYFUNCTION("""COMPUTED_VALUE"""),100000.0)</f>
        <v>100000</v>
      </c>
      <c r="AK243" s="53">
        <f>IFERROR(__xludf.DUMMYFUNCTION("""COMPUTED_VALUE"""),100000.0)</f>
        <v>100000</v>
      </c>
      <c r="AL243" s="53">
        <f>IFERROR(__xludf.DUMMYFUNCTION("""COMPUTED_VALUE"""),100000.0)</f>
        <v>100000</v>
      </c>
      <c r="AM243" s="53">
        <f>IFERROR(__xludf.DUMMYFUNCTION("""COMPUTED_VALUE"""),100000.0)</f>
        <v>100000</v>
      </c>
      <c r="AN243" s="53">
        <f>IFERROR(__xludf.DUMMYFUNCTION("""COMPUTED_VALUE"""),100000.0)</f>
        <v>100000</v>
      </c>
      <c r="AO243" s="53"/>
      <c r="AP243" s="54">
        <f>IFERROR(__xludf.DUMMYFUNCTION("""COMPUTED_VALUE"""),500000.0)</f>
        <v>500000</v>
      </c>
      <c r="AQ243" s="53"/>
      <c r="AR243" s="53"/>
      <c r="AS243" s="54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IFERROR(__xludf.DUMMYFUNCTION("""COMPUTED_VALUE"""),2600000.0)</f>
        <v>2600000</v>
      </c>
      <c r="BD243" s="54">
        <f>IFERROR(__xludf.DUMMYFUNCTION("""COMPUTED_VALUE"""),1000000.0)</f>
        <v>1000000</v>
      </c>
      <c r="BE243" s="54">
        <f>IFERROR(__xludf.DUMMYFUNCTION("""COMPUTED_VALUE"""),350000.0)</f>
        <v>350000</v>
      </c>
      <c r="BF243" s="55">
        <f>IFERROR(__xludf.DUMMYFUNCTION("""COMPUTED_VALUE"""),3950000.0)</f>
        <v>3950000</v>
      </c>
      <c r="BG243" s="57"/>
      <c r="BH243" s="57"/>
      <c r="BI243" s="57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</row>
    <row r="244">
      <c r="A244" s="36">
        <f>IFERROR(__xludf.DUMMYFUNCTION("""COMPUTED_VALUE"""),243.0)</f>
        <v>243</v>
      </c>
      <c r="B244" s="37" t="str">
        <f>IFERROR(__xludf.DUMMYFUNCTION("""COMPUTED_VALUE"""),"SYARIFATUL JAMILAH")</f>
        <v>SYARIFATUL JAMILAH</v>
      </c>
      <c r="C244" s="38">
        <f>IFERROR(__xludf.DUMMYFUNCTION("""COMPUTED_VALUE"""),2.024070026E9)</f>
        <v>2024070026</v>
      </c>
      <c r="D244" s="37" t="str">
        <f>IFERROR(__xludf.DUMMYFUNCTION("""COMPUTED_VALUE"""),"HADI IRHAMNI")</f>
        <v>HADI IRHAMNI</v>
      </c>
      <c r="E244" s="37" t="str">
        <f>IFERROR(__xludf.DUMMYFUNCTION("""COMPUTED_VALUE"""),"FITRIA")</f>
        <v>FITRIA</v>
      </c>
      <c r="F244" s="37" t="str">
        <f>IFERROR(__xludf.DUMMYFUNCTION("""COMPUTED_VALUE"""),"TANGAR KEDUNGHARJO RT 007 RW 002 WIDANG TUBAN")</f>
        <v>TANGAR KEDUNGHARJO RT 007 RW 002 WIDANG TUBAN</v>
      </c>
      <c r="G244" s="39" t="str">
        <f>IFERROR(__xludf.DUMMYFUNCTION("""COMPUTED_VALUE"""),"MA-XII.1")</f>
        <v>MA-XII.1</v>
      </c>
      <c r="H244" s="36" t="str">
        <f>IFERROR(__xludf.DUMMYFUNCTION("""COMPUTED_VALUE"""),"C")</f>
        <v>C</v>
      </c>
      <c r="I244" s="40" t="str">
        <f>IFERROR(__xludf.DUMMYFUNCTION("""COMPUTED_VALUE"""),"C-2")</f>
        <v>C-2</v>
      </c>
      <c r="J244" s="40">
        <f>IFERROR(__xludf.DUMMYFUNCTION("""COMPUTED_VALUE"""),3.0)</f>
        <v>3</v>
      </c>
      <c r="K244" s="40" t="str">
        <f>IFERROR(__xludf.DUMMYFUNCTION("""COMPUTED_VALUE"""),"")</f>
        <v/>
      </c>
      <c r="L244" s="39" t="str">
        <f>IFERROR(__xludf.DUMMYFUNCTION("""COMPUTED_VALUE"""),"6285854926859")</f>
        <v>6285854926859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3"/>
      <c r="AS244" s="43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56"/>
      <c r="BH244" s="56"/>
      <c r="BI244" s="5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</row>
    <row r="245">
      <c r="A245" s="47">
        <f>IFERROR(__xludf.DUMMYFUNCTION("""COMPUTED_VALUE"""),244.0)</f>
        <v>244</v>
      </c>
      <c r="B245" s="48" t="str">
        <f>IFERROR(__xludf.DUMMYFUNCTION("""COMPUTED_VALUE"""),"SYASYA ATHIQAH FARAH FATHINAH")</f>
        <v>SYASYA ATHIQAH FARAH FATHINAH</v>
      </c>
      <c r="C245" s="49">
        <f>IFERROR(__xludf.DUMMYFUNCTION("""COMPUTED_VALUE"""),2.024070555E9)</f>
        <v>2024070555</v>
      </c>
      <c r="D245" s="48" t="str">
        <f>IFERROR(__xludf.DUMMYFUNCTION("""COMPUTED_VALUE"""),"PURWANTO")</f>
        <v>PURWANTO</v>
      </c>
      <c r="E245" s="48" t="str">
        <f>IFERROR(__xludf.DUMMYFUNCTION("""COMPUTED_VALUE"""),"KAFIATUN")</f>
        <v>KAFIATUN</v>
      </c>
      <c r="F245" s="48" t="str">
        <f>IFERROR(__xludf.DUMMYFUNCTION("""COMPUTED_VALUE"""),"BANJARANYAR BANJAREJO RT 001 RW 004 KARANGBINANGUN LAMONGAN")</f>
        <v>BANJARANYAR BANJAREJO RT 001 RW 004 KARANGBINANGUN LAMONGAN</v>
      </c>
      <c r="G245" s="50" t="str">
        <f>IFERROR(__xludf.DUMMYFUNCTION("""COMPUTED_VALUE"""),"MTS-9 C")</f>
        <v>MTS-9 C</v>
      </c>
      <c r="H245" s="47" t="str">
        <f>IFERROR(__xludf.DUMMYFUNCTION("""COMPUTED_VALUE"""),"C")</f>
        <v>C</v>
      </c>
      <c r="I245" s="53" t="str">
        <f>IFERROR(__xludf.DUMMYFUNCTION("""COMPUTED_VALUE"""),"C-13")</f>
        <v>C-13</v>
      </c>
      <c r="J245" s="51">
        <f>IFERROR(__xludf.DUMMYFUNCTION("""COMPUTED_VALUE"""),3.0)</f>
        <v>3</v>
      </c>
      <c r="K245" s="51" t="str">
        <f>IFERROR(__xludf.DUMMYFUNCTION("""COMPUTED_VALUE"""),"")</f>
        <v/>
      </c>
      <c r="L245" s="50" t="str">
        <f>IFERROR(__xludf.DUMMYFUNCTION("""COMPUTED_VALUE"""),"6281233456585")</f>
        <v>6281233456585</v>
      </c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>
        <f>IFERROR(__xludf.DUMMYFUNCTION("""COMPUTED_VALUE"""),500000.0)</f>
        <v>500000</v>
      </c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>
        <f>IFERROR(__xludf.DUMMYFUNCTION("""COMPUTED_VALUE"""),500000.0)</f>
        <v>500000</v>
      </c>
      <c r="AQ245" s="53"/>
      <c r="AR245" s="53"/>
      <c r="AS245" s="54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IFERROR(__xludf.DUMMYFUNCTION("""COMPUTED_VALUE"""),0.0)</f>
        <v>0</v>
      </c>
      <c r="BD245" s="54">
        <f>IFERROR(__xludf.DUMMYFUNCTION("""COMPUTED_VALUE"""),1000000.0)</f>
        <v>1000000</v>
      </c>
      <c r="BE245" s="54">
        <f>IFERROR(__xludf.DUMMYFUNCTION("""COMPUTED_VALUE"""),0.0)</f>
        <v>0</v>
      </c>
      <c r="BF245" s="55">
        <f>IFERROR(__xludf.DUMMYFUNCTION("""COMPUTED_VALUE"""),1000000.0)</f>
        <v>1000000</v>
      </c>
      <c r="BG245" s="57"/>
      <c r="BH245" s="57"/>
      <c r="BI245" s="57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</row>
    <row r="246">
      <c r="A246" s="36">
        <f>IFERROR(__xludf.DUMMYFUNCTION("""COMPUTED_VALUE"""),245.0)</f>
        <v>245</v>
      </c>
      <c r="B246" s="37" t="str">
        <f>IFERROR(__xludf.DUMMYFUNCTION("""COMPUTED_VALUE"""),"SYIFA AINUL HAYAT")</f>
        <v>SYIFA AINUL HAYAT</v>
      </c>
      <c r="C246" s="38">
        <f>IFERROR(__xludf.DUMMYFUNCTION("""COMPUTED_VALUE"""),2.024070027E9)</f>
        <v>2024070027</v>
      </c>
      <c r="D246" s="37" t="str">
        <f>IFERROR(__xludf.DUMMYFUNCTION("""COMPUTED_VALUE"""),"MOH. ROKHIM")</f>
        <v>MOH. ROKHIM</v>
      </c>
      <c r="E246" s="37" t="str">
        <f>IFERROR(__xludf.DUMMYFUNCTION("""COMPUTED_VALUE"""),"MARJUNI")</f>
        <v>MARJUNI</v>
      </c>
      <c r="F246" s="37" t="str">
        <f>IFERROR(__xludf.DUMMYFUNCTION("""COMPUTED_VALUE"""),"PRIJEK PRIJEKNGABLAK RT 001 RW 003 KARANGGENENG LAMONGAN")</f>
        <v>PRIJEK PRIJEKNGABLAK RT 001 RW 003 KARANGGENENG LAMONGAN</v>
      </c>
      <c r="G246" s="39" t="str">
        <f>IFERROR(__xludf.DUMMYFUNCTION("""COMPUTED_VALUE"""),"MA-XII.1")</f>
        <v>MA-XII.1</v>
      </c>
      <c r="H246" s="36" t="str">
        <f>IFERROR(__xludf.DUMMYFUNCTION("""COMPUTED_VALUE"""),"C")</f>
        <v>C</v>
      </c>
      <c r="I246" s="42" t="str">
        <f>IFERROR(__xludf.DUMMYFUNCTION("""COMPUTED_VALUE"""),"C-2")</f>
        <v>C-2</v>
      </c>
      <c r="J246" s="40">
        <f>IFERROR(__xludf.DUMMYFUNCTION("""COMPUTED_VALUE"""),3.0)</f>
        <v>3</v>
      </c>
      <c r="K246" s="40" t="str">
        <f>IFERROR(__xludf.DUMMYFUNCTION("""COMPUTED_VALUE"""),"")</f>
        <v/>
      </c>
      <c r="L246" s="39" t="str">
        <f>IFERROR(__xludf.DUMMYFUNCTION("""COMPUTED_VALUE"""),"628523019040")</f>
        <v>628523019040</v>
      </c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3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IFERROR(__xludf.DUMMYFUNCTION("""COMPUTED_VALUE"""),0.0)</f>
        <v>0</v>
      </c>
      <c r="BE246" s="43">
        <f>IFERROR(__xludf.DUMMYFUNCTION("""COMPUTED_VALUE"""),0.0)</f>
        <v>0</v>
      </c>
      <c r="BF246" s="44">
        <f>IFERROR(__xludf.DUMMYFUNCTION("""COMPUTED_VALUE"""),0.0)</f>
        <v>0</v>
      </c>
      <c r="BG246" s="56"/>
      <c r="BH246" s="56"/>
      <c r="BI246" s="5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</row>
    <row r="247">
      <c r="A247" s="47">
        <f>IFERROR(__xludf.DUMMYFUNCTION("""COMPUTED_VALUE"""),246.0)</f>
        <v>246</v>
      </c>
      <c r="B247" s="48" t="str">
        <f>IFERROR(__xludf.DUMMYFUNCTION("""COMPUTED_VALUE"""),"SYIFAUS SAUQIYATUS SHOLIKHA")</f>
        <v>SYIFAUS SAUQIYATUS SHOLIKHA</v>
      </c>
      <c r="C247" s="49">
        <f>IFERROR(__xludf.DUMMYFUNCTION("""COMPUTED_VALUE"""),2.024070366E9)</f>
        <v>2024070366</v>
      </c>
      <c r="D247" s="48" t="str">
        <f>IFERROR(__xludf.DUMMYFUNCTION("""COMPUTED_VALUE"""),"M. SHOLIKUN")</f>
        <v>M. SHOLIKUN</v>
      </c>
      <c r="E247" s="48" t="str">
        <f>IFERROR(__xludf.DUMMYFUNCTION("""COMPUTED_VALUE"""),"JUMI JABANIYA")</f>
        <v>JUMI JABANIYA</v>
      </c>
      <c r="F247" s="48" t="str">
        <f>IFERROR(__xludf.DUMMYFUNCTION("""COMPUTED_VALUE"""),"KENDUNG SEMEMI RT 1 RW 3 BENOWO SURABAYA")</f>
        <v>KENDUNG SEMEMI RT 1 RW 3 BENOWO SURABAYA</v>
      </c>
      <c r="G247" s="50" t="str">
        <f>IFERROR(__xludf.DUMMYFUNCTION("""COMPUTED_VALUE"""),"MA-XII.11")</f>
        <v>MA-XII.11</v>
      </c>
      <c r="H247" s="47" t="str">
        <f>IFERROR(__xludf.DUMMYFUNCTION("""COMPUTED_VALUE"""),"C")</f>
        <v>C</v>
      </c>
      <c r="I247" s="53" t="str">
        <f>IFERROR(__xludf.DUMMYFUNCTION("""COMPUTED_VALUE"""),"C-8")</f>
        <v>C-8</v>
      </c>
      <c r="J247" s="51">
        <f>IFERROR(__xludf.DUMMYFUNCTION("""COMPUTED_VALUE"""),3.0)</f>
        <v>3</v>
      </c>
      <c r="K247" s="51" t="str">
        <f>IFERROR(__xludf.DUMMYFUNCTION("""COMPUTED_VALUE"""),"3 WUSTHO B PUTRI")</f>
        <v>3 WUSTHO B PUTRI</v>
      </c>
      <c r="L247" s="50" t="str">
        <f>IFERROR(__xludf.DUMMYFUNCTION("""COMPUTED_VALUE"""),"6285755519719")</f>
        <v>6285755519719</v>
      </c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4"/>
      <c r="AS247" s="54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IFERROR(__xludf.DUMMYFUNCTION("""COMPUTED_VALUE"""),0.0)</f>
        <v>0</v>
      </c>
      <c r="BD247" s="54">
        <f>IFERROR(__xludf.DUMMYFUNCTION("""COMPUTED_VALUE"""),0.0)</f>
        <v>0</v>
      </c>
      <c r="BE247" s="54">
        <f>IFERROR(__xludf.DUMMYFUNCTION("""COMPUTED_VALUE"""),0.0)</f>
        <v>0</v>
      </c>
      <c r="BF247" s="55">
        <f>IFERROR(__xludf.DUMMYFUNCTION("""COMPUTED_VALUE"""),0.0)</f>
        <v>0</v>
      </c>
      <c r="BG247" s="57"/>
      <c r="BH247" s="57"/>
      <c r="BI247" s="57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</row>
    <row r="248">
      <c r="A248" s="36">
        <f>IFERROR(__xludf.DUMMYFUNCTION("""COMPUTED_VALUE"""),247.0)</f>
        <v>247</v>
      </c>
      <c r="B248" s="37" t="str">
        <f>IFERROR(__xludf.DUMMYFUNCTION("""COMPUTED_VALUE"""),"TALITA SHAFA AZALIA SALSABILA")</f>
        <v>TALITA SHAFA AZALIA SALSABILA</v>
      </c>
      <c r="C248" s="38">
        <f>IFERROR(__xludf.DUMMYFUNCTION("""COMPUTED_VALUE"""),2.024070126E9)</f>
        <v>2024070126</v>
      </c>
      <c r="D248" s="37" t="str">
        <f>IFERROR(__xludf.DUMMYFUNCTION("""COMPUTED_VALUE"""),"ANDI PRANOTO")</f>
        <v>ANDI PRANOTO</v>
      </c>
      <c r="E248" s="37" t="str">
        <f>IFERROR(__xludf.DUMMYFUNCTION("""COMPUTED_VALUE"""),"SOFIA HERLINA")</f>
        <v>SOFIA HERLINA</v>
      </c>
      <c r="F248" s="37" t="str">
        <f>IFERROR(__xludf.DUMMYFUNCTION("""COMPUTED_VALUE"""),"BULUBRANGSI RT 002 RW 004 LAREN LAMONGAN")</f>
        <v>BULUBRANGSI RT 002 RW 004 LAREN LAMONGAN</v>
      </c>
      <c r="G248" s="39" t="str">
        <f>IFERROR(__xludf.DUMMYFUNCTION("""COMPUTED_VALUE"""),"MA-XII.4")</f>
        <v>MA-XII.4</v>
      </c>
      <c r="H248" s="36" t="str">
        <f>IFERROR(__xludf.DUMMYFUNCTION("""COMPUTED_VALUE"""),"C")</f>
        <v>C</v>
      </c>
      <c r="I248" s="42" t="str">
        <f>IFERROR(__xludf.DUMMYFUNCTION("""COMPUTED_VALUE"""),"C-9")</f>
        <v>C-9</v>
      </c>
      <c r="J248" s="40">
        <f>IFERROR(__xludf.DUMMYFUNCTION("""COMPUTED_VALUE"""),3.0)</f>
        <v>3</v>
      </c>
      <c r="K248" s="40" t="str">
        <f>IFERROR(__xludf.DUMMYFUNCTION("""COMPUTED_VALUE"""),"3 WUSTHO B PUTRI")</f>
        <v>3 WUSTHO B PUTRI</v>
      </c>
      <c r="L248" s="39" t="str">
        <f>IFERROR(__xludf.DUMMYFUNCTION("""COMPUTED_VALUE"""),"6281654921035")</f>
        <v>6281654921035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3"/>
      <c r="AS248" s="43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IFERROR(__xludf.DUMMYFUNCTION("""COMPUTED_VALUE"""),0.0)</f>
        <v>0</v>
      </c>
      <c r="BD248" s="43">
        <f>IFERROR(__xludf.DUMMYFUNCTION("""COMPUTED_VALUE"""),0.0)</f>
        <v>0</v>
      </c>
      <c r="BE248" s="43">
        <f>IFERROR(__xludf.DUMMYFUNCTION("""COMPUTED_VALUE"""),0.0)</f>
        <v>0</v>
      </c>
      <c r="BF248" s="44">
        <f>IFERROR(__xludf.DUMMYFUNCTION("""COMPUTED_VALUE"""),0.0)</f>
        <v>0</v>
      </c>
      <c r="BG248" s="56"/>
      <c r="BH248" s="56"/>
      <c r="BI248" s="5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</row>
    <row r="249">
      <c r="A249" s="47">
        <f>IFERROR(__xludf.DUMMYFUNCTION("""COMPUTED_VALUE"""),248.0)</f>
        <v>248</v>
      </c>
      <c r="B249" s="48" t="str">
        <f>IFERROR(__xludf.DUMMYFUNCTION("""COMPUTED_VALUE"""),"TALITHA NURUL QOLBI")</f>
        <v>TALITHA NURUL QOLBI</v>
      </c>
      <c r="C249" s="49">
        <f>IFERROR(__xludf.DUMMYFUNCTION("""COMPUTED_VALUE"""),2.024070056E9)</f>
        <v>2024070056</v>
      </c>
      <c r="D249" s="48" t="str">
        <f>IFERROR(__xludf.DUMMYFUNCTION("""COMPUTED_VALUE"""),"YOGIARTO")</f>
        <v>YOGIARTO</v>
      </c>
      <c r="E249" s="48" t="str">
        <f>IFERROR(__xludf.DUMMYFUNCTION("""COMPUTED_VALUE"""),"SITI YATMIATUN NAFISAH")</f>
        <v>SITI YATMIATUN NAFISAH</v>
      </c>
      <c r="F249" s="48" t="str">
        <f>IFERROR(__xludf.DUMMYFUNCTION("""COMPUTED_VALUE"""),"SAWO RT 004 RW 002 DUKUN GRESIK")</f>
        <v>SAWO RT 004 RW 002 DUKUN GRESIK</v>
      </c>
      <c r="G249" s="57" t="str">
        <f>IFERROR(__xludf.DUMMYFUNCTION("""COMPUTED_VALUE"""),"MA-XII.2")</f>
        <v>MA-XII.2</v>
      </c>
      <c r="H249" s="47" t="str">
        <f>IFERROR(__xludf.DUMMYFUNCTION("""COMPUTED_VALUE"""),"C")</f>
        <v>C</v>
      </c>
      <c r="I249" s="51" t="str">
        <f>IFERROR(__xludf.DUMMYFUNCTION("""COMPUTED_VALUE"""),"C-8")</f>
        <v>C-8</v>
      </c>
      <c r="J249" s="51">
        <f>IFERROR(__xludf.DUMMYFUNCTION("""COMPUTED_VALUE"""),3.0)</f>
        <v>3</v>
      </c>
      <c r="K249" s="51" t="str">
        <f>IFERROR(__xludf.DUMMYFUNCTION("""COMPUTED_VALUE"""),"3 WUSTHO A PUTRI")</f>
        <v>3 WUSTHO A PUTRI</v>
      </c>
      <c r="L249" s="50" t="str">
        <f>IFERROR(__xludf.DUMMYFUNCTION("""COMPUTED_VALUE"""),"6285851810683")</f>
        <v>6285851810683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4"/>
      <c r="AS249" s="54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7"/>
      <c r="BH249" s="57"/>
      <c r="BI249" s="57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</row>
    <row r="250">
      <c r="A250" s="36">
        <f>IFERROR(__xludf.DUMMYFUNCTION("""COMPUTED_VALUE"""),249.0)</f>
        <v>249</v>
      </c>
      <c r="B250" s="37" t="str">
        <f>IFERROR(__xludf.DUMMYFUNCTION("""COMPUTED_VALUE"""),"TISYA NIDA`UL HAQQIYAH")</f>
        <v>TISYA NIDA`UL HAQQIYAH</v>
      </c>
      <c r="C250" s="38">
        <f>IFERROR(__xludf.DUMMYFUNCTION("""COMPUTED_VALUE"""),2.024070028E9)</f>
        <v>2024070028</v>
      </c>
      <c r="D250" s="37" t="str">
        <f>IFERROR(__xludf.DUMMYFUNCTION("""COMPUTED_VALUE"""),"MUSLIHIN")</f>
        <v>MUSLIHIN</v>
      </c>
      <c r="E250" s="37" t="str">
        <f>IFERROR(__xludf.DUMMYFUNCTION("""COMPUTED_VALUE"""),"JAZILAH")</f>
        <v>JAZILAH</v>
      </c>
      <c r="F250" s="37" t="str">
        <f>IFERROR(__xludf.DUMMYFUNCTION("""COMPUTED_VALUE"""),"IMAAN RT 006 RW 003 DUKUN GRESIK")</f>
        <v>IMAAN RT 006 RW 003 DUKUN GRESIK</v>
      </c>
      <c r="G250" s="39" t="str">
        <f>IFERROR(__xludf.DUMMYFUNCTION("""COMPUTED_VALUE"""),"MA-XII.1")</f>
        <v>MA-XII.1</v>
      </c>
      <c r="H250" s="36" t="str">
        <f>IFERROR(__xludf.DUMMYFUNCTION("""COMPUTED_VALUE"""),"C")</f>
        <v>C</v>
      </c>
      <c r="I250" s="40" t="str">
        <f>IFERROR(__xludf.DUMMYFUNCTION("""COMPUTED_VALUE"""),"C-2")</f>
        <v>C-2</v>
      </c>
      <c r="J250" s="40">
        <f>IFERROR(__xludf.DUMMYFUNCTION("""COMPUTED_VALUE"""),3.0)</f>
        <v>3</v>
      </c>
      <c r="K250" s="40" t="str">
        <f>IFERROR(__xludf.DUMMYFUNCTION("""COMPUTED_VALUE"""),"")</f>
        <v/>
      </c>
      <c r="L250" s="39" t="str">
        <f>IFERROR(__xludf.DUMMYFUNCTION("""COMPUTED_VALUE"""),"6285732735045")</f>
        <v>6285732735045</v>
      </c>
      <c r="M250" s="43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3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3"/>
      <c r="AQ250" s="42"/>
      <c r="AR250" s="43"/>
      <c r="AS250" s="43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IFERROR(__xludf.DUMMYFUNCTION("""COMPUTED_VALUE"""),0.0)</f>
        <v>0</v>
      </c>
      <c r="BE250" s="43">
        <f>IFERROR(__xludf.DUMMYFUNCTION("""COMPUTED_VALUE"""),0.0)</f>
        <v>0</v>
      </c>
      <c r="BF250" s="44">
        <f>IFERROR(__xludf.DUMMYFUNCTION("""COMPUTED_VALUE"""),0.0)</f>
        <v>0</v>
      </c>
      <c r="BG250" s="56"/>
      <c r="BH250" s="56"/>
      <c r="BI250" s="5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</row>
    <row r="251">
      <c r="A251" s="47">
        <f>IFERROR(__xludf.DUMMYFUNCTION("""COMPUTED_VALUE"""),250.0)</f>
        <v>250</v>
      </c>
      <c r="B251" s="48" t="str">
        <f>IFERROR(__xludf.DUMMYFUNCTION("""COMPUTED_VALUE"""),"YAYUK NISAUS SHOLAHIYYAH")</f>
        <v>YAYUK NISAUS SHOLAHIYYAH</v>
      </c>
      <c r="C251" s="49">
        <f>IFERROR(__xludf.DUMMYFUNCTION("""COMPUTED_VALUE"""),2.024070058E9)</f>
        <v>2024070058</v>
      </c>
      <c r="D251" s="48" t="str">
        <f>IFERROR(__xludf.DUMMYFUNCTION("""COMPUTED_VALUE"""),"JUHARTO")</f>
        <v>JUHARTO</v>
      </c>
      <c r="E251" s="48" t="str">
        <f>IFERROR(__xludf.DUMMYFUNCTION("""COMPUTED_VALUE"""),"MUSAADAH")</f>
        <v>MUSAADAH</v>
      </c>
      <c r="F251" s="48" t="str">
        <f>IFERROR(__xludf.DUMMYFUNCTION("""COMPUTED_VALUE"""),"SAWO RT 002 RW 001 DUKUN GRESIK")</f>
        <v>SAWO RT 002 RW 001 DUKUN GRESIK</v>
      </c>
      <c r="G251" s="49" t="str">
        <f>IFERROR(__xludf.DUMMYFUNCTION("""COMPUTED_VALUE"""),"MA-XII.2")</f>
        <v>MA-XII.2</v>
      </c>
      <c r="H251" s="47" t="str">
        <f>IFERROR(__xludf.DUMMYFUNCTION("""COMPUTED_VALUE"""),"C")</f>
        <v>C</v>
      </c>
      <c r="I251" s="51" t="str">
        <f>IFERROR(__xludf.DUMMYFUNCTION("""COMPUTED_VALUE"""),"C-8")</f>
        <v>C-8</v>
      </c>
      <c r="J251" s="51">
        <f>IFERROR(__xludf.DUMMYFUNCTION("""COMPUTED_VALUE"""),3.0)</f>
        <v>3</v>
      </c>
      <c r="K251" s="51" t="str">
        <f>IFERROR(__xludf.DUMMYFUNCTION("""COMPUTED_VALUE"""),"3 WUSTHO A PUTRI")</f>
        <v>3 WUSTHO A PUTRI</v>
      </c>
      <c r="L251" s="50" t="str">
        <f>IFERROR(__xludf.DUMMYFUNCTION("""COMPUTED_VALUE"""),"6285843745307")</f>
        <v>6285843745307</v>
      </c>
      <c r="M251" s="54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4"/>
      <c r="AB251" s="54"/>
      <c r="AC251" s="53"/>
      <c r="AD251" s="53"/>
      <c r="AE251" s="53"/>
      <c r="AF251" s="53"/>
      <c r="AG251" s="54"/>
      <c r="AH251" s="54"/>
      <c r="AI251" s="54"/>
      <c r="AJ251" s="54"/>
      <c r="AK251" s="54"/>
      <c r="AL251" s="54"/>
      <c r="AM251" s="54"/>
      <c r="AN251" s="54"/>
      <c r="AO251" s="53"/>
      <c r="AP251" s="54"/>
      <c r="AQ251" s="54"/>
      <c r="AR251" s="54"/>
      <c r="AS251" s="54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7"/>
      <c r="BH251" s="57"/>
      <c r="BI251" s="57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</row>
    <row r="252">
      <c r="A252" s="36">
        <f>IFERROR(__xludf.DUMMYFUNCTION("""COMPUTED_VALUE"""),251.0)</f>
        <v>251</v>
      </c>
      <c r="B252" s="37" t="str">
        <f>IFERROR(__xludf.DUMMYFUNCTION("""COMPUTED_VALUE"""),"YENI TRI KHUMAYROH")</f>
        <v>YENI TRI KHUMAYROH</v>
      </c>
      <c r="C252" s="38">
        <f>IFERROR(__xludf.DUMMYFUNCTION("""COMPUTED_VALUE"""),2.024070128E9)</f>
        <v>2024070128</v>
      </c>
      <c r="D252" s="37" t="str">
        <f>IFERROR(__xludf.DUMMYFUNCTION("""COMPUTED_VALUE"""),"MARNOTO")</f>
        <v>MARNOTO</v>
      </c>
      <c r="E252" s="37" t="str">
        <f>IFERROR(__xludf.DUMMYFUNCTION("""COMPUTED_VALUE"""),"SUNINGSIH")</f>
        <v>SUNINGSIH</v>
      </c>
      <c r="F252" s="37" t="str">
        <f>IFERROR(__xludf.DUMMYFUNCTION("""COMPUTED_VALUE"""),"NGIPRAK BUTUNGAN RT 002 RW 002 KALITENGAH LAMONGAN")</f>
        <v>NGIPRAK BUTUNGAN RT 002 RW 002 KALITENGAH LAMONGAN</v>
      </c>
      <c r="G252" s="39" t="str">
        <f>IFERROR(__xludf.DUMMYFUNCTION("""COMPUTED_VALUE"""),"MA-XII.4")</f>
        <v>MA-XII.4</v>
      </c>
      <c r="H252" s="36" t="str">
        <f>IFERROR(__xludf.DUMMYFUNCTION("""COMPUTED_VALUE"""),"C")</f>
        <v>C</v>
      </c>
      <c r="I252" s="40" t="str">
        <f>IFERROR(__xludf.DUMMYFUNCTION("""COMPUTED_VALUE"""),"C-9")</f>
        <v>C-9</v>
      </c>
      <c r="J252" s="40">
        <f>IFERROR(__xludf.DUMMYFUNCTION("""COMPUTED_VALUE"""),3.0)</f>
        <v>3</v>
      </c>
      <c r="K252" s="40" t="str">
        <f>IFERROR(__xludf.DUMMYFUNCTION("""COMPUTED_VALUE"""),"")</f>
        <v/>
      </c>
      <c r="L252" s="39" t="str">
        <f>IFERROR(__xludf.DUMMYFUNCTION("""COMPUTED_VALUE"""),"6281249886881")</f>
        <v>6281249886881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>
        <f>IFERROR(__xludf.DUMMYFUNCTION("""COMPUTED_VALUE"""),450000.0)</f>
        <v>450000</v>
      </c>
      <c r="AO252" s="42"/>
      <c r="AP252" s="42">
        <f>IFERROR(__xludf.DUMMYFUNCTION("""COMPUTED_VALUE"""),500000.0)</f>
        <v>500000</v>
      </c>
      <c r="AQ252" s="42"/>
      <c r="AR252" s="43"/>
      <c r="AS252" s="43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IFERROR(__xludf.DUMMYFUNCTION("""COMPUTED_VALUE"""),450000.0)</f>
        <v>450000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IFERROR(__xludf.DUMMYFUNCTION("""COMPUTED_VALUE"""),950000.0)</f>
        <v>950000</v>
      </c>
      <c r="BG252" s="56"/>
      <c r="BH252" s="56"/>
      <c r="BI252" s="5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</row>
    <row r="253">
      <c r="A253" s="47">
        <f>IFERROR(__xludf.DUMMYFUNCTION("""COMPUTED_VALUE"""),252.0)</f>
        <v>252</v>
      </c>
      <c r="B253" s="48" t="str">
        <f>IFERROR(__xludf.DUMMYFUNCTION("""COMPUTED_VALUE"""),"ZAHRA NUR AZLINA")</f>
        <v>ZAHRA NUR AZLINA</v>
      </c>
      <c r="C253" s="49">
        <f>IFERROR(__xludf.DUMMYFUNCTION("""COMPUTED_VALUE"""),2.024071521E9)</f>
        <v>2024071521</v>
      </c>
      <c r="D253" s="48" t="str">
        <f>IFERROR(__xludf.DUMMYFUNCTION("""COMPUTED_VALUE"""),"MUSHOLIN")</f>
        <v>MUSHOLIN</v>
      </c>
      <c r="E253" s="48" t="str">
        <f>IFERROR(__xludf.DUMMYFUNCTION("""COMPUTED_VALUE"""),"SARWIYATI")</f>
        <v>SARWIYATI</v>
      </c>
      <c r="F253" s="48" t="str">
        <f>IFERROR(__xludf.DUMMYFUNCTION("""COMPUTED_VALUE"""),"IMAAN RT 005 RW 003 DUKUN GRESIK")</f>
        <v>IMAAN RT 005 RW 003 DUKUN GRESIK</v>
      </c>
      <c r="G253" s="50" t="str">
        <f>IFERROR(__xludf.DUMMYFUNCTION("""COMPUTED_VALUE"""),"MA-XIII.9")</f>
        <v>MA-XIII.9</v>
      </c>
      <c r="H253" s="47" t="str">
        <f>IFERROR(__xludf.DUMMYFUNCTION("""COMPUTED_VALUE"""),"C")</f>
        <v>C</v>
      </c>
      <c r="I253" s="53" t="str">
        <f>IFERROR(__xludf.DUMMYFUNCTION("""COMPUTED_VALUE"""),"C-4")</f>
        <v>C-4</v>
      </c>
      <c r="J253" s="51">
        <f>IFERROR(__xludf.DUMMYFUNCTION("""COMPUTED_VALUE"""),3.0)</f>
        <v>3</v>
      </c>
      <c r="K253" s="51" t="str">
        <f>IFERROR(__xludf.DUMMYFUNCTION("""COMPUTED_VALUE"""),"")</f>
        <v/>
      </c>
      <c r="L253" s="50" t="str">
        <f>IFERROR(__xludf.DUMMYFUNCTION("""COMPUTED_VALUE"""),"6285785345122")</f>
        <v>6285785345122</v>
      </c>
      <c r="M253" s="54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4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4"/>
      <c r="AQ253" s="53"/>
      <c r="AR253" s="54"/>
      <c r="AS253" s="54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IFERROR(__xludf.DUMMYFUNCTION("""COMPUTED_VALUE"""),0.0)</f>
        <v>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IFERROR(__xludf.DUMMYFUNCTION("""COMPUTED_VALUE"""),0.0)</f>
        <v>0</v>
      </c>
      <c r="BG253" s="57"/>
      <c r="BH253" s="57"/>
      <c r="BI253" s="57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</row>
    <row r="254">
      <c r="A254" s="36">
        <f>IFERROR(__xludf.DUMMYFUNCTION("""COMPUTED_VALUE"""),253.0)</f>
        <v>253</v>
      </c>
      <c r="B254" s="37" t="str">
        <f>IFERROR(__xludf.DUMMYFUNCTION("""COMPUTED_VALUE"""),"ZAHROTUL FARIHAH")</f>
        <v>ZAHROTUL FARIHAH</v>
      </c>
      <c r="C254" s="38">
        <f>IFERROR(__xludf.DUMMYFUNCTION("""COMPUTED_VALUE"""),2.024070203E9)</f>
        <v>2024070203</v>
      </c>
      <c r="D254" s="37" t="str">
        <f>IFERROR(__xludf.DUMMYFUNCTION("""COMPUTED_VALUE"""),"DONI IRAMA")</f>
        <v>DONI IRAMA</v>
      </c>
      <c r="E254" s="37" t="str">
        <f>IFERROR(__xludf.DUMMYFUNCTION("""COMPUTED_VALUE"""),"ILHASHOTUL ILMIYAH")</f>
        <v>ILHASHOTUL ILMIYAH</v>
      </c>
      <c r="F254" s="37" t="str">
        <f>IFERROR(__xludf.DUMMYFUNCTION("""COMPUTED_VALUE"""),"TEBLURU RT 008 RW 002 SOLOKURO LAMONGAN")</f>
        <v>TEBLURU RT 008 RW 002 SOLOKURO LAMONGAN</v>
      </c>
      <c r="G254" s="39" t="str">
        <f>IFERROR(__xludf.DUMMYFUNCTION("""COMPUTED_VALUE"""),"MA-XII.5")</f>
        <v>MA-XII.5</v>
      </c>
      <c r="H254" s="36" t="str">
        <f>IFERROR(__xludf.DUMMYFUNCTION("""COMPUTED_VALUE"""),"C")</f>
        <v>C</v>
      </c>
      <c r="I254" s="42" t="str">
        <f>IFERROR(__xludf.DUMMYFUNCTION("""COMPUTED_VALUE"""),"C-9")</f>
        <v>C-9</v>
      </c>
      <c r="J254" s="40">
        <f>IFERROR(__xludf.DUMMYFUNCTION("""COMPUTED_VALUE"""),3.0)</f>
        <v>3</v>
      </c>
      <c r="K254" s="40" t="str">
        <f>IFERROR(__xludf.DUMMYFUNCTION("""COMPUTED_VALUE"""),"3 WUSTHO B PUTRI")</f>
        <v>3 WUSTHO B PUTRI</v>
      </c>
      <c r="L254" s="39" t="str">
        <f>IFERROR(__xludf.DUMMYFUNCTION("""COMPUTED_VALUE"""),"6281252470588")</f>
        <v>6281252470588</v>
      </c>
      <c r="M254" s="43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3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3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IFERROR(__xludf.DUMMYFUNCTION("""COMPUTED_VALUE"""),0.0)</f>
        <v>0</v>
      </c>
      <c r="BE254" s="43">
        <f>IFERROR(__xludf.DUMMYFUNCTION("""COMPUTED_VALUE"""),0.0)</f>
        <v>0</v>
      </c>
      <c r="BF254" s="44">
        <f>IFERROR(__xludf.DUMMYFUNCTION("""COMPUTED_VALUE"""),0.0)</f>
        <v>0</v>
      </c>
      <c r="BG254" s="56"/>
      <c r="BH254" s="56"/>
      <c r="BI254" s="5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</row>
    <row r="255">
      <c r="A255" s="47">
        <f>IFERROR(__xludf.DUMMYFUNCTION("""COMPUTED_VALUE"""),254.0)</f>
        <v>254</v>
      </c>
      <c r="B255" s="48" t="str">
        <f>IFERROR(__xludf.DUMMYFUNCTION("""COMPUTED_VALUE"""),"ZAHWA LABIBA")</f>
        <v>ZAHWA LABIBA</v>
      </c>
      <c r="C255" s="49">
        <f>IFERROR(__xludf.DUMMYFUNCTION("""COMPUTED_VALUE"""),2.024070677E9)</f>
        <v>2024070677</v>
      </c>
      <c r="D255" s="48" t="str">
        <f>IFERROR(__xludf.DUMMYFUNCTION("""COMPUTED_VALUE"""),"MUNTHOLIB")</f>
        <v>MUNTHOLIB</v>
      </c>
      <c r="E255" s="48" t="str">
        <f>IFERROR(__xludf.DUMMYFUNCTION("""COMPUTED_VALUE"""),"SITI KHOIRIYAH")</f>
        <v>SITI KHOIRIYAH</v>
      </c>
      <c r="F255" s="48" t="str">
        <f>IFERROR(__xludf.DUMMYFUNCTION("""COMPUTED_VALUE"""),"BANYUBANG RT 011 RW 003 SOLOKURO LAMONGAN")</f>
        <v>BANYUBANG RT 011 RW 003 SOLOKURO LAMONGAN</v>
      </c>
      <c r="G255" s="57" t="str">
        <f>IFERROR(__xludf.DUMMYFUNCTION("""COMPUTED_VALUE"""),"SMK-XII Ak")</f>
        <v>SMK-XII Ak</v>
      </c>
      <c r="H255" s="47" t="str">
        <f>IFERROR(__xludf.DUMMYFUNCTION("""COMPUTED_VALUE"""),"C")</f>
        <v>C</v>
      </c>
      <c r="I255" s="53" t="str">
        <f>IFERROR(__xludf.DUMMYFUNCTION("""COMPUTED_VALUE"""),"C-8")</f>
        <v>C-8</v>
      </c>
      <c r="J255" s="51">
        <f>IFERROR(__xludf.DUMMYFUNCTION("""COMPUTED_VALUE"""),3.0)</f>
        <v>3</v>
      </c>
      <c r="K255" s="51" t="str">
        <f>IFERROR(__xludf.DUMMYFUNCTION("""COMPUTED_VALUE"""),"3 WUSTHO B PUTRI")</f>
        <v>3 WUSTHO B PUTRI</v>
      </c>
      <c r="L255" s="50" t="str">
        <f>IFERROR(__xludf.DUMMYFUNCTION("""COMPUTED_VALUE"""),"6285606127935")</f>
        <v>6285606127935</v>
      </c>
      <c r="M255" s="54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/>
      <c r="AC255" s="53"/>
      <c r="AD255" s="53"/>
      <c r="AE255" s="53"/>
      <c r="AF255" s="53"/>
      <c r="AG255" s="53"/>
      <c r="AH255" s="53"/>
      <c r="AI255" s="53"/>
      <c r="AJ255" s="53"/>
      <c r="AK255" s="54"/>
      <c r="AL255" s="54"/>
      <c r="AM255" s="54"/>
      <c r="AN255" s="54"/>
      <c r="AO255" s="54"/>
      <c r="AP255" s="54">
        <f>IFERROR(__xludf.DUMMYFUNCTION("""COMPUTED_VALUE"""),500000.0)</f>
        <v>500000</v>
      </c>
      <c r="AQ255" s="54"/>
      <c r="AR255" s="54"/>
      <c r="AS255" s="54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IFERROR(__xludf.DUMMYFUNCTION("""COMPUTED_VALUE"""),500000.0)</f>
        <v>500000</v>
      </c>
      <c r="BE255" s="54">
        <f>IFERROR(__xludf.DUMMYFUNCTION("""COMPUTED_VALUE"""),0.0)</f>
        <v>0</v>
      </c>
      <c r="BF255" s="55">
        <f>IFERROR(__xludf.DUMMYFUNCTION("""COMPUTED_VALUE"""),500000.0)</f>
        <v>500000</v>
      </c>
      <c r="BG255" s="57"/>
      <c r="BH255" s="57"/>
      <c r="BI255" s="57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</row>
    <row r="256">
      <c r="A256" s="36">
        <f>IFERROR(__xludf.DUMMYFUNCTION("""COMPUTED_VALUE"""),255.0)</f>
        <v>255</v>
      </c>
      <c r="B256" s="37" t="str">
        <f>IFERROR(__xludf.DUMMYFUNCTION("""COMPUTED_VALUE"""),"ZAIDATUL ILMIYAH FIBRIANI")</f>
        <v>ZAIDATUL ILMIYAH FIBRIANI</v>
      </c>
      <c r="C256" s="38">
        <f>IFERROR(__xludf.DUMMYFUNCTION("""COMPUTED_VALUE"""),2.024070239E9)</f>
        <v>2024070239</v>
      </c>
      <c r="D256" s="37" t="str">
        <f>IFERROR(__xludf.DUMMYFUNCTION("""COMPUTED_VALUE"""),"ZAENAL ARIFIN")</f>
        <v>ZAENAL ARIFIN</v>
      </c>
      <c r="E256" s="37" t="str">
        <f>IFERROR(__xludf.DUMMYFUNCTION("""COMPUTED_VALUE"""),"HANIFAH")</f>
        <v>HANIFAH</v>
      </c>
      <c r="F256" s="37" t="str">
        <f>IFERROR(__xludf.DUMMYFUNCTION("""COMPUTED_VALUE"""),"BAMBANG RT 6 RW 2 TURI LAMONGAN")</f>
        <v>BAMBANG RT 6 RW 2 TURI LAMONGAN</v>
      </c>
      <c r="G256" s="38" t="str">
        <f>IFERROR(__xludf.DUMMYFUNCTION("""COMPUTED_VALUE"""),"MA-XII.6")</f>
        <v>MA-XII.6</v>
      </c>
      <c r="H256" s="36" t="str">
        <f>IFERROR(__xludf.DUMMYFUNCTION("""COMPUTED_VALUE"""),"C")</f>
        <v>C</v>
      </c>
      <c r="I256" s="40" t="str">
        <f>IFERROR(__xludf.DUMMYFUNCTION("""COMPUTED_VALUE"""),"C-8")</f>
        <v>C-8</v>
      </c>
      <c r="J256" s="40">
        <f>IFERROR(__xludf.DUMMYFUNCTION("""COMPUTED_VALUE"""),3.0)</f>
        <v>3</v>
      </c>
      <c r="K256" s="40" t="str">
        <f>IFERROR(__xludf.DUMMYFUNCTION("""COMPUTED_VALUE"""),"")</f>
        <v/>
      </c>
      <c r="L256" s="39" t="str">
        <f>IFERROR(__xludf.DUMMYFUNCTION("""COMPUTED_VALUE"""),"6282333897800")</f>
        <v>6282333897800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3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56"/>
      <c r="BH256" s="56"/>
      <c r="BI256" s="5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</row>
    <row r="257">
      <c r="A257" s="47">
        <f>IFERROR(__xludf.DUMMYFUNCTION("""COMPUTED_VALUE"""),256.0)</f>
        <v>256</v>
      </c>
      <c r="B257" s="48" t="str">
        <f>IFERROR(__xludf.DUMMYFUNCTION("""COMPUTED_VALUE"""),"ZARIFAH VERINA MEISYURAH")</f>
        <v>ZARIFAH VERINA MEISYURAH</v>
      </c>
      <c r="C257" s="49">
        <f>IFERROR(__xludf.DUMMYFUNCTION("""COMPUTED_VALUE"""),2.02407054E9)</f>
        <v>2024070540</v>
      </c>
      <c r="D257" s="48" t="str">
        <f>IFERROR(__xludf.DUMMYFUNCTION("""COMPUTED_VALUE"""),"MUKIT")</f>
        <v>MUKIT</v>
      </c>
      <c r="E257" s="48" t="str">
        <f>IFERROR(__xludf.DUMMYFUNCTION("""COMPUTED_VALUE"""),"SHOHIFAH")</f>
        <v>SHOHIFAH</v>
      </c>
      <c r="F257" s="48" t="str">
        <f>IFERROR(__xludf.DUMMYFUNCTION("""COMPUTED_VALUE"""),"KARANGCANGKRING RT 006 RW 003 DUKUN GRESIK")</f>
        <v>KARANGCANGKRING RT 006 RW 003 DUKUN GRESIK</v>
      </c>
      <c r="G257" s="50" t="str">
        <f>IFERROR(__xludf.DUMMYFUNCTION("""COMPUTED_VALUE"""),"MTS-9 G")</f>
        <v>MTS-9 G</v>
      </c>
      <c r="H257" s="47" t="str">
        <f>IFERROR(__xludf.DUMMYFUNCTION("""COMPUTED_VALUE"""),"C")</f>
        <v>C</v>
      </c>
      <c r="I257" s="53" t="str">
        <f>IFERROR(__xludf.DUMMYFUNCTION("""COMPUTED_VALUE"""),"C-13")</f>
        <v>C-13</v>
      </c>
      <c r="J257" s="51">
        <f>IFERROR(__xludf.DUMMYFUNCTION("""COMPUTED_VALUE"""),3.0)</f>
        <v>3</v>
      </c>
      <c r="K257" s="51" t="str">
        <f>IFERROR(__xludf.DUMMYFUNCTION("""COMPUTED_VALUE"""),"3 ULA C PUTRI")</f>
        <v>3 ULA C PUTRI</v>
      </c>
      <c r="L257" s="50" t="str">
        <f>IFERROR(__xludf.DUMMYFUNCTION("""COMPUTED_VALUE"""),"6285733140898")</f>
        <v>6285733140898</v>
      </c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>
        <f>IFERROR(__xludf.DUMMYFUNCTION("""COMPUTED_VALUE"""),450000.0)</f>
        <v>450000</v>
      </c>
      <c r="AM257" s="53">
        <f>IFERROR(__xludf.DUMMYFUNCTION("""COMPUTED_VALUE"""),450000.0)</f>
        <v>450000</v>
      </c>
      <c r="AN257" s="53">
        <f>IFERROR(__xludf.DUMMYFUNCTION("""COMPUTED_VALUE"""),450000.0)</f>
        <v>450000</v>
      </c>
      <c r="AO257" s="53"/>
      <c r="AP257" s="53"/>
      <c r="AQ257" s="53"/>
      <c r="AR257" s="53"/>
      <c r="AS257" s="54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IFERROR(__xludf.DUMMYFUNCTION("""COMPUTED_VALUE"""),1350000.0)</f>
        <v>1350000</v>
      </c>
      <c r="BD257" s="54">
        <f>IFERROR(__xludf.DUMMYFUNCTION("""COMPUTED_VALUE"""),0.0)</f>
        <v>0</v>
      </c>
      <c r="BE257" s="54">
        <f>IFERROR(__xludf.DUMMYFUNCTION("""COMPUTED_VALUE"""),0.0)</f>
        <v>0</v>
      </c>
      <c r="BF257" s="55">
        <f>IFERROR(__xludf.DUMMYFUNCTION("""COMPUTED_VALUE"""),1350000.0)</f>
        <v>1350000</v>
      </c>
      <c r="BG257" s="57"/>
      <c r="BH257" s="57"/>
      <c r="BI257" s="57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</row>
    <row r="258">
      <c r="A258" s="36">
        <f>IFERROR(__xludf.DUMMYFUNCTION("""COMPUTED_VALUE"""),257.0)</f>
        <v>257</v>
      </c>
      <c r="B258" s="37" t="str">
        <f>IFERROR(__xludf.DUMMYFUNCTION("""COMPUTED_VALUE"""),"AUREL NUR HABIBATUL LATHIFAH")</f>
        <v>AUREL NUR HABIBATUL LATHIFAH</v>
      </c>
      <c r="C258" s="38">
        <f>IFERROR(__xludf.DUMMYFUNCTION("""COMPUTED_VALUE"""),2.024070498E9)</f>
        <v>2024070498</v>
      </c>
      <c r="D258" s="37" t="str">
        <f>IFERROR(__xludf.DUMMYFUNCTION("""COMPUTED_VALUE"""),"MOH. SUGIANTO")</f>
        <v>MOH. SUGIANTO</v>
      </c>
      <c r="E258" s="37" t="str">
        <f>IFERROR(__xludf.DUMMYFUNCTION("""COMPUTED_VALUE"""),"IMROATUL KHASANAH")</f>
        <v>IMROATUL KHASANAH</v>
      </c>
      <c r="F258" s="37" t="str">
        <f>IFERROR(__xludf.DUMMYFUNCTION("""COMPUTED_VALUE"""),"BANJARMADU RT 001 RW 003 KARANGGENENG LAMONGAN")</f>
        <v>BANJARMADU RT 001 RW 003 KARANGGENENG LAMONGAN</v>
      </c>
      <c r="G258" s="38" t="str">
        <f>IFERROR(__xludf.DUMMYFUNCTION("""COMPUTED_VALUE"""),"MTS-9 C")</f>
        <v>MTS-9 C</v>
      </c>
      <c r="H258" s="36" t="str">
        <f>IFERROR(__xludf.DUMMYFUNCTION("""COMPUTED_VALUE"""),"D")</f>
        <v>D</v>
      </c>
      <c r="I258" s="40" t="str">
        <f>IFERROR(__xludf.DUMMYFUNCTION("""COMPUTED_VALUE"""),"D-4")</f>
        <v>D-4</v>
      </c>
      <c r="J258" s="40">
        <f>IFERROR(__xludf.DUMMYFUNCTION("""COMPUTED_VALUE"""),3.0)</f>
        <v>3</v>
      </c>
      <c r="K258" s="40" t="str">
        <f>IFERROR(__xludf.DUMMYFUNCTION("""COMPUTED_VALUE"""),"")</f>
        <v/>
      </c>
      <c r="L258" s="39" t="str">
        <f>IFERROR(__xludf.DUMMYFUNCTION("""COMPUTED_VALUE"""),"6281226713566")</f>
        <v>6281226713566</v>
      </c>
      <c r="M258" s="43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3"/>
      <c r="AS258" s="43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56"/>
      <c r="BH258" s="56"/>
      <c r="BI258" s="5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</row>
    <row r="259">
      <c r="A259" s="47">
        <f>IFERROR(__xludf.DUMMYFUNCTION("""COMPUTED_VALUE"""),258.0)</f>
        <v>258</v>
      </c>
      <c r="B259" s="48" t="str">
        <f>IFERROR(__xludf.DUMMYFUNCTION("""COMPUTED_VALUE"""),"BELLA KAMALIA AISYI")</f>
        <v>BELLA KAMALIA AISYI</v>
      </c>
      <c r="C259" s="49">
        <f>IFERROR(__xludf.DUMMYFUNCTION("""COMPUTED_VALUE"""),2.024070595E9)</f>
        <v>2024070595</v>
      </c>
      <c r="D259" s="48" t="str">
        <f>IFERROR(__xludf.DUMMYFUNCTION("""COMPUTED_VALUE"""),"AINUR ROFIQ")</f>
        <v>AINUR ROFIQ</v>
      </c>
      <c r="E259" s="48" t="str">
        <f>IFERROR(__xludf.DUMMYFUNCTION("""COMPUTED_VALUE"""),"ITA DESI HERFIANA")</f>
        <v>ITA DESI HERFIANA</v>
      </c>
      <c r="F259" s="48" t="str">
        <f>IFERROR(__xludf.DUMMYFUNCTION("""COMPUTED_VALUE"""),"BANYUBANG RT 002 RW 001 SOLOKURO LAMONGAN")</f>
        <v>BANYUBANG RT 002 RW 001 SOLOKURO LAMONGAN</v>
      </c>
      <c r="G259" s="57" t="str">
        <f>IFERROR(__xludf.DUMMYFUNCTION("""COMPUTED_VALUE"""),"MTS-9 D")</f>
        <v>MTS-9 D</v>
      </c>
      <c r="H259" s="47" t="str">
        <f>IFERROR(__xludf.DUMMYFUNCTION("""COMPUTED_VALUE"""),"D")</f>
        <v>D</v>
      </c>
      <c r="I259" s="53" t="str">
        <f>IFERROR(__xludf.DUMMYFUNCTION("""COMPUTED_VALUE"""),"D-4")</f>
        <v>D-4</v>
      </c>
      <c r="J259" s="51">
        <f>IFERROR(__xludf.DUMMYFUNCTION("""COMPUTED_VALUE"""),3.0)</f>
        <v>3</v>
      </c>
      <c r="K259" s="51" t="str">
        <f>IFERROR(__xludf.DUMMYFUNCTION("""COMPUTED_VALUE"""),"3 ULA A PUTRI")</f>
        <v>3 ULA A PUTRI</v>
      </c>
      <c r="L259" s="61" t="str">
        <f>IFERROR(__xludf.DUMMYFUNCTION("""COMPUTED_VALUE"""),"6281555999169")</f>
        <v>6281555999169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>
        <f>IFERROR(__xludf.DUMMYFUNCTION("""COMPUTED_VALUE"""),450000.0)</f>
        <v>450000</v>
      </c>
      <c r="AN259" s="53">
        <f>IFERROR(__xludf.DUMMYFUNCTION("""COMPUTED_VALUE"""),450000.0)</f>
        <v>450000</v>
      </c>
      <c r="AO259" s="54"/>
      <c r="AP259" s="53"/>
      <c r="AQ259" s="53"/>
      <c r="AR259" s="54"/>
      <c r="AS259" s="54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IFERROR(__xludf.DUMMYFUNCTION("""COMPUTED_VALUE"""),900000.0)</f>
        <v>900000</v>
      </c>
      <c r="BD259" s="54">
        <f>IFERROR(__xludf.DUMMYFUNCTION("""COMPUTED_VALUE"""),0.0)</f>
        <v>0</v>
      </c>
      <c r="BE259" s="54">
        <f>IFERROR(__xludf.DUMMYFUNCTION("""COMPUTED_VALUE"""),0.0)</f>
        <v>0</v>
      </c>
      <c r="BF259" s="55">
        <f>IFERROR(__xludf.DUMMYFUNCTION("""COMPUTED_VALUE"""),900000.0)</f>
        <v>900000</v>
      </c>
      <c r="BG259" s="57"/>
      <c r="BH259" s="57"/>
      <c r="BI259" s="57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</row>
    <row r="260">
      <c r="A260" s="36">
        <f>IFERROR(__xludf.DUMMYFUNCTION("""COMPUTED_VALUE"""),259.0)</f>
        <v>259</v>
      </c>
      <c r="B260" s="37" t="str">
        <f>IFERROR(__xludf.DUMMYFUNCTION("""COMPUTED_VALUE"""),"CELENA FEBRIANA")</f>
        <v>CELENA FEBRIANA</v>
      </c>
      <c r="C260" s="38">
        <f>IFERROR(__xludf.DUMMYFUNCTION("""COMPUTED_VALUE"""),2.024070471E9)</f>
        <v>2024070471</v>
      </c>
      <c r="D260" s="37" t="str">
        <f>IFERROR(__xludf.DUMMYFUNCTION("""COMPUTED_VALUE"""),"WAHYU PUTRO ROMADHONA")</f>
        <v>WAHYU PUTRO ROMADHONA</v>
      </c>
      <c r="E260" s="37" t="str">
        <f>IFERROR(__xludf.DUMMYFUNCTION("""COMPUTED_VALUE"""),"EKA FITRIANA")</f>
        <v>EKA FITRIANA</v>
      </c>
      <c r="F260" s="37" t="str">
        <f>IFERROR(__xludf.DUMMYFUNCTION("""COMPUTED_VALUE"""),"KEBUN MANGGA TANGGUNGAN RT 003 RW 006 PUCUK LAMONGAN")</f>
        <v>KEBUN MANGGA TANGGUNGAN RT 003 RW 006 PUCUK LAMONGAN</v>
      </c>
      <c r="G260" s="39" t="str">
        <f>IFERROR(__xludf.DUMMYFUNCTION("""COMPUTED_VALUE"""),"MTS-9 C")</f>
        <v>MTS-9 C</v>
      </c>
      <c r="H260" s="36" t="str">
        <f>IFERROR(__xludf.DUMMYFUNCTION("""COMPUTED_VALUE"""),"D")</f>
        <v>D</v>
      </c>
      <c r="I260" s="40" t="str">
        <f>IFERROR(__xludf.DUMMYFUNCTION("""COMPUTED_VALUE"""),"D-4")</f>
        <v>D-4</v>
      </c>
      <c r="J260" s="40">
        <f>IFERROR(__xludf.DUMMYFUNCTION("""COMPUTED_VALUE"""),3.0)</f>
        <v>3</v>
      </c>
      <c r="K260" s="40" t="str">
        <f>IFERROR(__xludf.DUMMYFUNCTION("""COMPUTED_VALUE"""),"3 ULA A PUTRI")</f>
        <v>3 ULA A PUTRI</v>
      </c>
      <c r="L260" s="39" t="str">
        <f>IFERROR(__xludf.DUMMYFUNCTION("""COMPUTED_VALUE"""),"6285843744198")</f>
        <v>6285843744198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3"/>
      <c r="AS260" s="43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56"/>
      <c r="BH260" s="56"/>
      <c r="BI260" s="5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</row>
    <row r="261">
      <c r="A261" s="47">
        <f>IFERROR(__xludf.DUMMYFUNCTION("""COMPUTED_VALUE"""),260.0)</f>
        <v>260</v>
      </c>
      <c r="B261" s="48" t="str">
        <f>IFERROR(__xludf.DUMMYFUNCTION("""COMPUTED_VALUE"""),"DIAH MAHARANI ARDININGRUM")</f>
        <v>DIAH MAHARANI ARDININGRUM</v>
      </c>
      <c r="C261" s="49">
        <f>IFERROR(__xludf.DUMMYFUNCTION("""COMPUTED_VALUE"""),2.024080767E9)</f>
        <v>2024080767</v>
      </c>
      <c r="D261" s="48" t="str">
        <f>IFERROR(__xludf.DUMMYFUNCTION("""COMPUTED_VALUE"""),"HIZBULLAH HUDA")</f>
        <v>HIZBULLAH HUDA</v>
      </c>
      <c r="E261" s="48" t="str">
        <f>IFERROR(__xludf.DUMMYFUNCTION("""COMPUTED_VALUE"""),"KHUSNUL KHOTIMAH")</f>
        <v>KHUSNUL KHOTIMAH</v>
      </c>
      <c r="F261" s="48" t="str">
        <f>IFERROR(__xludf.DUMMYFUNCTION("""COMPUTED_VALUE"""),"PRAMBON PUCANGTELU RT 005 RW 002 KALITENGAH LAMONGAN")</f>
        <v>PRAMBON PUCANGTELU RT 005 RW 002 KALITENGAH LAMONGAN</v>
      </c>
      <c r="G261" s="50" t="str">
        <f>IFERROR(__xludf.DUMMYFUNCTION("""COMPUTED_VALUE"""),"MTS-9 A")</f>
        <v>MTS-9 A</v>
      </c>
      <c r="H261" s="47" t="str">
        <f>IFERROR(__xludf.DUMMYFUNCTION("""COMPUTED_VALUE"""),"D")</f>
        <v>D</v>
      </c>
      <c r="I261" s="53" t="str">
        <f>IFERROR(__xludf.DUMMYFUNCTION("""COMPUTED_VALUE"""),"D-7")</f>
        <v>D-7</v>
      </c>
      <c r="J261" s="51">
        <f>IFERROR(__xludf.DUMMYFUNCTION("""COMPUTED_VALUE"""),3.0)</f>
        <v>3</v>
      </c>
      <c r="K261" s="51" t="str">
        <f>IFERROR(__xludf.DUMMYFUNCTION("""COMPUTED_VALUE"""),"3 ULA B PUTRI")</f>
        <v>3 ULA B PUTRI</v>
      </c>
      <c r="L261" s="50" t="str">
        <f>IFERROR(__xludf.DUMMYFUNCTION("""COMPUTED_VALUE"""),"62881217430350")</f>
        <v>62881217430350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>
        <f>IFERROR(__xludf.DUMMYFUNCTION("""COMPUTED_VALUE"""),450000.0)</f>
        <v>450000</v>
      </c>
      <c r="AM261" s="53">
        <f>IFERROR(__xludf.DUMMYFUNCTION("""COMPUTED_VALUE"""),450000.0)</f>
        <v>450000</v>
      </c>
      <c r="AN261" s="53">
        <f>IFERROR(__xludf.DUMMYFUNCTION("""COMPUTED_VALUE"""),450000.0)</f>
        <v>450000</v>
      </c>
      <c r="AO261" s="53"/>
      <c r="AP261" s="53"/>
      <c r="AQ261" s="53"/>
      <c r="AR261" s="53"/>
      <c r="AS261" s="54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IFERROR(__xludf.DUMMYFUNCTION("""COMPUTED_VALUE"""),1350000.0)</f>
        <v>1350000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IFERROR(__xludf.DUMMYFUNCTION("""COMPUTED_VALUE"""),1350000.0)</f>
        <v>1350000</v>
      </c>
      <c r="BG261" s="57"/>
      <c r="BH261" s="57"/>
      <c r="BI261" s="57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</row>
    <row r="262">
      <c r="A262" s="36">
        <f>IFERROR(__xludf.DUMMYFUNCTION("""COMPUTED_VALUE"""),261.0)</f>
        <v>261</v>
      </c>
      <c r="B262" s="37" t="str">
        <f>IFERROR(__xludf.DUMMYFUNCTION("""COMPUTED_VALUE"""),"ELZA AMELIA FIRDA")</f>
        <v>ELZA AMELIA FIRDA</v>
      </c>
      <c r="C262" s="38">
        <f>IFERROR(__xludf.DUMMYFUNCTION("""COMPUTED_VALUE"""),2.024071523E9)</f>
        <v>2024071523</v>
      </c>
      <c r="D262" s="37" t="str">
        <f>IFERROR(__xludf.DUMMYFUNCTION("""COMPUTED_VALUE"""),"AH. ZAINUL ARIFUN")</f>
        <v>AH. ZAINUL ARIFUN</v>
      </c>
      <c r="E262" s="37" t="str">
        <f>IFERROR(__xludf.DUMMYFUNCTION("""COMPUTED_VALUE"""),"RUKAMAH")</f>
        <v>RUKAMAH</v>
      </c>
      <c r="F262" s="37" t="str">
        <f>IFERROR(__xludf.DUMMYFUNCTION("""COMPUTED_VALUE"""),"SUNGELEBAK RT 014 RW 004 KARANGGENENG LAMONGAN")</f>
        <v>SUNGELEBAK RT 014 RW 004 KARANGGENENG LAMONGAN</v>
      </c>
      <c r="G262" s="38" t="str">
        <f>IFERROR(__xludf.DUMMYFUNCTION("""COMPUTED_VALUE"""),"MTS-9 A")</f>
        <v>MTS-9 A</v>
      </c>
      <c r="H262" s="36" t="str">
        <f>IFERROR(__xludf.DUMMYFUNCTION("""COMPUTED_VALUE"""),"D")</f>
        <v>D</v>
      </c>
      <c r="I262" s="42" t="str">
        <f>IFERROR(__xludf.DUMMYFUNCTION("""COMPUTED_VALUE"""),"D-7")</f>
        <v>D-7</v>
      </c>
      <c r="J262" s="40">
        <f>IFERROR(__xludf.DUMMYFUNCTION("""COMPUTED_VALUE"""),3.0)</f>
        <v>3</v>
      </c>
      <c r="K262" s="40" t="str">
        <f>IFERROR(__xludf.DUMMYFUNCTION("""COMPUTED_VALUE"""),"3 ULA C PUTRI")</f>
        <v>3 ULA C PUTRI</v>
      </c>
      <c r="L262" s="39" t="str">
        <f>IFERROR(__xludf.DUMMYFUNCTION("""COMPUTED_VALUE"""),"6285749766177")</f>
        <v>6285749766177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3"/>
      <c r="AS262" s="43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IFERROR(__xludf.DUMMYFUNCTION("""COMPUTED_VALUE"""),0.0)</f>
        <v>0</v>
      </c>
      <c r="BD262" s="43">
        <f>IFERROR(__xludf.DUMMYFUNCTION("""COMPUTED_VALUE"""),0.0)</f>
        <v>0</v>
      </c>
      <c r="BE262" s="43">
        <f>IFERROR(__xludf.DUMMYFUNCTION("""COMPUTED_VALUE"""),0.0)</f>
        <v>0</v>
      </c>
      <c r="BF262" s="44">
        <f>IFERROR(__xludf.DUMMYFUNCTION("""COMPUTED_VALUE"""),0.0)</f>
        <v>0</v>
      </c>
      <c r="BG262" s="56"/>
      <c r="BH262" s="56"/>
      <c r="BI262" s="5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</row>
    <row r="263">
      <c r="A263" s="47">
        <f>IFERROR(__xludf.DUMMYFUNCTION("""COMPUTED_VALUE"""),262.0)</f>
        <v>262</v>
      </c>
      <c r="B263" s="48" t="str">
        <f>IFERROR(__xludf.DUMMYFUNCTION("""COMPUTED_VALUE"""),"ICHDA MAYLA ACHSANI")</f>
        <v>ICHDA MAYLA ACHSANI</v>
      </c>
      <c r="C263" s="49">
        <f>IFERROR(__xludf.DUMMYFUNCTION("""COMPUTED_VALUE"""),2.02407053E9)</f>
        <v>2024070530</v>
      </c>
      <c r="D263" s="48" t="str">
        <f>IFERROR(__xludf.DUMMYFUNCTION("""COMPUTED_VALUE"""),"SONI")</f>
        <v>SONI</v>
      </c>
      <c r="E263" s="48" t="str">
        <f>IFERROR(__xludf.DUMMYFUNCTION("""COMPUTED_VALUE"""),"KHOMSATUN")</f>
        <v>KHOMSATUN</v>
      </c>
      <c r="F263" s="48" t="str">
        <f>IFERROR(__xludf.DUMMYFUNCTION("""COMPUTED_VALUE"""),"KARANGCANGKRING RT 006 RW 003 DUKUN GRESIK")</f>
        <v>KARANGCANGKRING RT 006 RW 003 DUKUN GRESIK</v>
      </c>
      <c r="G263" s="50" t="str">
        <f>IFERROR(__xludf.DUMMYFUNCTION("""COMPUTED_VALUE"""),"MTS-9 B")</f>
        <v>MTS-9 B</v>
      </c>
      <c r="H263" s="47" t="str">
        <f>IFERROR(__xludf.DUMMYFUNCTION("""COMPUTED_VALUE"""),"D")</f>
        <v>D</v>
      </c>
      <c r="I263" s="51" t="str">
        <f>IFERROR(__xludf.DUMMYFUNCTION("""COMPUTED_VALUE"""),"D-7")</f>
        <v>D-7</v>
      </c>
      <c r="J263" s="51">
        <f>IFERROR(__xludf.DUMMYFUNCTION("""COMPUTED_VALUE"""),3.0)</f>
        <v>3</v>
      </c>
      <c r="K263" s="51" t="str">
        <f>IFERROR(__xludf.DUMMYFUNCTION("""COMPUTED_VALUE"""),"3 ULA B PUTRI")</f>
        <v>3 ULA B PUTRI</v>
      </c>
      <c r="L263" s="50" t="str">
        <f>IFERROR(__xludf.DUMMYFUNCTION("""COMPUTED_VALUE"""),"6285704365797")</f>
        <v>6285704365797</v>
      </c>
      <c r="M263" s="54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4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/>
      <c r="AQ263" s="53"/>
      <c r="AR263" s="53"/>
      <c r="AS263" s="54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IFERROR(__xludf.DUMMYFUNCTION("""COMPUTED_VALUE"""),0.0)</f>
        <v>0</v>
      </c>
      <c r="BD263" s="54">
        <f>IFERROR(__xludf.DUMMYFUNCTION("""COMPUTED_VALUE"""),0.0)</f>
        <v>0</v>
      </c>
      <c r="BE263" s="54">
        <f>IFERROR(__xludf.DUMMYFUNCTION("""COMPUTED_VALUE"""),0.0)</f>
        <v>0</v>
      </c>
      <c r="BF263" s="55">
        <f>IFERROR(__xludf.DUMMYFUNCTION("""COMPUTED_VALUE"""),0.0)</f>
        <v>0</v>
      </c>
      <c r="BG263" s="57"/>
      <c r="BH263" s="57"/>
      <c r="BI263" s="57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</row>
    <row r="264">
      <c r="A264" s="36">
        <f>IFERROR(__xludf.DUMMYFUNCTION("""COMPUTED_VALUE"""),263.0)</f>
        <v>263</v>
      </c>
      <c r="B264" s="37" t="str">
        <f>IFERROR(__xludf.DUMMYFUNCTION("""COMPUTED_VALUE"""),"JANEETA EMIRA SHABRIYA")</f>
        <v>JANEETA EMIRA SHABRIYA</v>
      </c>
      <c r="C264" s="38">
        <f>IFERROR(__xludf.DUMMYFUNCTION("""COMPUTED_VALUE"""),2.024070521E9)</f>
        <v>2024070521</v>
      </c>
      <c r="D264" s="37" t="str">
        <f>IFERROR(__xludf.DUMMYFUNCTION("""COMPUTED_VALUE"""),"FAUZAN FATHURROSYID")</f>
        <v>FAUZAN FATHURROSYID</v>
      </c>
      <c r="E264" s="37" t="str">
        <f>IFERROR(__xludf.DUMMYFUNCTION("""COMPUTED_VALUE"""),"AINI ZAHIDAH")</f>
        <v>AINI ZAHIDAH</v>
      </c>
      <c r="F264" s="37" t="str">
        <f>IFERROR(__xludf.DUMMYFUNCTION("""COMPUTED_VALUE"""),"SUMURBER RT 010 RW 003 PANCENG GRESIK")</f>
        <v>SUMURBER RT 010 RW 003 PANCENG GRESIK</v>
      </c>
      <c r="G264" s="39" t="str">
        <f>IFERROR(__xludf.DUMMYFUNCTION("""COMPUTED_VALUE"""),"MTS-9 B")</f>
        <v>MTS-9 B</v>
      </c>
      <c r="H264" s="36" t="str">
        <f>IFERROR(__xludf.DUMMYFUNCTION("""COMPUTED_VALUE"""),"D")</f>
        <v>D</v>
      </c>
      <c r="I264" s="40" t="str">
        <f>IFERROR(__xludf.DUMMYFUNCTION("""COMPUTED_VALUE"""),"D-4")</f>
        <v>D-4</v>
      </c>
      <c r="J264" s="40">
        <f>IFERROR(__xludf.DUMMYFUNCTION("""COMPUTED_VALUE"""),3.0)</f>
        <v>3</v>
      </c>
      <c r="K264" s="40" t="str">
        <f>IFERROR(__xludf.DUMMYFUNCTION("""COMPUTED_VALUE"""),"3 ULA B PUTRI")</f>
        <v>3 ULA B PUTRI</v>
      </c>
      <c r="L264" s="39" t="str">
        <f>IFERROR(__xludf.DUMMYFUNCTION("""COMPUTED_VALUE"""),"628563173399")</f>
        <v>628563173399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42">
        <f>IFERROR(__xludf.DUMMYFUNCTION("""COMPUTED_VALUE"""),450000.0)</f>
        <v>450000</v>
      </c>
      <c r="AO264" s="42"/>
      <c r="AP264" s="42">
        <f>IFERROR(__xludf.DUMMYFUNCTION("""COMPUTED_VALUE"""),500000.0)</f>
        <v>500000</v>
      </c>
      <c r="AQ264" s="42"/>
      <c r="AR264" s="43"/>
      <c r="AS264" s="43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IFERROR(__xludf.DUMMYFUNCTION("""COMPUTED_VALUE"""),450000.0)</f>
        <v>450000</v>
      </c>
      <c r="BD264" s="43">
        <f>IFERROR(__xludf.DUMMYFUNCTION("""COMPUTED_VALUE"""),500000.0)</f>
        <v>500000</v>
      </c>
      <c r="BE264" s="43">
        <f>IFERROR(__xludf.DUMMYFUNCTION("""COMPUTED_VALUE"""),0.0)</f>
        <v>0</v>
      </c>
      <c r="BF264" s="44">
        <f>IFERROR(__xludf.DUMMYFUNCTION("""COMPUTED_VALUE"""),950000.0)</f>
        <v>950000</v>
      </c>
      <c r="BG264" s="56"/>
      <c r="BH264" s="56"/>
      <c r="BI264" s="5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</row>
    <row r="265">
      <c r="A265" s="47">
        <f>IFERROR(__xludf.DUMMYFUNCTION("""COMPUTED_VALUE"""),264.0)</f>
        <v>264</v>
      </c>
      <c r="B265" s="48" t="str">
        <f>IFERROR(__xludf.DUMMYFUNCTION("""COMPUTED_VALUE"""),"KAYLA SABRINA ANGGRAINI")</f>
        <v>KAYLA SABRINA ANGGRAINI</v>
      </c>
      <c r="C265" s="49">
        <f>IFERROR(__xludf.DUMMYFUNCTION("""COMPUTED_VALUE"""),2.024070661E9)</f>
        <v>2024070661</v>
      </c>
      <c r="D265" s="48" t="str">
        <f>IFERROR(__xludf.DUMMYFUNCTION("""COMPUTED_VALUE"""),"SISWANDI")</f>
        <v>SISWANDI</v>
      </c>
      <c r="E265" s="48" t="str">
        <f>IFERROR(__xludf.DUMMYFUNCTION("""COMPUTED_VALUE"""),"RENNY PONCO PRASETYO WATIE")</f>
        <v>RENNY PONCO PRASETYO WATIE</v>
      </c>
      <c r="F265" s="48" t="str">
        <f>IFERROR(__xludf.DUMMYFUNCTION("""COMPUTED_VALUE"""),"BANJARWATI RT 001 RW 002 PACIRAN LAMONGAN")</f>
        <v>BANJARWATI RT 001 RW 002 PACIRAN LAMONGAN</v>
      </c>
      <c r="G265" s="50" t="str">
        <f>IFERROR(__xludf.DUMMYFUNCTION("""COMPUTED_VALUE"""),"MTS-9 G")</f>
        <v>MTS-9 G</v>
      </c>
      <c r="H265" s="47" t="str">
        <f>IFERROR(__xludf.DUMMYFUNCTION("""COMPUTED_VALUE"""),"D")</f>
        <v>D</v>
      </c>
      <c r="I265" s="53" t="str">
        <f>IFERROR(__xludf.DUMMYFUNCTION("""COMPUTED_VALUE"""),"D-4")</f>
        <v>D-4</v>
      </c>
      <c r="J265" s="51">
        <f>IFERROR(__xludf.DUMMYFUNCTION("""COMPUTED_VALUE"""),3.0)</f>
        <v>3</v>
      </c>
      <c r="K265" s="51" t="str">
        <f>IFERROR(__xludf.DUMMYFUNCTION("""COMPUTED_VALUE"""),"3 ULA B PUTRI")</f>
        <v>3 ULA B PUTRI</v>
      </c>
      <c r="L265" s="50" t="str">
        <f>IFERROR(__xludf.DUMMYFUNCTION("""COMPUTED_VALUE"""),"6285608656615")</f>
        <v>6285608656615</v>
      </c>
      <c r="M265" s="53">
        <f>IFERROR(__xludf.DUMMYFUNCTION("""COMPUTED_VALUE"""),600000.0)</f>
        <v>600000</v>
      </c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>
        <f>IFERROR(__xludf.DUMMYFUNCTION("""COMPUTED_VALUE"""),450000.0)</f>
        <v>450000</v>
      </c>
      <c r="Y265" s="53">
        <f>IFERROR(__xludf.DUMMYFUNCTION("""COMPUTED_VALUE"""),450000.0)</f>
        <v>450000</v>
      </c>
      <c r="Z265" s="53">
        <f>IFERROR(__xludf.DUMMYFUNCTION("""COMPUTED_VALUE"""),450000.0)</f>
        <v>450000</v>
      </c>
      <c r="AA265" s="53"/>
      <c r="AB265" s="53">
        <f>IFERROR(__xludf.DUMMYFUNCTION("""COMPUTED_VALUE"""),500000.0)</f>
        <v>500000</v>
      </c>
      <c r="AC265" s="53">
        <f>IFERROR(__xludf.DUMMYFUNCTION("""COMPUTED_VALUE"""),450000.0)</f>
        <v>450000</v>
      </c>
      <c r="AD265" s="53">
        <f>IFERROR(__xludf.DUMMYFUNCTION("""COMPUTED_VALUE"""),450000.0)</f>
        <v>450000</v>
      </c>
      <c r="AE265" s="53">
        <f>IFERROR(__xludf.DUMMYFUNCTION("""COMPUTED_VALUE"""),450000.0)</f>
        <v>450000</v>
      </c>
      <c r="AF265" s="53">
        <f>IFERROR(__xludf.DUMMYFUNCTION("""COMPUTED_VALUE"""),450000.0)</f>
        <v>450000</v>
      </c>
      <c r="AG265" s="53">
        <f>IFERROR(__xludf.DUMMYFUNCTION("""COMPUTED_VALUE"""),450000.0)</f>
        <v>450000</v>
      </c>
      <c r="AH265" s="53">
        <f>IFERROR(__xludf.DUMMYFUNCTION("""COMPUTED_VALUE"""),450000.0)</f>
        <v>450000</v>
      </c>
      <c r="AI265" s="53">
        <f>IFERROR(__xludf.DUMMYFUNCTION("""COMPUTED_VALUE"""),450000.0)</f>
        <v>450000</v>
      </c>
      <c r="AJ265" s="53">
        <f>IFERROR(__xludf.DUMMYFUNCTION("""COMPUTED_VALUE"""),450000.0)</f>
        <v>450000</v>
      </c>
      <c r="AK265" s="53">
        <f>IFERROR(__xludf.DUMMYFUNCTION("""COMPUTED_VALUE"""),450000.0)</f>
        <v>450000</v>
      </c>
      <c r="AL265" s="53">
        <f>IFERROR(__xludf.DUMMYFUNCTION("""COMPUTED_VALUE"""),450000.0)</f>
        <v>450000</v>
      </c>
      <c r="AM265" s="53">
        <f>IFERROR(__xludf.DUMMYFUNCTION("""COMPUTED_VALUE"""),450000.0)</f>
        <v>450000</v>
      </c>
      <c r="AN265" s="53">
        <f>IFERROR(__xludf.DUMMYFUNCTION("""COMPUTED_VALUE"""),450000.0)</f>
        <v>450000</v>
      </c>
      <c r="AO265" s="54"/>
      <c r="AP265" s="54">
        <f>IFERROR(__xludf.DUMMYFUNCTION("""COMPUTED_VALUE"""),500000.0)</f>
        <v>500000</v>
      </c>
      <c r="AQ265" s="53"/>
      <c r="AR265" s="53"/>
      <c r="AS265" s="54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IFERROR(__xludf.DUMMYFUNCTION("""COMPUTED_VALUE"""),6750000.0)</f>
        <v>6750000</v>
      </c>
      <c r="BD265" s="54">
        <f>IFERROR(__xludf.DUMMYFUNCTION("""COMPUTED_VALUE"""),1600000.0)</f>
        <v>1600000</v>
      </c>
      <c r="BE265" s="54">
        <f>IFERROR(__xludf.DUMMYFUNCTION("""COMPUTED_VALUE"""),0.0)</f>
        <v>0</v>
      </c>
      <c r="BF265" s="55">
        <f>IFERROR(__xludf.DUMMYFUNCTION("""COMPUTED_VALUE"""),8350000.0)</f>
        <v>8350000</v>
      </c>
      <c r="BG265" s="57"/>
      <c r="BH265" s="57"/>
      <c r="BI265" s="57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</row>
    <row r="266">
      <c r="A266" s="36">
        <f>IFERROR(__xludf.DUMMYFUNCTION("""COMPUTED_VALUE"""),265.0)</f>
        <v>265</v>
      </c>
      <c r="B266" s="37" t="str">
        <f>IFERROR(__xludf.DUMMYFUNCTION("""COMPUTED_VALUE"""),"LAILA AININ NAF`AH")</f>
        <v>LAILA AININ NAF`AH</v>
      </c>
      <c r="C266" s="38">
        <f>IFERROR(__xludf.DUMMYFUNCTION("""COMPUTED_VALUE"""),2.024080769E9)</f>
        <v>2024080769</v>
      </c>
      <c r="D266" s="37" t="str">
        <f>IFERROR(__xludf.DUMMYFUNCTION("""COMPUTED_VALUE"""),"HIDAYATUL MUKMININ")</f>
        <v>HIDAYATUL MUKMININ</v>
      </c>
      <c r="E266" s="37" t="str">
        <f>IFERROR(__xludf.DUMMYFUNCTION("""COMPUTED_VALUE"""),"IFATUL AINIYAH")</f>
        <v>IFATUL AINIYAH</v>
      </c>
      <c r="F266" s="37" t="str">
        <f>IFERROR(__xludf.DUMMYFUNCTION("""COMPUTED_VALUE"""),"SUNGELEBAK RT 013 RW 004 KARANGGENENG LAMONGAN")</f>
        <v>SUNGELEBAK RT 013 RW 004 KARANGGENENG LAMONGAN</v>
      </c>
      <c r="G266" s="39" t="str">
        <f>IFERROR(__xludf.DUMMYFUNCTION("""COMPUTED_VALUE"""),"MTS-9 B")</f>
        <v>MTS-9 B</v>
      </c>
      <c r="H266" s="36" t="str">
        <f>IFERROR(__xludf.DUMMYFUNCTION("""COMPUTED_VALUE"""),"D")</f>
        <v>D</v>
      </c>
      <c r="I266" s="42" t="str">
        <f>IFERROR(__xludf.DUMMYFUNCTION("""COMPUTED_VALUE"""),"D-7")</f>
        <v>D-7</v>
      </c>
      <c r="J266" s="40">
        <f>IFERROR(__xludf.DUMMYFUNCTION("""COMPUTED_VALUE"""),3.0)</f>
        <v>3</v>
      </c>
      <c r="K266" s="40" t="str">
        <f>IFERROR(__xludf.DUMMYFUNCTION("""COMPUTED_VALUE"""),"")</f>
        <v/>
      </c>
      <c r="L266" s="39" t="str">
        <f>IFERROR(__xludf.DUMMYFUNCTION("""COMPUTED_VALUE"""),"6289636729723")</f>
        <v>6289636729723</v>
      </c>
      <c r="M266" s="43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3">
        <f>IFERROR(__xludf.DUMMYFUNCTION("""COMPUTED_VALUE"""),500000.0)</f>
        <v>500000</v>
      </c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3"/>
      <c r="AP266" s="43">
        <f>IFERROR(__xludf.DUMMYFUNCTION("""COMPUTED_VALUE"""),500000.0)</f>
        <v>500000</v>
      </c>
      <c r="AQ266" s="42"/>
      <c r="AR266" s="43"/>
      <c r="AS266" s="43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56"/>
      <c r="BH266" s="56"/>
      <c r="BI266" s="5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</row>
    <row r="267">
      <c r="A267" s="47">
        <f>IFERROR(__xludf.DUMMYFUNCTION("""COMPUTED_VALUE"""),266.0)</f>
        <v>266</v>
      </c>
      <c r="B267" s="48" t="str">
        <f>IFERROR(__xludf.DUMMYFUNCTION("""COMPUTED_VALUE"""),"MILLATUN NASYIFAH")</f>
        <v>MILLATUN NASYIFAH</v>
      </c>
      <c r="C267" s="49">
        <f>IFERROR(__xludf.DUMMYFUNCTION("""COMPUTED_VALUE"""),2.024070645E9)</f>
        <v>2024070645</v>
      </c>
      <c r="D267" s="48" t="str">
        <f>IFERROR(__xludf.DUMMYFUNCTION("""COMPUTED_VALUE"""),"SURUJI")</f>
        <v>SURUJI</v>
      </c>
      <c r="E267" s="48" t="str">
        <f>IFERROR(__xludf.DUMMYFUNCTION("""COMPUTED_VALUE"""),"NURMA HAYATI")</f>
        <v>NURMA HAYATI</v>
      </c>
      <c r="F267" s="48" t="str">
        <f>IFERROR(__xludf.DUMMYFUNCTION("""COMPUTED_VALUE"""),"PJINGGAHAN TANJUNGORI RT - RW - TAMBAK GRESIK")</f>
        <v>PJINGGAHAN TANJUNGORI RT - RW - TAMBAK GRESIK</v>
      </c>
      <c r="G267" s="50" t="str">
        <f>IFERROR(__xludf.DUMMYFUNCTION("""COMPUTED_VALUE"""),"MTS-9 H")</f>
        <v>MTS-9 H</v>
      </c>
      <c r="H267" s="47" t="str">
        <f>IFERROR(__xludf.DUMMYFUNCTION("""COMPUTED_VALUE"""),"D")</f>
        <v>D</v>
      </c>
      <c r="I267" s="53" t="str">
        <f>IFERROR(__xludf.DUMMYFUNCTION("""COMPUTED_VALUE"""),"D-4")</f>
        <v>D-4</v>
      </c>
      <c r="J267" s="51">
        <f>IFERROR(__xludf.DUMMYFUNCTION("""COMPUTED_VALUE"""),3.0)</f>
        <v>3</v>
      </c>
      <c r="K267" s="51" t="str">
        <f>IFERROR(__xludf.DUMMYFUNCTION("""COMPUTED_VALUE"""),"3 ULA C PUTRI")</f>
        <v>3 ULA C PUTRI</v>
      </c>
      <c r="L267" s="50" t="str">
        <f>IFERROR(__xludf.DUMMYFUNCTION("""COMPUTED_VALUE"""),"626012046383")</f>
        <v>626012046383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4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IFERROR(__xludf.DUMMYFUNCTION("""COMPUTED_VALUE"""),0.0)</f>
        <v>0</v>
      </c>
      <c r="BE267" s="54">
        <f>IFERROR(__xludf.DUMMYFUNCTION("""COMPUTED_VALUE"""),0.0)</f>
        <v>0</v>
      </c>
      <c r="BF267" s="55">
        <f>IFERROR(__xludf.DUMMYFUNCTION("""COMPUTED_VALUE"""),0.0)</f>
        <v>0</v>
      </c>
      <c r="BG267" s="57"/>
      <c r="BH267" s="57"/>
      <c r="BI267" s="57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</row>
    <row r="268">
      <c r="A268" s="36">
        <f>IFERROR(__xludf.DUMMYFUNCTION("""COMPUTED_VALUE"""),267.0)</f>
        <v>267</v>
      </c>
      <c r="B268" s="37" t="str">
        <f>IFERROR(__xludf.DUMMYFUNCTION("""COMPUTED_VALUE"""),"NALA RAHMAH RAMADHANI")</f>
        <v>NALA RAHMAH RAMADHANI</v>
      </c>
      <c r="C268" s="38">
        <f>IFERROR(__xludf.DUMMYFUNCTION("""COMPUTED_VALUE"""),2.024070599E9)</f>
        <v>2024070599</v>
      </c>
      <c r="D268" s="37" t="str">
        <f>IFERROR(__xludf.DUMMYFUNCTION("""COMPUTED_VALUE"""),"MUDZAKIR, DRS")</f>
        <v>MUDZAKIR, DRS</v>
      </c>
      <c r="E268" s="37" t="str">
        <f>IFERROR(__xludf.DUMMYFUNCTION("""COMPUTED_VALUE"""),"MAFTUHAH")</f>
        <v>MAFTUHAH</v>
      </c>
      <c r="F268" s="37" t="str">
        <f>IFERROR(__xludf.DUMMYFUNCTION("""COMPUTED_VALUE"""),"SUMURBER RT 016 RW 005 PANCENG GRESIK")</f>
        <v>SUMURBER RT 016 RW 005 PANCENG GRESIK</v>
      </c>
      <c r="G268" s="39" t="str">
        <f>IFERROR(__xludf.DUMMYFUNCTION("""COMPUTED_VALUE"""),"MTS-9 C")</f>
        <v>MTS-9 C</v>
      </c>
      <c r="H268" s="36" t="str">
        <f>IFERROR(__xludf.DUMMYFUNCTION("""COMPUTED_VALUE"""),"D")</f>
        <v>D</v>
      </c>
      <c r="I268" s="42" t="str">
        <f>IFERROR(__xludf.DUMMYFUNCTION("""COMPUTED_VALUE"""),"D-4")</f>
        <v>D-4</v>
      </c>
      <c r="J268" s="40">
        <f>IFERROR(__xludf.DUMMYFUNCTION("""COMPUTED_VALUE"""),3.0)</f>
        <v>3</v>
      </c>
      <c r="K268" s="40" t="str">
        <f>IFERROR(__xludf.DUMMYFUNCTION("""COMPUTED_VALUE"""),"3 ULA C PUTRI")</f>
        <v>3 ULA C PUTRI</v>
      </c>
      <c r="L268" s="39" t="str">
        <f>IFERROR(__xludf.DUMMYFUNCTION("""COMPUTED_VALUE"""),"6285648197578")</f>
        <v>6285648197578</v>
      </c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3"/>
      <c r="AS268" s="43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IFERROR(__xludf.DUMMYFUNCTION("""COMPUTED_VALUE"""),0.0)</f>
        <v>0</v>
      </c>
      <c r="BE268" s="43">
        <f>IFERROR(__xludf.DUMMYFUNCTION("""COMPUTED_VALUE"""),0.0)</f>
        <v>0</v>
      </c>
      <c r="BF268" s="44">
        <f>IFERROR(__xludf.DUMMYFUNCTION("""COMPUTED_VALUE"""),0.0)</f>
        <v>0</v>
      </c>
      <c r="BG268" s="56"/>
      <c r="BH268" s="56"/>
      <c r="BI268" s="5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</row>
    <row r="269">
      <c r="A269" s="47">
        <f>IFERROR(__xludf.DUMMYFUNCTION("""COMPUTED_VALUE"""),268.0)</f>
        <v>268</v>
      </c>
      <c r="B269" s="48" t="str">
        <f>IFERROR(__xludf.DUMMYFUNCTION("""COMPUTED_VALUE"""),"NANDA ZAHRUNI SAFILLIA")</f>
        <v>NANDA ZAHRUNI SAFILLIA</v>
      </c>
      <c r="C269" s="49">
        <f>IFERROR(__xludf.DUMMYFUNCTION("""COMPUTED_VALUE"""),2.02407061E9)</f>
        <v>2024070610</v>
      </c>
      <c r="D269" s="48" t="str">
        <f>IFERROR(__xludf.DUMMYFUNCTION("""COMPUTED_VALUE"""),"IMAM UDDIN")</f>
        <v>IMAM UDDIN</v>
      </c>
      <c r="E269" s="48" t="str">
        <f>IFERROR(__xludf.DUMMYFUNCTION("""COMPUTED_VALUE"""),"WIWIN WINARTIN")</f>
        <v>WIWIN WINARTIN</v>
      </c>
      <c r="F269" s="48" t="str">
        <f>IFERROR(__xludf.DUMMYFUNCTION("""COMPUTED_VALUE"""),"SUNGELEBAK RT 005 RW 002 KARANGGENENG LAMONGAN")</f>
        <v>SUNGELEBAK RT 005 RW 002 KARANGGENENG LAMONGAN</v>
      </c>
      <c r="G269" s="49" t="str">
        <f>IFERROR(__xludf.DUMMYFUNCTION("""COMPUTED_VALUE"""),"MTS-9 D")</f>
        <v>MTS-9 D</v>
      </c>
      <c r="H269" s="47" t="str">
        <f>IFERROR(__xludf.DUMMYFUNCTION("""COMPUTED_VALUE"""),"D")</f>
        <v>D</v>
      </c>
      <c r="I269" s="51" t="str">
        <f>IFERROR(__xludf.DUMMYFUNCTION("""COMPUTED_VALUE"""),"D-4")</f>
        <v>D-4</v>
      </c>
      <c r="J269" s="51">
        <f>IFERROR(__xludf.DUMMYFUNCTION("""COMPUTED_VALUE"""),3.0)</f>
        <v>3</v>
      </c>
      <c r="K269" s="51" t="str">
        <f>IFERROR(__xludf.DUMMYFUNCTION("""COMPUTED_VALUE"""),"")</f>
        <v/>
      </c>
      <c r="L269" s="50" t="str">
        <f>IFERROR(__xludf.DUMMYFUNCTION("""COMPUTED_VALUE"""),"628563468694")</f>
        <v>628563468694</v>
      </c>
      <c r="M269" s="54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4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4"/>
      <c r="AQ269" s="53"/>
      <c r="AR269" s="54"/>
      <c r="AS269" s="54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IFERROR(__xludf.DUMMYFUNCTION("""COMPUTED_VALUE"""),0.0)</f>
        <v>0</v>
      </c>
      <c r="BD269" s="54">
        <f>IFERROR(__xludf.DUMMYFUNCTION("""COMPUTED_VALUE"""),0.0)</f>
        <v>0</v>
      </c>
      <c r="BE269" s="54">
        <f>IFERROR(__xludf.DUMMYFUNCTION("""COMPUTED_VALUE"""),0.0)</f>
        <v>0</v>
      </c>
      <c r="BF269" s="55">
        <f>IFERROR(__xludf.DUMMYFUNCTION("""COMPUTED_VALUE"""),0.0)</f>
        <v>0</v>
      </c>
      <c r="BG269" s="57"/>
      <c r="BH269" s="57"/>
      <c r="BI269" s="57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</row>
    <row r="270">
      <c r="A270" s="36">
        <f>IFERROR(__xludf.DUMMYFUNCTION("""COMPUTED_VALUE"""),269.0)</f>
        <v>269</v>
      </c>
      <c r="B270" s="37" t="str">
        <f>IFERROR(__xludf.DUMMYFUNCTION("""COMPUTED_VALUE"""),"NATASYA ANGELINA AMANDA FERDIANA")</f>
        <v>NATASYA ANGELINA AMANDA FERDIANA</v>
      </c>
      <c r="C270" s="38">
        <f>IFERROR(__xludf.DUMMYFUNCTION("""COMPUTED_VALUE"""),2.024070523E9)</f>
        <v>2024070523</v>
      </c>
      <c r="D270" s="37" t="str">
        <f>IFERROR(__xludf.DUMMYFUNCTION("""COMPUTED_VALUE"""),"DARMAJI")</f>
        <v>DARMAJI</v>
      </c>
      <c r="E270" s="37" t="str">
        <f>IFERROR(__xludf.DUMMYFUNCTION("""COMPUTED_VALUE"""),"SITI NURDIANA")</f>
        <v>SITI NURDIANA</v>
      </c>
      <c r="F270" s="37" t="str">
        <f>IFERROR(__xludf.DUMMYFUNCTION("""COMPUTED_VALUE"""),"PUTATLOR PUTATKUMPUL RT 002 RW 003 TURI LAMONGAN")</f>
        <v>PUTATLOR PUTATKUMPUL RT 002 RW 003 TURI LAMONGAN</v>
      </c>
      <c r="G270" s="38" t="str">
        <f>IFERROR(__xludf.DUMMYFUNCTION("""COMPUTED_VALUE"""),"MTS-9 B")</f>
        <v>MTS-9 B</v>
      </c>
      <c r="H270" s="36" t="str">
        <f>IFERROR(__xludf.DUMMYFUNCTION("""COMPUTED_VALUE"""),"D")</f>
        <v>D</v>
      </c>
      <c r="I270" s="40" t="str">
        <f>IFERROR(__xludf.DUMMYFUNCTION("""COMPUTED_VALUE"""),"D-4")</f>
        <v>D-4</v>
      </c>
      <c r="J270" s="40">
        <f>IFERROR(__xludf.DUMMYFUNCTION("""COMPUTED_VALUE"""),3.0)</f>
        <v>3</v>
      </c>
      <c r="K270" s="40" t="str">
        <f>IFERROR(__xludf.DUMMYFUNCTION("""COMPUTED_VALUE"""),"")</f>
        <v/>
      </c>
      <c r="L270" s="39" t="str">
        <f>IFERROR(__xludf.DUMMYFUNCTION("""COMPUTED_VALUE"""),"6282199589884")</f>
        <v>6282199589884</v>
      </c>
      <c r="M270" s="43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3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3"/>
      <c r="AP270" s="43"/>
      <c r="AQ270" s="43"/>
      <c r="AR270" s="43"/>
      <c r="AS270" s="43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IFERROR(__xludf.DUMMYFUNCTION("""COMPUTED_VALUE"""),0.0)</f>
        <v>0</v>
      </c>
      <c r="BE270" s="43">
        <f>IFERROR(__xludf.DUMMYFUNCTION("""COMPUTED_VALUE"""),0.0)</f>
        <v>0</v>
      </c>
      <c r="BF270" s="44">
        <f>IFERROR(__xludf.DUMMYFUNCTION("""COMPUTED_VALUE"""),0.0)</f>
        <v>0</v>
      </c>
      <c r="BG270" s="56"/>
      <c r="BH270" s="56"/>
      <c r="BI270" s="5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</row>
    <row r="271">
      <c r="A271" s="47">
        <f>IFERROR(__xludf.DUMMYFUNCTION("""COMPUTED_VALUE"""),270.0)</f>
        <v>270</v>
      </c>
      <c r="B271" s="48" t="str">
        <f>IFERROR(__xludf.DUMMYFUNCTION("""COMPUTED_VALUE"""),"NESYA AURA BUNGA")</f>
        <v>NESYA AURA BUNGA</v>
      </c>
      <c r="C271" s="49">
        <f>IFERROR(__xludf.DUMMYFUNCTION("""COMPUTED_VALUE"""),2.024070659E9)</f>
        <v>2024070659</v>
      </c>
      <c r="D271" s="48" t="str">
        <f>IFERROR(__xludf.DUMMYFUNCTION("""COMPUTED_VALUE"""),"MOH. AINUR ROFIQ")</f>
        <v>MOH. AINUR ROFIQ</v>
      </c>
      <c r="E271" s="48" t="str">
        <f>IFERROR(__xludf.DUMMYFUNCTION("""COMPUTED_VALUE"""),"SITI NAILUL ROFIQ")</f>
        <v>SITI NAILUL ROFIQ</v>
      </c>
      <c r="F271" s="48" t="str">
        <f>IFERROR(__xludf.DUMMYFUNCTION("""COMPUTED_VALUE"""),"GEGER RT 002 RW 003 TURI LAMONGAN")</f>
        <v>GEGER RT 002 RW 003 TURI LAMONGAN</v>
      </c>
      <c r="G271" s="49" t="str">
        <f>IFERROR(__xludf.DUMMYFUNCTION("""COMPUTED_VALUE"""),"MTS-9 H")</f>
        <v>MTS-9 H</v>
      </c>
      <c r="H271" s="47" t="str">
        <f>IFERROR(__xludf.DUMMYFUNCTION("""COMPUTED_VALUE"""),"D")</f>
        <v>D</v>
      </c>
      <c r="I271" s="51" t="str">
        <f>IFERROR(__xludf.DUMMYFUNCTION("""COMPUTED_VALUE"""),"D-4")</f>
        <v>D-4</v>
      </c>
      <c r="J271" s="51">
        <f>IFERROR(__xludf.DUMMYFUNCTION("""COMPUTED_VALUE"""),3.0)</f>
        <v>3</v>
      </c>
      <c r="K271" s="51" t="str">
        <f>IFERROR(__xludf.DUMMYFUNCTION("""COMPUTED_VALUE"""),"3 ULA C PUTRI")</f>
        <v>3 ULA C PUTRI</v>
      </c>
      <c r="L271" s="50" t="str">
        <f>IFERROR(__xludf.DUMMYFUNCTION("""COMPUTED_VALUE"""),"6285852070153")</f>
        <v>6285852070153</v>
      </c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>
        <f>IFERROR(__xludf.DUMMYFUNCTION("""COMPUTED_VALUE"""),450000.0)</f>
        <v>450000</v>
      </c>
      <c r="AO271" s="53"/>
      <c r="AP271" s="53">
        <f>IFERROR(__xludf.DUMMYFUNCTION("""COMPUTED_VALUE"""),500000.0)</f>
        <v>500000</v>
      </c>
      <c r="AQ271" s="53"/>
      <c r="AR271" s="53"/>
      <c r="AS271" s="54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IFERROR(__xludf.DUMMYFUNCTION("""COMPUTED_VALUE"""),450000.0)</f>
        <v>450000</v>
      </c>
      <c r="BD271" s="54">
        <f>IFERROR(__xludf.DUMMYFUNCTION("""COMPUTED_VALUE"""),500000.0)</f>
        <v>500000</v>
      </c>
      <c r="BE271" s="54">
        <f>IFERROR(__xludf.DUMMYFUNCTION("""COMPUTED_VALUE"""),0.0)</f>
        <v>0</v>
      </c>
      <c r="BF271" s="55">
        <f>IFERROR(__xludf.DUMMYFUNCTION("""COMPUTED_VALUE"""),950000.0)</f>
        <v>950000</v>
      </c>
      <c r="BG271" s="57"/>
      <c r="BH271" s="57"/>
      <c r="BI271" s="57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</row>
    <row r="272">
      <c r="A272" s="36">
        <f>IFERROR(__xludf.DUMMYFUNCTION("""COMPUTED_VALUE"""),271.0)</f>
        <v>271</v>
      </c>
      <c r="B272" s="37" t="str">
        <f>IFERROR(__xludf.DUMMYFUNCTION("""COMPUTED_VALUE"""),"NUR IFATURAHMAH")</f>
        <v>NUR IFATURAHMAH</v>
      </c>
      <c r="C272" s="38">
        <f>IFERROR(__xludf.DUMMYFUNCTION("""COMPUTED_VALUE"""),2.024070505E9)</f>
        <v>2024070505</v>
      </c>
      <c r="D272" s="37" t="str">
        <f>IFERROR(__xludf.DUMMYFUNCTION("""COMPUTED_VALUE"""),"A. SYARONI")</f>
        <v>A. SYARONI</v>
      </c>
      <c r="E272" s="37" t="str">
        <f>IFERROR(__xludf.DUMMYFUNCTION("""COMPUTED_VALUE"""),"EKA RAKHMAWATI")</f>
        <v>EKA RAKHMAWATI</v>
      </c>
      <c r="F272" s="37" t="str">
        <f>IFERROR(__xludf.DUMMYFUNCTION("""COMPUTED_VALUE"""),"BESUSUL SUMBERAJI RT 002 RW 003 SUKODADI LAMONGAN")</f>
        <v>BESUSUL SUMBERAJI RT 002 RW 003 SUKODADI LAMONGAN</v>
      </c>
      <c r="G272" s="38" t="str">
        <f>IFERROR(__xludf.DUMMYFUNCTION("""COMPUTED_VALUE"""),"MTS-9 A")</f>
        <v>MTS-9 A</v>
      </c>
      <c r="H272" s="36" t="str">
        <f>IFERROR(__xludf.DUMMYFUNCTION("""COMPUTED_VALUE"""),"D")</f>
        <v>D</v>
      </c>
      <c r="I272" s="40" t="str">
        <f>IFERROR(__xludf.DUMMYFUNCTION("""COMPUTED_VALUE"""),"D-7")</f>
        <v>D-7</v>
      </c>
      <c r="J272" s="40">
        <f>IFERROR(__xludf.DUMMYFUNCTION("""COMPUTED_VALUE"""),3.0)</f>
        <v>3</v>
      </c>
      <c r="K272" s="40" t="str">
        <f>IFERROR(__xludf.DUMMYFUNCTION("""COMPUTED_VALUE"""),"3 ULA B PUTRI")</f>
        <v>3 ULA B PUTRI</v>
      </c>
      <c r="L272" s="39" t="str">
        <f>IFERROR(__xludf.DUMMYFUNCTION("""COMPUTED_VALUE"""),"6285648312663")</f>
        <v>6285648312663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>
        <f>IFERROR(__xludf.DUMMYFUNCTION("""COMPUTED_VALUE"""),450000.0)</f>
        <v>450000</v>
      </c>
      <c r="AJ272" s="42">
        <f>IFERROR(__xludf.DUMMYFUNCTION("""COMPUTED_VALUE"""),450000.0)</f>
        <v>450000</v>
      </c>
      <c r="AK272" s="42">
        <f>IFERROR(__xludf.DUMMYFUNCTION("""COMPUTED_VALUE"""),450000.0)</f>
        <v>450000</v>
      </c>
      <c r="AL272" s="42">
        <f>IFERROR(__xludf.DUMMYFUNCTION("""COMPUTED_VALUE"""),450000.0)</f>
        <v>450000</v>
      </c>
      <c r="AM272" s="42">
        <f>IFERROR(__xludf.DUMMYFUNCTION("""COMPUTED_VALUE"""),450000.0)</f>
        <v>450000</v>
      </c>
      <c r="AN272" s="42">
        <f>IFERROR(__xludf.DUMMYFUNCTION("""COMPUTED_VALUE"""),450000.0)</f>
        <v>450000</v>
      </c>
      <c r="AO272" s="42"/>
      <c r="AP272" s="42"/>
      <c r="AQ272" s="42"/>
      <c r="AR272" s="42"/>
      <c r="AS272" s="43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IFERROR(__xludf.DUMMYFUNCTION("""COMPUTED_VALUE"""),2700000.0)</f>
        <v>2700000</v>
      </c>
      <c r="BD272" s="43">
        <f>IFERROR(__xludf.DUMMYFUNCTION("""COMPUTED_VALUE"""),0.0)</f>
        <v>0</v>
      </c>
      <c r="BE272" s="43">
        <f>IFERROR(__xludf.DUMMYFUNCTION("""COMPUTED_VALUE"""),0.0)</f>
        <v>0</v>
      </c>
      <c r="BF272" s="44">
        <f>IFERROR(__xludf.DUMMYFUNCTION("""COMPUTED_VALUE"""),2700000.0)</f>
        <v>2700000</v>
      </c>
      <c r="BG272" s="56"/>
      <c r="BH272" s="56"/>
      <c r="BI272" s="5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</row>
    <row r="273">
      <c r="A273" s="47">
        <f>IFERROR(__xludf.DUMMYFUNCTION("""COMPUTED_VALUE"""),272.0)</f>
        <v>272</v>
      </c>
      <c r="B273" s="48" t="str">
        <f>IFERROR(__xludf.DUMMYFUNCTION("""COMPUTED_VALUE"""),"RIZQINA AYU CAHYA KAMILA")</f>
        <v>RIZQINA AYU CAHYA KAMILA</v>
      </c>
      <c r="C273" s="49">
        <f>IFERROR(__xludf.DUMMYFUNCTION("""COMPUTED_VALUE"""),2.024070594E9)</f>
        <v>2024070594</v>
      </c>
      <c r="D273" s="48" t="str">
        <f>IFERROR(__xludf.DUMMYFUNCTION("""COMPUTED_VALUE"""),"SUJONO")</f>
        <v>SUJONO</v>
      </c>
      <c r="E273" s="48" t="str">
        <f>IFERROR(__xludf.DUMMYFUNCTION("""COMPUTED_VALUE"""),"MUHAIMINAH")</f>
        <v>MUHAIMINAH</v>
      </c>
      <c r="F273" s="48" t="str">
        <f>IFERROR(__xludf.DUMMYFUNCTION("""COMPUTED_VALUE"""),"GLUMO JELAKCATUR RT 002 RW 005 KALITENGAH LAMONGAN")</f>
        <v>GLUMO JELAKCATUR RT 002 RW 005 KALITENGAH LAMONGAN</v>
      </c>
      <c r="G273" s="49" t="str">
        <f>IFERROR(__xludf.DUMMYFUNCTION("""COMPUTED_VALUE"""),"MTS-9 B")</f>
        <v>MTS-9 B</v>
      </c>
      <c r="H273" s="47" t="str">
        <f>IFERROR(__xludf.DUMMYFUNCTION("""COMPUTED_VALUE"""),"D")</f>
        <v>D</v>
      </c>
      <c r="I273" s="51" t="str">
        <f>IFERROR(__xludf.DUMMYFUNCTION("""COMPUTED_VALUE"""),"D-4")</f>
        <v>D-4</v>
      </c>
      <c r="J273" s="51">
        <f>IFERROR(__xludf.DUMMYFUNCTION("""COMPUTED_VALUE"""),3.0)</f>
        <v>3</v>
      </c>
      <c r="K273" s="51" t="str">
        <f>IFERROR(__xludf.DUMMYFUNCTION("""COMPUTED_VALUE"""),"3 ULA A PUTRI")</f>
        <v>3 ULA A PUTRI</v>
      </c>
      <c r="L273" s="50" t="str">
        <f>IFERROR(__xludf.DUMMYFUNCTION("""COMPUTED_VALUE"""),"6285746855951")</f>
        <v>6285746855951</v>
      </c>
      <c r="M273" s="54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4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4"/>
      <c r="AP273" s="54"/>
      <c r="AQ273" s="53"/>
      <c r="AR273" s="54"/>
      <c r="AS273" s="54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IFERROR(__xludf.DUMMYFUNCTION("""COMPUTED_VALUE"""),0.0)</f>
        <v>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IFERROR(__xludf.DUMMYFUNCTION("""COMPUTED_VALUE"""),0.0)</f>
        <v>0</v>
      </c>
      <c r="BG273" s="57"/>
      <c r="BH273" s="57"/>
      <c r="BI273" s="57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</row>
    <row r="274">
      <c r="A274" s="36">
        <f>IFERROR(__xludf.DUMMYFUNCTION("""COMPUTED_VALUE"""),273.0)</f>
        <v>273</v>
      </c>
      <c r="B274" s="37" t="str">
        <f>IFERROR(__xludf.DUMMYFUNCTION("""COMPUTED_VALUE"""),"SALSABILLA DWI APRILLIA")</f>
        <v>SALSABILLA DWI APRILLIA</v>
      </c>
      <c r="C274" s="38">
        <f>IFERROR(__xludf.DUMMYFUNCTION("""COMPUTED_VALUE"""),2.024090774E9)</f>
        <v>2024090774</v>
      </c>
      <c r="D274" s="37" t="str">
        <f>IFERROR(__xludf.DUMMYFUNCTION("""COMPUTED_VALUE"""),"BAMBANG BUDIONO")</f>
        <v>BAMBANG BUDIONO</v>
      </c>
      <c r="E274" s="37" t="str">
        <f>IFERROR(__xludf.DUMMYFUNCTION("""COMPUTED_VALUE"""),"ERNA WATI")</f>
        <v>ERNA WATI</v>
      </c>
      <c r="F274" s="37" t="str">
        <f>IFERROR(__xludf.DUMMYFUNCTION("""COMPUTED_VALUE"""),"DORO KARANGWEDORO RT 006 RW 004 TURI LAMONGAN")</f>
        <v>DORO KARANGWEDORO RT 006 RW 004 TURI LAMONGAN</v>
      </c>
      <c r="G274" s="38" t="str">
        <f>IFERROR(__xludf.DUMMYFUNCTION("""COMPUTED_VALUE"""),"MTS-9 H")</f>
        <v>MTS-9 H</v>
      </c>
      <c r="H274" s="36" t="str">
        <f>IFERROR(__xludf.DUMMYFUNCTION("""COMPUTED_VALUE"""),"D")</f>
        <v>D</v>
      </c>
      <c r="I274" s="40" t="str">
        <f>IFERROR(__xludf.DUMMYFUNCTION("""COMPUTED_VALUE"""),"D-4")</f>
        <v>D-4</v>
      </c>
      <c r="J274" s="40">
        <f>IFERROR(__xludf.DUMMYFUNCTION("""COMPUTED_VALUE"""),3.0)</f>
        <v>3</v>
      </c>
      <c r="K274" s="40" t="str">
        <f>IFERROR(__xludf.DUMMYFUNCTION("""COMPUTED_VALUE"""),"")</f>
        <v/>
      </c>
      <c r="L274" s="39" t="str">
        <f>IFERROR(__xludf.DUMMYFUNCTION("""COMPUTED_VALUE"""),"6285648660015")</f>
        <v>6285648660015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>
        <f>IFERROR(__xludf.DUMMYFUNCTION("""COMPUTED_VALUE"""),500000.0)</f>
        <v>500000</v>
      </c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3"/>
      <c r="AN274" s="43"/>
      <c r="AO274" s="43"/>
      <c r="AP274" s="42">
        <f>IFERROR(__xludf.DUMMYFUNCTION("""COMPUTED_VALUE"""),500000.0)</f>
        <v>500000</v>
      </c>
      <c r="AQ274" s="43"/>
      <c r="AR274" s="43"/>
      <c r="AS274" s="43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IFERROR(__xludf.DUMMYFUNCTION("""COMPUTED_VALUE"""),0.0)</f>
        <v>0</v>
      </c>
      <c r="BD274" s="43">
        <f>IFERROR(__xludf.DUMMYFUNCTION("""COMPUTED_VALUE"""),1000000.0)</f>
        <v>1000000</v>
      </c>
      <c r="BE274" s="43">
        <f>IFERROR(__xludf.DUMMYFUNCTION("""COMPUTED_VALUE"""),0.0)</f>
        <v>0</v>
      </c>
      <c r="BF274" s="44">
        <f>IFERROR(__xludf.DUMMYFUNCTION("""COMPUTED_VALUE"""),1000000.0)</f>
        <v>1000000</v>
      </c>
      <c r="BG274" s="56"/>
      <c r="BH274" s="56"/>
      <c r="BI274" s="5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</row>
    <row r="275">
      <c r="A275" s="47">
        <f>IFERROR(__xludf.DUMMYFUNCTION("""COMPUTED_VALUE"""),274.0)</f>
        <v>274</v>
      </c>
      <c r="B275" s="48" t="str">
        <f>IFERROR(__xludf.DUMMYFUNCTION("""COMPUTED_VALUE"""),"SYAFAAH LAILATIL FITRI")</f>
        <v>SYAFAAH LAILATIL FITRI</v>
      </c>
      <c r="C275" s="49">
        <f>IFERROR(__xludf.DUMMYFUNCTION("""COMPUTED_VALUE"""),2.024070548E9)</f>
        <v>2024070548</v>
      </c>
      <c r="D275" s="48" t="str">
        <f>IFERROR(__xludf.DUMMYFUNCTION("""COMPUTED_VALUE"""),"SYARONI")</f>
        <v>SYARONI</v>
      </c>
      <c r="E275" s="48" t="str">
        <f>IFERROR(__xludf.DUMMYFUNCTION("""COMPUTED_VALUE"""),"DEWI HARTINI")</f>
        <v>DEWI HARTINI</v>
      </c>
      <c r="F275" s="48" t="str">
        <f>IFERROR(__xludf.DUMMYFUNCTION("""COMPUTED_VALUE"""),"SUMBERWUDI RT 001 RW 002 KARANGGENENG LAMONGAN")</f>
        <v>SUMBERWUDI RT 001 RW 002 KARANGGENENG LAMONGAN</v>
      </c>
      <c r="G275" s="49" t="str">
        <f>IFERROR(__xludf.DUMMYFUNCTION("""COMPUTED_VALUE"""),"MTS-9 A")</f>
        <v>MTS-9 A</v>
      </c>
      <c r="H275" s="47" t="str">
        <f>IFERROR(__xludf.DUMMYFUNCTION("""COMPUTED_VALUE"""),"D")</f>
        <v>D</v>
      </c>
      <c r="I275" s="51" t="str">
        <f>IFERROR(__xludf.DUMMYFUNCTION("""COMPUTED_VALUE"""),"D-7")</f>
        <v>D-7</v>
      </c>
      <c r="J275" s="51">
        <f>IFERROR(__xludf.DUMMYFUNCTION("""COMPUTED_VALUE"""),3.0)</f>
        <v>3</v>
      </c>
      <c r="K275" s="51" t="str">
        <f>IFERROR(__xludf.DUMMYFUNCTION("""COMPUTED_VALUE"""),"")</f>
        <v/>
      </c>
      <c r="L275" s="50" t="str">
        <f>IFERROR(__xludf.DUMMYFUNCTION("""COMPUTED_VALUE"""),"6285648218063")</f>
        <v>6285648218063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4"/>
      <c r="AR275" s="54"/>
      <c r="AS275" s="54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IFERROR(__xludf.DUMMYFUNCTION("""COMPUTED_VALUE"""),0.0)</f>
        <v>0</v>
      </c>
      <c r="BE275" s="54">
        <f>IFERROR(__xludf.DUMMYFUNCTION("""COMPUTED_VALUE"""),0.0)</f>
        <v>0</v>
      </c>
      <c r="BF275" s="55">
        <f>IFERROR(__xludf.DUMMYFUNCTION("""COMPUTED_VALUE"""),0.0)</f>
        <v>0</v>
      </c>
      <c r="BG275" s="57"/>
      <c r="BH275" s="57"/>
      <c r="BI275" s="57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</row>
    <row r="276">
      <c r="A276" s="36">
        <f>IFERROR(__xludf.DUMMYFUNCTION("""COMPUTED_VALUE"""),275.0)</f>
        <v>275</v>
      </c>
      <c r="B276" s="37" t="str">
        <f>IFERROR(__xludf.DUMMYFUNCTION("""COMPUTED_VALUE"""),"A`ISY SANIYA AZZAM")</f>
        <v>A`ISY SANIYA AZZAM</v>
      </c>
      <c r="C276" s="38">
        <f>IFERROR(__xludf.DUMMYFUNCTION("""COMPUTED_VALUE"""),2.02407037E9)</f>
        <v>2024070370</v>
      </c>
      <c r="D276" s="37" t="str">
        <f>IFERROR(__xludf.DUMMYFUNCTION("""COMPUTED_VALUE"""),"SAIIN")</f>
        <v>SAIIN</v>
      </c>
      <c r="E276" s="37" t="str">
        <f>IFERROR(__xludf.DUMMYFUNCTION("""COMPUTED_VALUE"""),"ANISWATUL HASANAH")</f>
        <v>ANISWATUL HASANAH</v>
      </c>
      <c r="F276" s="37" t="str">
        <f>IFERROR(__xludf.DUMMYFUNCTION("""COMPUTED_VALUE"""),"BALAN BANJAREJO RT 4 RW 6 SUKODADI LAMONGAN")</f>
        <v>BALAN BANJAREJO RT 4 RW 6 SUKODADI LAMONGAN</v>
      </c>
      <c r="G276" s="38" t="str">
        <f>IFERROR(__xludf.DUMMYFUNCTION("""COMPUTED_VALUE"""),"MA-XII.12")</f>
        <v>MA-XII.12</v>
      </c>
      <c r="H276" s="36" t="str">
        <f>IFERROR(__xludf.DUMMYFUNCTION("""COMPUTED_VALUE"""),"D")</f>
        <v>D</v>
      </c>
      <c r="I276" s="40" t="str">
        <f>IFERROR(__xludf.DUMMYFUNCTION("""COMPUTED_VALUE"""),"D-6")</f>
        <v>D-6</v>
      </c>
      <c r="J276" s="40">
        <f>IFERROR(__xludf.DUMMYFUNCTION("""COMPUTED_VALUE"""),3.0)</f>
        <v>3</v>
      </c>
      <c r="K276" s="40" t="str">
        <f>IFERROR(__xludf.DUMMYFUNCTION("""COMPUTED_VALUE"""),"")</f>
        <v/>
      </c>
      <c r="L276" s="39" t="str">
        <f>IFERROR(__xludf.DUMMYFUNCTION("""COMPUTED_VALUE"""),"6285645020382")</f>
        <v>6285645020382</v>
      </c>
      <c r="M276" s="43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3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>
        <f>IFERROR(__xludf.DUMMYFUNCTION("""COMPUTED_VALUE"""),450000.0)</f>
        <v>450000</v>
      </c>
      <c r="AM276" s="42">
        <f>IFERROR(__xludf.DUMMYFUNCTION("""COMPUTED_VALUE"""),450000.0)</f>
        <v>450000</v>
      </c>
      <c r="AN276" s="42">
        <f>IFERROR(__xludf.DUMMYFUNCTION("""COMPUTED_VALUE"""),450000.0)</f>
        <v>450000</v>
      </c>
      <c r="AO276" s="43"/>
      <c r="AP276" s="43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IFERROR(__xludf.DUMMYFUNCTION("""COMPUTED_VALUE"""),1350000.0)</f>
        <v>1350000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IFERROR(__xludf.DUMMYFUNCTION("""COMPUTED_VALUE"""),1350000.0)</f>
        <v>1350000</v>
      </c>
      <c r="BG276" s="56"/>
      <c r="BH276" s="56"/>
      <c r="BI276" s="5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</row>
    <row r="277">
      <c r="A277" s="47">
        <f>IFERROR(__xludf.DUMMYFUNCTION("""COMPUTED_VALUE"""),276.0)</f>
        <v>276</v>
      </c>
      <c r="B277" s="48" t="str">
        <f>IFERROR(__xludf.DUMMYFUNCTION("""COMPUTED_VALUE"""),"ADELIA ZAHRA ROSYIDAH")</f>
        <v>ADELIA ZAHRA ROSYIDAH</v>
      </c>
      <c r="C277" s="49">
        <f>IFERROR(__xludf.DUMMYFUNCTION("""COMPUTED_VALUE"""),2.024070565E9)</f>
        <v>2024070565</v>
      </c>
      <c r="D277" s="48" t="str">
        <f>IFERROR(__xludf.DUMMYFUNCTION("""COMPUTED_VALUE"""),"SUWOTO")</f>
        <v>SUWOTO</v>
      </c>
      <c r="E277" s="48" t="str">
        <f>IFERROR(__xludf.DUMMYFUNCTION("""COMPUTED_VALUE"""),"SUJIATI")</f>
        <v>SUJIATI</v>
      </c>
      <c r="F277" s="48" t="str">
        <f>IFERROR(__xludf.DUMMYFUNCTION("""COMPUTED_VALUE"""),"PINGGIRAN SUMBERAGUNG RT 002 RW 003 SUKODADI LAMONGAN")</f>
        <v>PINGGIRAN SUMBERAGUNG RT 002 RW 003 SUKODADI LAMONGAN</v>
      </c>
      <c r="G277" s="49" t="str">
        <f>IFERROR(__xludf.DUMMYFUNCTION("""COMPUTED_VALUE"""),"MTS-9 H")</f>
        <v>MTS-9 H</v>
      </c>
      <c r="H277" s="47" t="str">
        <f>IFERROR(__xludf.DUMMYFUNCTION("""COMPUTED_VALUE"""),"D")</f>
        <v>D</v>
      </c>
      <c r="I277" s="51" t="str">
        <f>IFERROR(__xludf.DUMMYFUNCTION("""COMPUTED_VALUE"""),"D-4")</f>
        <v>D-4</v>
      </c>
      <c r="J277" s="51">
        <f>IFERROR(__xludf.DUMMYFUNCTION("""COMPUTED_VALUE"""),3.0)</f>
        <v>3</v>
      </c>
      <c r="K277" s="51" t="str">
        <f>IFERROR(__xludf.DUMMYFUNCTION("""COMPUTED_VALUE"""),"3 ULA A PUTRI")</f>
        <v>3 ULA A PUTRI</v>
      </c>
      <c r="L277" s="50" t="str">
        <f>IFERROR(__xludf.DUMMYFUNCTION("""COMPUTED_VALUE"""),"6285733130659")</f>
        <v>6285733130659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4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IFERROR(__xludf.DUMMYFUNCTION("""COMPUTED_VALUE"""),0.0)</f>
        <v>0</v>
      </c>
      <c r="BE277" s="54">
        <f>IFERROR(__xludf.DUMMYFUNCTION("""COMPUTED_VALUE"""),0.0)</f>
        <v>0</v>
      </c>
      <c r="BF277" s="55">
        <f>IFERROR(__xludf.DUMMYFUNCTION("""COMPUTED_VALUE"""),0.0)</f>
        <v>0</v>
      </c>
      <c r="BG277" s="57"/>
      <c r="BH277" s="57"/>
      <c r="BI277" s="57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</row>
    <row r="278">
      <c r="A278" s="36">
        <f>IFERROR(__xludf.DUMMYFUNCTION("""COMPUTED_VALUE"""),277.0)</f>
        <v>277</v>
      </c>
      <c r="B278" s="37" t="str">
        <f>IFERROR(__xludf.DUMMYFUNCTION("""COMPUTED_VALUE"""),"ADINDA KHOIRUN NISWAH")</f>
        <v>ADINDA KHOIRUN NISWAH</v>
      </c>
      <c r="C278" s="38">
        <f>IFERROR(__xludf.DUMMYFUNCTION("""COMPUTED_VALUE"""),2.024070336E9)</f>
        <v>2024070336</v>
      </c>
      <c r="D278" s="37" t="str">
        <f>IFERROR(__xludf.DUMMYFUNCTION("""COMPUTED_VALUE"""),"RUDI ANAM")</f>
        <v>RUDI ANAM</v>
      </c>
      <c r="E278" s="37" t="str">
        <f>IFERROR(__xludf.DUMMYFUNCTION("""COMPUTED_VALUE"""),"ANI ROKHMATIN")</f>
        <v>ANI ROKHMATIN</v>
      </c>
      <c r="F278" s="37" t="str">
        <f>IFERROR(__xludf.DUMMYFUNCTION("""COMPUTED_VALUE"""),"GRIGIS SUMBERJO RT 3 RW 5 SARIREJO LAMONGAN")</f>
        <v>GRIGIS SUMBERJO RT 3 RW 5 SARIREJO LAMONGAN</v>
      </c>
      <c r="G278" s="38" t="str">
        <f>IFERROR(__xludf.DUMMYFUNCTION("""COMPUTED_VALUE"""),"MA-XII.11")</f>
        <v>MA-XII.11</v>
      </c>
      <c r="H278" s="36" t="str">
        <f>IFERROR(__xludf.DUMMYFUNCTION("""COMPUTED_VALUE"""),"D")</f>
        <v>D</v>
      </c>
      <c r="I278" s="40" t="str">
        <f>IFERROR(__xludf.DUMMYFUNCTION("""COMPUTED_VALUE"""),"D-6")</f>
        <v>D-6</v>
      </c>
      <c r="J278" s="40">
        <f>IFERROR(__xludf.DUMMYFUNCTION("""COMPUTED_VALUE"""),3.0)</f>
        <v>3</v>
      </c>
      <c r="K278" s="40" t="str">
        <f>IFERROR(__xludf.DUMMYFUNCTION("""COMPUTED_VALUE"""),"3 WUSTHO C PUTRI")</f>
        <v>3 WUSTHO C PUTRI</v>
      </c>
      <c r="L278" s="39" t="str">
        <f>IFERROR(__xludf.DUMMYFUNCTION("""COMPUTED_VALUE"""),"6283833507477")</f>
        <v>6283833507477</v>
      </c>
      <c r="M278" s="43"/>
      <c r="N278" s="42"/>
      <c r="O278" s="42"/>
      <c r="P278" s="42"/>
      <c r="Q278" s="42"/>
      <c r="R278" s="42"/>
      <c r="S278" s="42"/>
      <c r="T278" s="42"/>
      <c r="U278" s="43"/>
      <c r="V278" s="43"/>
      <c r="W278" s="43"/>
      <c r="X278" s="43"/>
      <c r="Y278" s="43"/>
      <c r="Z278" s="43"/>
      <c r="AA278" s="42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IFERROR(__xludf.DUMMYFUNCTION("""COMPUTED_VALUE"""),0.0)</f>
        <v>0</v>
      </c>
      <c r="BD278" s="43">
        <f>IFERROR(__xludf.DUMMYFUNCTION("""COMPUTED_VALUE"""),0.0)</f>
        <v>0</v>
      </c>
      <c r="BE278" s="43">
        <f>IFERROR(__xludf.DUMMYFUNCTION("""COMPUTED_VALUE"""),0.0)</f>
        <v>0</v>
      </c>
      <c r="BF278" s="44">
        <f>IFERROR(__xludf.DUMMYFUNCTION("""COMPUTED_VALUE"""),0.0)</f>
        <v>0</v>
      </c>
      <c r="BG278" s="56"/>
      <c r="BH278" s="56"/>
      <c r="BI278" s="5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</row>
    <row r="279">
      <c r="A279" s="47">
        <f>IFERROR(__xludf.DUMMYFUNCTION("""COMPUTED_VALUE"""),278.0)</f>
        <v>278</v>
      </c>
      <c r="B279" s="48" t="str">
        <f>IFERROR(__xludf.DUMMYFUNCTION("""COMPUTED_VALUE"""),"ANGEL CYNTYA DEWI MAULIDAH")</f>
        <v>ANGEL CYNTYA DEWI MAULIDAH</v>
      </c>
      <c r="C279" s="49">
        <f>IFERROR(__xludf.DUMMYFUNCTION("""COMPUTED_VALUE"""),2.024070002E9)</f>
        <v>2024070002</v>
      </c>
      <c r="D279" s="48" t="str">
        <f>IFERROR(__xludf.DUMMYFUNCTION("""COMPUTED_VALUE"""),"NOVAN SISWANTO")</f>
        <v>NOVAN SISWANTO</v>
      </c>
      <c r="E279" s="48" t="str">
        <f>IFERROR(__xludf.DUMMYFUNCTION("""COMPUTED_VALUE"""),"NUR AFIFAH")</f>
        <v>NUR AFIFAH</v>
      </c>
      <c r="F279" s="48" t="str">
        <f>IFERROR(__xludf.DUMMYFUNCTION("""COMPUTED_VALUE"""),"PESAPEN I/27 KREMBANGAN UTARA RT 005 RW 001 PABEAN CANTIAN SURABAYA")</f>
        <v>PESAPEN I/27 KREMBANGAN UTARA RT 005 RW 001 PABEAN CANTIAN SURABAYA</v>
      </c>
      <c r="G279" s="49" t="str">
        <f>IFERROR(__xludf.DUMMYFUNCTION("""COMPUTED_VALUE"""),"MA-XII.1")</f>
        <v>MA-XII.1</v>
      </c>
      <c r="H279" s="47" t="str">
        <f>IFERROR(__xludf.DUMMYFUNCTION("""COMPUTED_VALUE"""),"D")</f>
        <v>D</v>
      </c>
      <c r="I279" s="51" t="str">
        <f>IFERROR(__xludf.DUMMYFUNCTION("""COMPUTED_VALUE"""),"D-7")</f>
        <v>D-7</v>
      </c>
      <c r="J279" s="51">
        <f>IFERROR(__xludf.DUMMYFUNCTION("""COMPUTED_VALUE"""),3.0)</f>
        <v>3</v>
      </c>
      <c r="K279" s="51" t="str">
        <f>IFERROR(__xludf.DUMMYFUNCTION("""COMPUTED_VALUE"""),"")</f>
        <v/>
      </c>
      <c r="L279" s="50" t="str">
        <f>IFERROR(__xludf.DUMMYFUNCTION("""COMPUTED_VALUE"""),"6282140638884")</f>
        <v>6282140638884</v>
      </c>
      <c r="M279" s="53">
        <f>IFERROR(__xludf.DUMMYFUNCTION("""COMPUTED_VALUE"""),600000.0)</f>
        <v>600000</v>
      </c>
      <c r="N279" s="53"/>
      <c r="O279" s="53"/>
      <c r="P279" s="53"/>
      <c r="Q279" s="53">
        <f>IFERROR(__xludf.DUMMYFUNCTION("""COMPUTED_VALUE"""),450000.0)</f>
        <v>450000</v>
      </c>
      <c r="R279" s="53">
        <f>IFERROR(__xludf.DUMMYFUNCTION("""COMPUTED_VALUE"""),450000.0)</f>
        <v>450000</v>
      </c>
      <c r="S279" s="53">
        <f>IFERROR(__xludf.DUMMYFUNCTION("""COMPUTED_VALUE"""),450000.0)</f>
        <v>450000</v>
      </c>
      <c r="T279" s="53">
        <f>IFERROR(__xludf.DUMMYFUNCTION("""COMPUTED_VALUE"""),450000.0)</f>
        <v>450000</v>
      </c>
      <c r="U279" s="53">
        <f>IFERROR(__xludf.DUMMYFUNCTION("""COMPUTED_VALUE"""),450000.0)</f>
        <v>450000</v>
      </c>
      <c r="V279" s="53">
        <f>IFERROR(__xludf.DUMMYFUNCTION("""COMPUTED_VALUE"""),450000.0)</f>
        <v>450000</v>
      </c>
      <c r="W279" s="53">
        <f>IFERROR(__xludf.DUMMYFUNCTION("""COMPUTED_VALUE"""),450000.0)</f>
        <v>450000</v>
      </c>
      <c r="X279" s="53">
        <f>IFERROR(__xludf.DUMMYFUNCTION("""COMPUTED_VALUE"""),450000.0)</f>
        <v>450000</v>
      </c>
      <c r="Y279" s="53">
        <f>IFERROR(__xludf.DUMMYFUNCTION("""COMPUTED_VALUE"""),450000.0)</f>
        <v>450000</v>
      </c>
      <c r="Z279" s="53">
        <f>IFERROR(__xludf.DUMMYFUNCTION("""COMPUTED_VALUE"""),450000.0)</f>
        <v>450000</v>
      </c>
      <c r="AA279" s="53"/>
      <c r="AB279" s="53">
        <f>IFERROR(__xludf.DUMMYFUNCTION("""COMPUTED_VALUE"""),500000.0)</f>
        <v>500000</v>
      </c>
      <c r="AC279" s="53">
        <f>IFERROR(__xludf.DUMMYFUNCTION("""COMPUTED_VALUE"""),450000.0)</f>
        <v>450000</v>
      </c>
      <c r="AD279" s="53">
        <f>IFERROR(__xludf.DUMMYFUNCTION("""COMPUTED_VALUE"""),450000.0)</f>
        <v>450000</v>
      </c>
      <c r="AE279" s="53">
        <f>IFERROR(__xludf.DUMMYFUNCTION("""COMPUTED_VALUE"""),450000.0)</f>
        <v>450000</v>
      </c>
      <c r="AF279" s="53">
        <f>IFERROR(__xludf.DUMMYFUNCTION("""COMPUTED_VALUE"""),450000.0)</f>
        <v>450000</v>
      </c>
      <c r="AG279" s="53">
        <f>IFERROR(__xludf.DUMMYFUNCTION("""COMPUTED_VALUE"""),450000.0)</f>
        <v>450000</v>
      </c>
      <c r="AH279" s="53">
        <f>IFERROR(__xludf.DUMMYFUNCTION("""COMPUTED_VALUE"""),450000.0)</f>
        <v>450000</v>
      </c>
      <c r="AI279" s="53">
        <f>IFERROR(__xludf.DUMMYFUNCTION("""COMPUTED_VALUE"""),450000.0)</f>
        <v>450000</v>
      </c>
      <c r="AJ279" s="53">
        <f>IFERROR(__xludf.DUMMYFUNCTION("""COMPUTED_VALUE"""),450000.0)</f>
        <v>450000</v>
      </c>
      <c r="AK279" s="53">
        <f>IFERROR(__xludf.DUMMYFUNCTION("""COMPUTED_VALUE"""),450000.0)</f>
        <v>450000</v>
      </c>
      <c r="AL279" s="53">
        <f>IFERROR(__xludf.DUMMYFUNCTION("""COMPUTED_VALUE"""),450000.0)</f>
        <v>450000</v>
      </c>
      <c r="AM279" s="53">
        <f>IFERROR(__xludf.DUMMYFUNCTION("""COMPUTED_VALUE"""),450000.0)</f>
        <v>450000</v>
      </c>
      <c r="AN279" s="54">
        <f>IFERROR(__xludf.DUMMYFUNCTION("""COMPUTED_VALUE"""),450000.0)</f>
        <v>450000</v>
      </c>
      <c r="AO279" s="54"/>
      <c r="AP279" s="53">
        <f>IFERROR(__xludf.DUMMYFUNCTION("""COMPUTED_VALUE"""),500000.0)</f>
        <v>500000</v>
      </c>
      <c r="AQ279" s="54"/>
      <c r="AR279" s="54"/>
      <c r="AS279" s="54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IFERROR(__xludf.DUMMYFUNCTION("""COMPUTED_VALUE"""),9900000.0)</f>
        <v>9900000</v>
      </c>
      <c r="BD279" s="54">
        <f>IFERROR(__xludf.DUMMYFUNCTION("""COMPUTED_VALUE"""),1600000.0)</f>
        <v>1600000</v>
      </c>
      <c r="BE279" s="54">
        <f>IFERROR(__xludf.DUMMYFUNCTION("""COMPUTED_VALUE"""),0.0)</f>
        <v>0</v>
      </c>
      <c r="BF279" s="55">
        <f>IFERROR(__xludf.DUMMYFUNCTION("""COMPUTED_VALUE"""),1.15E7)</f>
        <v>11500000</v>
      </c>
      <c r="BG279" s="57"/>
      <c r="BH279" s="57"/>
      <c r="BI279" s="57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</row>
    <row r="280">
      <c r="A280" s="36">
        <f>IFERROR(__xludf.DUMMYFUNCTION("""COMPUTED_VALUE"""),279.0)</f>
        <v>279</v>
      </c>
      <c r="B280" s="37" t="str">
        <f>IFERROR(__xludf.DUMMYFUNCTION("""COMPUTED_VALUE"""),"CANTIKA ASSYARIFIYAH")</f>
        <v>CANTIKA ASSYARIFIYAH</v>
      </c>
      <c r="C280" s="38">
        <f>IFERROR(__xludf.DUMMYFUNCTION("""COMPUTED_VALUE"""),2.024070069E9)</f>
        <v>2024070069</v>
      </c>
      <c r="D280" s="37" t="str">
        <f>IFERROR(__xludf.DUMMYFUNCTION("""COMPUTED_VALUE"""),"SUKO WIYONO")</f>
        <v>SUKO WIYONO</v>
      </c>
      <c r="E280" s="37" t="str">
        <f>IFERROR(__xludf.DUMMYFUNCTION("""COMPUTED_VALUE"""),"SITI MARWIYA")</f>
        <v>SITI MARWIYA</v>
      </c>
      <c r="F280" s="37" t="str">
        <f>IFERROR(__xludf.DUMMYFUNCTION("""COMPUTED_VALUE"""),"NGAMBEG RT 1 RW 1 PUCUK LAMONGAN")</f>
        <v>NGAMBEG RT 1 RW 1 PUCUK LAMONGAN</v>
      </c>
      <c r="G280" s="38" t="str">
        <f>IFERROR(__xludf.DUMMYFUNCTION("""COMPUTED_VALUE"""),"MA-XII.3")</f>
        <v>MA-XII.3</v>
      </c>
      <c r="H280" s="36" t="str">
        <f>IFERROR(__xludf.DUMMYFUNCTION("""COMPUTED_VALUE"""),"D")</f>
        <v>D</v>
      </c>
      <c r="I280" s="40" t="str">
        <f>IFERROR(__xludf.DUMMYFUNCTION("""COMPUTED_VALUE"""),"D-6")</f>
        <v>D-6</v>
      </c>
      <c r="J280" s="40">
        <f>IFERROR(__xludf.DUMMYFUNCTION("""COMPUTED_VALUE"""),3.0)</f>
        <v>3</v>
      </c>
      <c r="K280" s="40" t="str">
        <f>IFERROR(__xludf.DUMMYFUNCTION("""COMPUTED_VALUE"""),"3 WUSTHO C PUTRI")</f>
        <v>3 WUSTHO C PUTRI</v>
      </c>
      <c r="L280" s="39" t="str">
        <f>IFERROR(__xludf.DUMMYFUNCTION("""COMPUTED_VALUE"""),"6285706485182")</f>
        <v>6285706485182</v>
      </c>
      <c r="M280" s="43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3"/>
      <c r="AP280" s="43"/>
      <c r="AQ280" s="43"/>
      <c r="AR280" s="43"/>
      <c r="AS280" s="43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IFERROR(__xludf.DUMMYFUNCTION("""COMPUTED_VALUE"""),0.0)</f>
        <v>0</v>
      </c>
      <c r="BE280" s="43">
        <f>IFERROR(__xludf.DUMMYFUNCTION("""COMPUTED_VALUE"""),0.0)</f>
        <v>0</v>
      </c>
      <c r="BF280" s="44">
        <f>IFERROR(__xludf.DUMMYFUNCTION("""COMPUTED_VALUE"""),0.0)</f>
        <v>0</v>
      </c>
      <c r="BG280" s="56"/>
      <c r="BH280" s="56"/>
      <c r="BI280" s="5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</row>
    <row r="281">
      <c r="A281" s="47">
        <f>IFERROR(__xludf.DUMMYFUNCTION("""COMPUTED_VALUE"""),280.0)</f>
        <v>280</v>
      </c>
      <c r="B281" s="48" t="str">
        <f>IFERROR(__xludf.DUMMYFUNCTION("""COMPUTED_VALUE"""),"DEWI ZAIDATUL RAHMA")</f>
        <v>DEWI ZAIDATUL RAHMA</v>
      </c>
      <c r="C281" s="49">
        <f>IFERROR(__xludf.DUMMYFUNCTION("""COMPUTED_VALUE"""),2.024070417E9)</f>
        <v>2024070417</v>
      </c>
      <c r="D281" s="48" t="str">
        <f>IFERROR(__xludf.DUMMYFUNCTION("""COMPUTED_VALUE"""),"ABU SUHARTONO")</f>
        <v>ABU SUHARTONO</v>
      </c>
      <c r="E281" s="48" t="str">
        <f>IFERROR(__xludf.DUMMYFUNCTION("""COMPUTED_VALUE"""),"SITI NUR KHOLIFAH")</f>
        <v>SITI NUR KHOLIFAH</v>
      </c>
      <c r="F281" s="48" t="str">
        <f>IFERROR(__xludf.DUMMYFUNCTION("""COMPUTED_VALUE"""),"BANJARSARI RT 001 RW 006 BANJARMADU KARANGGENENG LAMONGAN")</f>
        <v>BANJARSARI RT 001 RW 006 BANJARMADU KARANGGENENG LAMONGAN</v>
      </c>
      <c r="G281" s="49" t="str">
        <f>IFERROR(__xludf.DUMMYFUNCTION("""COMPUTED_VALUE"""),"MA-XII.13")</f>
        <v>MA-XII.13</v>
      </c>
      <c r="H281" s="47" t="str">
        <f>IFERROR(__xludf.DUMMYFUNCTION("""COMPUTED_VALUE"""),"D")</f>
        <v>D</v>
      </c>
      <c r="I281" s="51" t="str">
        <f>IFERROR(__xludf.DUMMYFUNCTION("""COMPUTED_VALUE"""),"D-6")</f>
        <v>D-6</v>
      </c>
      <c r="J281" s="51">
        <f>IFERROR(__xludf.DUMMYFUNCTION("""COMPUTED_VALUE"""),3.0)</f>
        <v>3</v>
      </c>
      <c r="K281" s="51" t="str">
        <f>IFERROR(__xludf.DUMMYFUNCTION("""COMPUTED_VALUE"""),"3 MAK PUTRI")</f>
        <v>3 MAK PUTRI</v>
      </c>
      <c r="L281" s="50" t="str">
        <f>IFERROR(__xludf.DUMMYFUNCTION("""COMPUTED_VALUE"""),"6283856332218")</f>
        <v>6283856332218</v>
      </c>
      <c r="M281" s="54"/>
      <c r="N281" s="53"/>
      <c r="O281" s="53"/>
      <c r="P281" s="53"/>
      <c r="Q281" s="53"/>
      <c r="R281" s="53"/>
      <c r="S281" s="53"/>
      <c r="T281" s="53"/>
      <c r="U281" s="53">
        <f>IFERROR(__xludf.DUMMYFUNCTION("""COMPUTED_VALUE"""),450000.0)</f>
        <v>450000</v>
      </c>
      <c r="V281" s="53">
        <f>IFERROR(__xludf.DUMMYFUNCTION("""COMPUTED_VALUE"""),450000.0)</f>
        <v>450000</v>
      </c>
      <c r="W281" s="53">
        <f>IFERROR(__xludf.DUMMYFUNCTION("""COMPUTED_VALUE"""),450000.0)</f>
        <v>450000</v>
      </c>
      <c r="X281" s="53">
        <f>IFERROR(__xludf.DUMMYFUNCTION("""COMPUTED_VALUE"""),450000.0)</f>
        <v>450000</v>
      </c>
      <c r="Y281" s="53">
        <f>IFERROR(__xludf.DUMMYFUNCTION("""COMPUTED_VALUE"""),450000.0)</f>
        <v>450000</v>
      </c>
      <c r="Z281" s="53">
        <f>IFERROR(__xludf.DUMMYFUNCTION("""COMPUTED_VALUE"""),450000.0)</f>
        <v>450000</v>
      </c>
      <c r="AA281" s="53">
        <f>IFERROR(__xludf.DUMMYFUNCTION("""COMPUTED_VALUE"""),350000.0)</f>
        <v>350000</v>
      </c>
      <c r="AB281" s="54"/>
      <c r="AC281" s="53">
        <f>IFERROR(__xludf.DUMMYFUNCTION("""COMPUTED_VALUE"""),450000.0)</f>
        <v>450000</v>
      </c>
      <c r="AD281" s="53">
        <f>IFERROR(__xludf.DUMMYFUNCTION("""COMPUTED_VALUE"""),450000.0)</f>
        <v>450000</v>
      </c>
      <c r="AE281" s="53">
        <f>IFERROR(__xludf.DUMMYFUNCTION("""COMPUTED_VALUE"""),450000.0)</f>
        <v>450000</v>
      </c>
      <c r="AF281" s="53">
        <f>IFERROR(__xludf.DUMMYFUNCTION("""COMPUTED_VALUE"""),450000.0)</f>
        <v>450000</v>
      </c>
      <c r="AG281" s="53">
        <f>IFERROR(__xludf.DUMMYFUNCTION("""COMPUTED_VALUE"""),450000.0)</f>
        <v>450000</v>
      </c>
      <c r="AH281" s="53">
        <f>IFERROR(__xludf.DUMMYFUNCTION("""COMPUTED_VALUE"""),450000.0)</f>
        <v>450000</v>
      </c>
      <c r="AI281" s="53">
        <f>IFERROR(__xludf.DUMMYFUNCTION("""COMPUTED_VALUE"""),450000.0)</f>
        <v>450000</v>
      </c>
      <c r="AJ281" s="53">
        <f>IFERROR(__xludf.DUMMYFUNCTION("""COMPUTED_VALUE"""),450000.0)</f>
        <v>450000</v>
      </c>
      <c r="AK281" s="54">
        <f>IFERROR(__xludf.DUMMYFUNCTION("""COMPUTED_VALUE"""),450000.0)</f>
        <v>450000</v>
      </c>
      <c r="AL281" s="54">
        <f>IFERROR(__xludf.DUMMYFUNCTION("""COMPUTED_VALUE"""),450000.0)</f>
        <v>450000</v>
      </c>
      <c r="AM281" s="54">
        <f>IFERROR(__xludf.DUMMYFUNCTION("""COMPUTED_VALUE"""),450000.0)</f>
        <v>450000</v>
      </c>
      <c r="AN281" s="54">
        <f>IFERROR(__xludf.DUMMYFUNCTION("""COMPUTED_VALUE"""),450000.0)</f>
        <v>450000</v>
      </c>
      <c r="AO281" s="54"/>
      <c r="AP281" s="54"/>
      <c r="AQ281" s="54"/>
      <c r="AR281" s="54"/>
      <c r="AS281" s="54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IFERROR(__xludf.DUMMYFUNCTION("""COMPUTED_VALUE"""),8100000.0)</f>
        <v>8100000</v>
      </c>
      <c r="BD281" s="54">
        <f>IFERROR(__xludf.DUMMYFUNCTION("""COMPUTED_VALUE"""),0.0)</f>
        <v>0</v>
      </c>
      <c r="BE281" s="54">
        <f>IFERROR(__xludf.DUMMYFUNCTION("""COMPUTED_VALUE"""),350000.0)</f>
        <v>350000</v>
      </c>
      <c r="BF281" s="55">
        <f>IFERROR(__xludf.DUMMYFUNCTION("""COMPUTED_VALUE"""),8450000.0)</f>
        <v>8450000</v>
      </c>
      <c r="BG281" s="57"/>
      <c r="BH281" s="57"/>
      <c r="BI281" s="57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</row>
    <row r="282">
      <c r="A282" s="36">
        <f>IFERROR(__xludf.DUMMYFUNCTION("""COMPUTED_VALUE"""),281.0)</f>
        <v>281</v>
      </c>
      <c r="B282" s="37" t="str">
        <f>IFERROR(__xludf.DUMMYFUNCTION("""COMPUTED_VALUE"""),"DILLA ADHATUL FITRI")</f>
        <v>DILLA ADHATUL FITRI</v>
      </c>
      <c r="C282" s="38">
        <f>IFERROR(__xludf.DUMMYFUNCTION("""COMPUTED_VALUE"""),2.024070004E9)</f>
        <v>2024070004</v>
      </c>
      <c r="D282" s="37" t="str">
        <f>IFERROR(__xludf.DUMMYFUNCTION("""COMPUTED_VALUE"""),"NASIKHIH")</f>
        <v>NASIKHIH</v>
      </c>
      <c r="E282" s="37" t="str">
        <f>IFERROR(__xludf.DUMMYFUNCTION("""COMPUTED_VALUE"""),"MUKHOLISUN")</f>
        <v>MUKHOLISUN</v>
      </c>
      <c r="F282" s="37" t="str">
        <f>IFERROR(__xludf.DUMMYFUNCTION("""COMPUTED_VALUE"""),"PILANG TEJOASRI RT 1 RW 2 LAREN LAMONGAN")</f>
        <v>PILANG TEJOASRI RT 1 RW 2 LAREN LAMONGAN</v>
      </c>
      <c r="G282" s="38" t="str">
        <f>IFERROR(__xludf.DUMMYFUNCTION("""COMPUTED_VALUE"""),"MA-XII.1")</f>
        <v>MA-XII.1</v>
      </c>
      <c r="H282" s="36" t="str">
        <f>IFERROR(__xludf.DUMMYFUNCTION("""COMPUTED_VALUE"""),"D")</f>
        <v>D</v>
      </c>
      <c r="I282" s="40" t="str">
        <f>IFERROR(__xludf.DUMMYFUNCTION("""COMPUTED_VALUE"""),"D-7")</f>
        <v>D-7</v>
      </c>
      <c r="J282" s="40">
        <f>IFERROR(__xludf.DUMMYFUNCTION("""COMPUTED_VALUE"""),3.0)</f>
        <v>3</v>
      </c>
      <c r="K282" s="40" t="str">
        <f>IFERROR(__xludf.DUMMYFUNCTION("""COMPUTED_VALUE"""),"")</f>
        <v/>
      </c>
      <c r="L282" s="39" t="str">
        <f>IFERROR(__xludf.DUMMYFUNCTION("""COMPUTED_VALUE"""),"6282198021057")</f>
        <v>6282198021057</v>
      </c>
      <c r="M282" s="43">
        <f>IFERROR(__xludf.DUMMYFUNCTION("""COMPUTED_VALUE"""),600000.0)</f>
        <v>600000</v>
      </c>
      <c r="N282" s="42"/>
      <c r="O282" s="42"/>
      <c r="P282" s="42"/>
      <c r="Q282" s="42"/>
      <c r="R282" s="42"/>
      <c r="S282" s="43"/>
      <c r="T282" s="43"/>
      <c r="U282" s="43"/>
      <c r="V282" s="43"/>
      <c r="W282" s="43"/>
      <c r="X282" s="43"/>
      <c r="Y282" s="43"/>
      <c r="Z282" s="43"/>
      <c r="AA282" s="43"/>
      <c r="AB282" s="43">
        <f>IFERROR(__xludf.DUMMYFUNCTION("""COMPUTED_VALUE"""),500000.0)</f>
        <v>500000</v>
      </c>
      <c r="AC282" s="43"/>
      <c r="AD282" s="43"/>
      <c r="AE282" s="43"/>
      <c r="AF282" s="43"/>
      <c r="AG282" s="43"/>
      <c r="AH282" s="43"/>
      <c r="AI282" s="43"/>
      <c r="AJ282" s="43" t="str">
        <f>IFERROR(__xludf.DUMMYFUNCTION("""COMPUTED_VALUE""")," ")</f>
        <v> </v>
      </c>
      <c r="AK282" s="43"/>
      <c r="AL282" s="43"/>
      <c r="AM282" s="43"/>
      <c r="AN282" s="43"/>
      <c r="AO282" s="43"/>
      <c r="AP282" s="43">
        <f>IFERROR(__xludf.DUMMYFUNCTION("""COMPUTED_VALUE"""),500000.0)</f>
        <v>500000</v>
      </c>
      <c r="AQ282" s="43"/>
      <c r="AR282" s="43"/>
      <c r="AS282" s="43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IFERROR(__xludf.DUMMYFUNCTION("""COMPUTED_VALUE"""),1600000.0)</f>
        <v>1600000</v>
      </c>
      <c r="BE282" s="43">
        <f>IFERROR(__xludf.DUMMYFUNCTION("""COMPUTED_VALUE"""),0.0)</f>
        <v>0</v>
      </c>
      <c r="BF282" s="44">
        <f>IFERROR(__xludf.DUMMYFUNCTION("""COMPUTED_VALUE"""),1600000.0)</f>
        <v>1600000</v>
      </c>
      <c r="BG282" s="56"/>
      <c r="BH282" s="56"/>
      <c r="BI282" s="5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</row>
    <row r="283">
      <c r="A283" s="47">
        <f>IFERROR(__xludf.DUMMYFUNCTION("""COMPUTED_VALUE"""),282.0)</f>
        <v>282</v>
      </c>
      <c r="B283" s="48" t="str">
        <f>IFERROR(__xludf.DUMMYFUNCTION("""COMPUTED_VALUE"""),"DINDA FAIZIRAH ZAHROTUS SITA")</f>
        <v>DINDA FAIZIRAH ZAHROTUS SITA</v>
      </c>
      <c r="C283" s="49">
        <f>IFERROR(__xludf.DUMMYFUNCTION("""COMPUTED_VALUE"""),2.024070005E9)</f>
        <v>2024070005</v>
      </c>
      <c r="D283" s="48" t="str">
        <f>IFERROR(__xludf.DUMMYFUNCTION("""COMPUTED_VALUE"""),"IMAM UDDIN")</f>
        <v>IMAM UDDIN</v>
      </c>
      <c r="E283" s="48" t="str">
        <f>IFERROR(__xludf.DUMMYFUNCTION("""COMPUTED_VALUE"""),"WIWIN WINARTIN")</f>
        <v>WIWIN WINARTIN</v>
      </c>
      <c r="F283" s="48" t="str">
        <f>IFERROR(__xludf.DUMMYFUNCTION("""COMPUTED_VALUE"""),"SUNGELEBAK RT 5 RW 2 KARANGGENENG LAMONGAN")</f>
        <v>SUNGELEBAK RT 5 RW 2 KARANGGENENG LAMONGAN</v>
      </c>
      <c r="G283" s="49" t="str">
        <f>IFERROR(__xludf.DUMMYFUNCTION("""COMPUTED_VALUE"""),"MA-XII.1")</f>
        <v>MA-XII.1</v>
      </c>
      <c r="H283" s="47" t="str">
        <f>IFERROR(__xludf.DUMMYFUNCTION("""COMPUTED_VALUE"""),"D")</f>
        <v>D</v>
      </c>
      <c r="I283" s="51" t="str">
        <f>IFERROR(__xludf.DUMMYFUNCTION("""COMPUTED_VALUE"""),"D-7")</f>
        <v>D-7</v>
      </c>
      <c r="J283" s="51">
        <f>IFERROR(__xludf.DUMMYFUNCTION("""COMPUTED_VALUE"""),3.0)</f>
        <v>3</v>
      </c>
      <c r="K283" s="51" t="str">
        <f>IFERROR(__xludf.DUMMYFUNCTION("""COMPUTED_VALUE"""),"")</f>
        <v/>
      </c>
      <c r="L283" s="50" t="str">
        <f>IFERROR(__xludf.DUMMYFUNCTION("""COMPUTED_VALUE"""),"628563468694")</f>
        <v>628563468694</v>
      </c>
      <c r="M283" s="54"/>
      <c r="N283" s="53"/>
      <c r="O283" s="53"/>
      <c r="P283" s="53"/>
      <c r="Q283" s="53"/>
      <c r="R283" s="53"/>
      <c r="S283" s="53"/>
      <c r="T283" s="53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 t="str">
        <f>IFERROR(__xludf.DUMMYFUNCTION("""COMPUTED_VALUE""")," ")</f>
        <v> </v>
      </c>
      <c r="AO283" s="54"/>
      <c r="AP283" s="54"/>
      <c r="AQ283" s="54"/>
      <c r="AR283" s="54"/>
      <c r="AS283" s="54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IFERROR(__xludf.DUMMYFUNCTION("""COMPUTED_VALUE"""),0.0)</f>
        <v>0</v>
      </c>
      <c r="BE283" s="54">
        <f>IFERROR(__xludf.DUMMYFUNCTION("""COMPUTED_VALUE"""),0.0)</f>
        <v>0</v>
      </c>
      <c r="BF283" s="55">
        <f>IFERROR(__xludf.DUMMYFUNCTION("""COMPUTED_VALUE"""),0.0)</f>
        <v>0</v>
      </c>
      <c r="BG283" s="57"/>
      <c r="BH283" s="57"/>
      <c r="BI283" s="57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</row>
    <row r="284">
      <c r="A284" s="36">
        <f>IFERROR(__xludf.DUMMYFUNCTION("""COMPUTED_VALUE"""),283.0)</f>
        <v>283</v>
      </c>
      <c r="B284" s="37" t="str">
        <f>IFERROR(__xludf.DUMMYFUNCTION("""COMPUTED_VALUE"""),"DZAKIRAH THALITA ZAHRA")</f>
        <v>DZAKIRAH THALITA ZAHRA</v>
      </c>
      <c r="C284" s="38">
        <f>IFERROR(__xludf.DUMMYFUNCTION("""COMPUTED_VALUE"""),2.024070374E9)</f>
        <v>2024070374</v>
      </c>
      <c r="D284" s="37" t="str">
        <f>IFERROR(__xludf.DUMMYFUNCTION("""COMPUTED_VALUE"""),"AHMAD ROHIM")</f>
        <v>AHMAD ROHIM</v>
      </c>
      <c r="E284" s="37" t="str">
        <f>IFERROR(__xludf.DUMMYFUNCTION("""COMPUTED_VALUE"""),"ZAHROTUN NISA'")</f>
        <v>ZAHROTUN NISA'</v>
      </c>
      <c r="F284" s="37" t="str">
        <f>IFERROR(__xludf.DUMMYFUNCTION("""COMPUTED_VALUE"""),"KARANGTAWAR RT 1 RW 1 LAREN LAMONGAN")</f>
        <v>KARANGTAWAR RT 1 RW 1 LAREN LAMONGAN</v>
      </c>
      <c r="G284" s="38" t="str">
        <f>IFERROR(__xludf.DUMMYFUNCTION("""COMPUTED_VALUE"""),"MA-XII.10")</f>
        <v>MA-XII.10</v>
      </c>
      <c r="H284" s="36" t="str">
        <f>IFERROR(__xludf.DUMMYFUNCTION("""COMPUTED_VALUE"""),"D")</f>
        <v>D</v>
      </c>
      <c r="I284" s="40" t="str">
        <f>IFERROR(__xludf.DUMMYFUNCTION("""COMPUTED_VALUE"""),"D-7")</f>
        <v>D-7</v>
      </c>
      <c r="J284" s="40">
        <f>IFERROR(__xludf.DUMMYFUNCTION("""COMPUTED_VALUE"""),3.0)</f>
        <v>3</v>
      </c>
      <c r="K284" s="40" t="str">
        <f>IFERROR(__xludf.DUMMYFUNCTION("""COMPUTED_VALUE"""),"")</f>
        <v/>
      </c>
      <c r="L284" s="39" t="str">
        <f>IFERROR(__xludf.DUMMYFUNCTION("""COMPUTED_VALUE"""),"6285856033004")</f>
        <v>6285856033004</v>
      </c>
      <c r="M284" s="43"/>
      <c r="N284" s="42"/>
      <c r="O284" s="42"/>
      <c r="P284" s="42"/>
      <c r="Q284" s="42"/>
      <c r="R284" s="42"/>
      <c r="S284" s="42"/>
      <c r="T284" s="42"/>
      <c r="U284" s="43"/>
      <c r="V284" s="43"/>
      <c r="W284" s="43"/>
      <c r="X284" s="43"/>
      <c r="Y284" s="43">
        <f>IFERROR(__xludf.DUMMYFUNCTION("""COMPUTED_VALUE"""),450000.0)</f>
        <v>450000</v>
      </c>
      <c r="Z284" s="43">
        <f>IFERROR(__xludf.DUMMYFUNCTION("""COMPUTED_VALUE"""),450000.0)</f>
        <v>450000</v>
      </c>
      <c r="AA284" s="43">
        <f>IFERROR(__xludf.DUMMYFUNCTION("""COMPUTED_VALUE"""),350000.0)</f>
        <v>350000</v>
      </c>
      <c r="AB284" s="43">
        <f>IFERROR(__xludf.DUMMYFUNCTION("""COMPUTED_VALUE"""),500000.0)</f>
        <v>500000</v>
      </c>
      <c r="AC284" s="43">
        <f>IFERROR(__xludf.DUMMYFUNCTION("""COMPUTED_VALUE"""),450000.0)</f>
        <v>450000</v>
      </c>
      <c r="AD284" s="43">
        <f>IFERROR(__xludf.DUMMYFUNCTION("""COMPUTED_VALUE"""),450000.0)</f>
        <v>450000</v>
      </c>
      <c r="AE284" s="43">
        <f>IFERROR(__xludf.DUMMYFUNCTION("""COMPUTED_VALUE"""),450000.0)</f>
        <v>450000</v>
      </c>
      <c r="AF284" s="43">
        <f>IFERROR(__xludf.DUMMYFUNCTION("""COMPUTED_VALUE"""),450000.0)</f>
        <v>450000</v>
      </c>
      <c r="AG284" s="43">
        <f>IFERROR(__xludf.DUMMYFUNCTION("""COMPUTED_VALUE"""),450000.0)</f>
        <v>450000</v>
      </c>
      <c r="AH284" s="43">
        <f>IFERROR(__xludf.DUMMYFUNCTION("""COMPUTED_VALUE"""),450000.0)</f>
        <v>450000</v>
      </c>
      <c r="AI284" s="43">
        <f>IFERROR(__xludf.DUMMYFUNCTION("""COMPUTED_VALUE"""),450000.0)</f>
        <v>450000</v>
      </c>
      <c r="AJ284" s="43">
        <f>IFERROR(__xludf.DUMMYFUNCTION("""COMPUTED_VALUE"""),450000.0)</f>
        <v>450000</v>
      </c>
      <c r="AK284" s="43">
        <f>IFERROR(__xludf.DUMMYFUNCTION("""COMPUTED_VALUE"""),450000.0)</f>
        <v>450000</v>
      </c>
      <c r="AL284" s="43">
        <f>IFERROR(__xludf.DUMMYFUNCTION("""COMPUTED_VALUE"""),450000.0)</f>
        <v>450000</v>
      </c>
      <c r="AM284" s="43">
        <f>IFERROR(__xludf.DUMMYFUNCTION("""COMPUTED_VALUE"""),450000.0)</f>
        <v>450000</v>
      </c>
      <c r="AN284" s="43">
        <f>IFERROR(__xludf.DUMMYFUNCTION("""COMPUTED_VALUE"""),450000.0)</f>
        <v>450000</v>
      </c>
      <c r="AO284" s="43"/>
      <c r="AP284" s="43">
        <f>IFERROR(__xludf.DUMMYFUNCTION("""COMPUTED_VALUE"""),500000.0)</f>
        <v>500000</v>
      </c>
      <c r="AQ284" s="43"/>
      <c r="AR284" s="43"/>
      <c r="AS284" s="43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IFERROR(__xludf.DUMMYFUNCTION("""COMPUTED_VALUE"""),6300000.0)</f>
        <v>6300000</v>
      </c>
      <c r="BD284" s="43">
        <f>IFERROR(__xludf.DUMMYFUNCTION("""COMPUTED_VALUE"""),1000000.0)</f>
        <v>1000000</v>
      </c>
      <c r="BE284" s="43">
        <f>IFERROR(__xludf.DUMMYFUNCTION("""COMPUTED_VALUE"""),350000.0)</f>
        <v>350000</v>
      </c>
      <c r="BF284" s="44">
        <f>IFERROR(__xludf.DUMMYFUNCTION("""COMPUTED_VALUE"""),7650000.0)</f>
        <v>7650000</v>
      </c>
      <c r="BG284" s="56"/>
      <c r="BH284" s="56"/>
      <c r="BI284" s="5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</row>
    <row r="285">
      <c r="A285" s="47">
        <f>IFERROR(__xludf.DUMMYFUNCTION("""COMPUTED_VALUE"""),284.0)</f>
        <v>284</v>
      </c>
      <c r="B285" s="48" t="str">
        <f>IFERROR(__xludf.DUMMYFUNCTION("""COMPUTED_VALUE"""),"FIKA ANJANI CAMELIA AL AJEMAIN")</f>
        <v>FIKA ANJANI CAMELIA AL AJEMAIN</v>
      </c>
      <c r="C285" s="49">
        <f>IFERROR(__xludf.DUMMYFUNCTION("""COMPUTED_VALUE"""),2.024070007E9)</f>
        <v>2024070007</v>
      </c>
      <c r="D285" s="48" t="str">
        <f>IFERROR(__xludf.DUMMYFUNCTION("""COMPUTED_VALUE"""),"AJEMAIN")</f>
        <v>AJEMAIN</v>
      </c>
      <c r="E285" s="48" t="str">
        <f>IFERROR(__xludf.DUMMYFUNCTION("""COMPUTED_VALUE"""),"WIWIK MUHIDAYATI")</f>
        <v>WIWIK MUHIDAYATI</v>
      </c>
      <c r="F285" s="48" t="str">
        <f>IFERROR(__xludf.DUMMYFUNCTION("""COMPUTED_VALUE"""),"PELANGWOT RT 1 RW 6 LAREN LAMONGAN")</f>
        <v>PELANGWOT RT 1 RW 6 LAREN LAMONGAN</v>
      </c>
      <c r="G285" s="49" t="str">
        <f>IFERROR(__xludf.DUMMYFUNCTION("""COMPUTED_VALUE"""),"MA-XII.1")</f>
        <v>MA-XII.1</v>
      </c>
      <c r="H285" s="47" t="str">
        <f>IFERROR(__xludf.DUMMYFUNCTION("""COMPUTED_VALUE"""),"D")</f>
        <v>D</v>
      </c>
      <c r="I285" s="51" t="str">
        <f>IFERROR(__xludf.DUMMYFUNCTION("""COMPUTED_VALUE"""),"D-7")</f>
        <v>D-7</v>
      </c>
      <c r="J285" s="51">
        <f>IFERROR(__xludf.DUMMYFUNCTION("""COMPUTED_VALUE"""),3.0)</f>
        <v>3</v>
      </c>
      <c r="K285" s="51" t="str">
        <f>IFERROR(__xludf.DUMMYFUNCTION("""COMPUTED_VALUE"""),"")</f>
        <v/>
      </c>
      <c r="L285" s="50" t="str">
        <f>IFERROR(__xludf.DUMMYFUNCTION("""COMPUTED_VALUE"""),"6281330367368")</f>
        <v>6281330367368</v>
      </c>
      <c r="M285" s="53">
        <f>IFERROR(__xludf.DUMMYFUNCTION("""COMPUTED_VALUE"""),600000.0)</f>
        <v>600000</v>
      </c>
      <c r="N285" s="53">
        <f>IFERROR(__xludf.DUMMYFUNCTION("""COMPUTED_VALUE"""),200000.0)</f>
        <v>200000</v>
      </c>
      <c r="O285" s="53">
        <f>IFERROR(__xludf.DUMMYFUNCTION("""COMPUTED_VALUE"""),450000.0)</f>
        <v>450000</v>
      </c>
      <c r="P285" s="53">
        <f>IFERROR(__xludf.DUMMYFUNCTION("""COMPUTED_VALUE"""),450000.0)</f>
        <v>450000</v>
      </c>
      <c r="Q285" s="53">
        <f>IFERROR(__xludf.DUMMYFUNCTION("""COMPUTED_VALUE"""),450000.0)</f>
        <v>450000</v>
      </c>
      <c r="R285" s="53">
        <f>IFERROR(__xludf.DUMMYFUNCTION("""COMPUTED_VALUE"""),450000.0)</f>
        <v>450000</v>
      </c>
      <c r="S285" s="53">
        <f>IFERROR(__xludf.DUMMYFUNCTION("""COMPUTED_VALUE"""),450000.0)</f>
        <v>450000</v>
      </c>
      <c r="T285" s="53">
        <f>IFERROR(__xludf.DUMMYFUNCTION("""COMPUTED_VALUE"""),450000.0)</f>
        <v>450000</v>
      </c>
      <c r="U285" s="53">
        <f>IFERROR(__xludf.DUMMYFUNCTION("""COMPUTED_VALUE"""),450000.0)</f>
        <v>450000</v>
      </c>
      <c r="V285" s="53">
        <f>IFERROR(__xludf.DUMMYFUNCTION("""COMPUTED_VALUE"""),450000.0)</f>
        <v>450000</v>
      </c>
      <c r="W285" s="53">
        <f>IFERROR(__xludf.DUMMYFUNCTION("""COMPUTED_VALUE"""),450000.0)</f>
        <v>450000</v>
      </c>
      <c r="X285" s="53">
        <f>IFERROR(__xludf.DUMMYFUNCTION("""COMPUTED_VALUE"""),450000.0)</f>
        <v>450000</v>
      </c>
      <c r="Y285" s="53">
        <f>IFERROR(__xludf.DUMMYFUNCTION("""COMPUTED_VALUE"""),450000.0)</f>
        <v>450000</v>
      </c>
      <c r="Z285" s="53">
        <f>IFERROR(__xludf.DUMMYFUNCTION("""COMPUTED_VALUE"""),450000.0)</f>
        <v>450000</v>
      </c>
      <c r="AA285" s="54"/>
      <c r="AB285" s="53">
        <f>IFERROR(__xludf.DUMMYFUNCTION("""COMPUTED_VALUE"""),500000.0)</f>
        <v>500000</v>
      </c>
      <c r="AC285" s="54">
        <f>IFERROR(__xludf.DUMMYFUNCTION("""COMPUTED_VALUE"""),450000.0)</f>
        <v>450000</v>
      </c>
      <c r="AD285" s="54">
        <f>IFERROR(__xludf.DUMMYFUNCTION("""COMPUTED_VALUE"""),450000.0)</f>
        <v>450000</v>
      </c>
      <c r="AE285" s="54">
        <f>IFERROR(__xludf.DUMMYFUNCTION("""COMPUTED_VALUE"""),450000.0)</f>
        <v>450000</v>
      </c>
      <c r="AF285" s="54">
        <f>IFERROR(__xludf.DUMMYFUNCTION("""COMPUTED_VALUE"""),450000.0)</f>
        <v>450000</v>
      </c>
      <c r="AG285" s="54">
        <f>IFERROR(__xludf.DUMMYFUNCTION("""COMPUTED_VALUE"""),450000.0)</f>
        <v>450000</v>
      </c>
      <c r="AH285" s="54">
        <f>IFERROR(__xludf.DUMMYFUNCTION("""COMPUTED_VALUE"""),450000.0)</f>
        <v>450000</v>
      </c>
      <c r="AI285" s="54">
        <f>IFERROR(__xludf.DUMMYFUNCTION("""COMPUTED_VALUE"""),450000.0)</f>
        <v>450000</v>
      </c>
      <c r="AJ285" s="54">
        <f>IFERROR(__xludf.DUMMYFUNCTION("""COMPUTED_VALUE"""),450000.0)</f>
        <v>450000</v>
      </c>
      <c r="AK285" s="54">
        <f>IFERROR(__xludf.DUMMYFUNCTION("""COMPUTED_VALUE"""),450000.0)</f>
        <v>450000</v>
      </c>
      <c r="AL285" s="54">
        <f>IFERROR(__xludf.DUMMYFUNCTION("""COMPUTED_VALUE"""),450000.0)</f>
        <v>450000</v>
      </c>
      <c r="AM285" s="54">
        <f>IFERROR(__xludf.DUMMYFUNCTION("""COMPUTED_VALUE"""),450000.0)</f>
        <v>450000</v>
      </c>
      <c r="AN285" s="54">
        <f>IFERROR(__xludf.DUMMYFUNCTION("""COMPUTED_VALUE"""),450000.0)</f>
        <v>450000</v>
      </c>
      <c r="AO285" s="54"/>
      <c r="AP285" s="53">
        <f>IFERROR(__xludf.DUMMYFUNCTION("""COMPUTED_VALUE"""),500000.0)</f>
        <v>500000</v>
      </c>
      <c r="AQ285" s="54"/>
      <c r="AR285" s="54"/>
      <c r="AS285" s="54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IFERROR(__xludf.DUMMYFUNCTION("""COMPUTED_VALUE"""),1.08E7)</f>
        <v>10800000</v>
      </c>
      <c r="BD285" s="54">
        <f>IFERROR(__xludf.DUMMYFUNCTION("""COMPUTED_VALUE"""),1600000.0)</f>
        <v>1600000</v>
      </c>
      <c r="BE285" s="54">
        <f>IFERROR(__xludf.DUMMYFUNCTION("""COMPUTED_VALUE"""),0.0)</f>
        <v>0</v>
      </c>
      <c r="BF285" s="55">
        <f>IFERROR(__xludf.DUMMYFUNCTION("""COMPUTED_VALUE"""),1.24E7)</f>
        <v>12400000</v>
      </c>
      <c r="BG285" s="57"/>
      <c r="BH285" s="57"/>
      <c r="BI285" s="57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</row>
    <row r="286">
      <c r="A286" s="36">
        <f>IFERROR(__xludf.DUMMYFUNCTION("""COMPUTED_VALUE"""),285.0)</f>
        <v>285</v>
      </c>
      <c r="B286" s="37" t="str">
        <f>IFERROR(__xludf.DUMMYFUNCTION("""COMPUTED_VALUE"""),"HARISATUL MAWADDAH")</f>
        <v>HARISATUL MAWADDAH</v>
      </c>
      <c r="C286" s="38">
        <f>IFERROR(__xludf.DUMMYFUNCTION("""COMPUTED_VALUE"""),2.024070155E9)</f>
        <v>2024070155</v>
      </c>
      <c r="D286" s="37" t="str">
        <f>IFERROR(__xludf.DUMMYFUNCTION("""COMPUTED_VALUE"""),"MOH. MUJIK")</f>
        <v>MOH. MUJIK</v>
      </c>
      <c r="E286" s="37" t="str">
        <f>IFERROR(__xludf.DUMMYFUNCTION("""COMPUTED_VALUE"""),"KISWATI")</f>
        <v>KISWATI</v>
      </c>
      <c r="F286" s="37" t="str">
        <f>IFERROR(__xludf.DUMMYFUNCTION("""COMPUTED_VALUE"""),"KARANGTAWAR RT 3 RW 2 LAREN LAMONGAN")</f>
        <v>KARANGTAWAR RT 3 RW 2 LAREN LAMONGAN</v>
      </c>
      <c r="G286" s="56" t="str">
        <f>IFERROR(__xludf.DUMMYFUNCTION("""COMPUTED_VALUE"""),"MA-XII.7")</f>
        <v>MA-XII.7</v>
      </c>
      <c r="H286" s="36" t="str">
        <f>IFERROR(__xludf.DUMMYFUNCTION("""COMPUTED_VALUE"""),"D")</f>
        <v>D</v>
      </c>
      <c r="I286" s="40" t="str">
        <f>IFERROR(__xludf.DUMMYFUNCTION("""COMPUTED_VALUE"""),"D-7")</f>
        <v>D-7</v>
      </c>
      <c r="J286" s="40">
        <f>IFERROR(__xludf.DUMMYFUNCTION("""COMPUTED_VALUE"""),3.0)</f>
        <v>3</v>
      </c>
      <c r="K286" s="40" t="str">
        <f>IFERROR(__xludf.DUMMYFUNCTION("""COMPUTED_VALUE"""),"3 WUSTHO C PUTRI")</f>
        <v>3 WUSTHO C PUTRI</v>
      </c>
      <c r="L286" s="39" t="str">
        <f>IFERROR(__xludf.DUMMYFUNCTION("""COMPUTED_VALUE"""),"62857784061518")</f>
        <v>62857784061518</v>
      </c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3"/>
      <c r="AP286" s="42"/>
      <c r="AQ286" s="43"/>
      <c r="AR286" s="43"/>
      <c r="AS286" s="43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IFERROR(__xludf.DUMMYFUNCTION("""COMPUTED_VALUE"""),0.0)</f>
        <v>0</v>
      </c>
      <c r="BD286" s="43">
        <f>IFERROR(__xludf.DUMMYFUNCTION("""COMPUTED_VALUE"""),0.0)</f>
        <v>0</v>
      </c>
      <c r="BE286" s="43">
        <f>IFERROR(__xludf.DUMMYFUNCTION("""COMPUTED_VALUE"""),0.0)</f>
        <v>0</v>
      </c>
      <c r="BF286" s="44">
        <f>IFERROR(__xludf.DUMMYFUNCTION("""COMPUTED_VALUE"""),0.0)</f>
        <v>0</v>
      </c>
      <c r="BG286" s="56"/>
      <c r="BH286" s="56"/>
      <c r="BI286" s="5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</row>
    <row r="287">
      <c r="A287" s="47">
        <f>IFERROR(__xludf.DUMMYFUNCTION("""COMPUTED_VALUE"""),286.0)</f>
        <v>286</v>
      </c>
      <c r="B287" s="48" t="str">
        <f>IFERROR(__xludf.DUMMYFUNCTION("""COMPUTED_VALUE"""),"HUSNADYAH FATMAHWATI")</f>
        <v>HUSNADYAH FATMAHWATI</v>
      </c>
      <c r="C287" s="49">
        <f>IFERROR(__xludf.DUMMYFUNCTION("""COMPUTED_VALUE"""),2.024070115E9)</f>
        <v>2024070115</v>
      </c>
      <c r="D287" s="48" t="str">
        <f>IFERROR(__xludf.DUMMYFUNCTION("""COMPUTED_VALUE"""),"HUSNUL HULUQ")</f>
        <v>HUSNUL HULUQ</v>
      </c>
      <c r="E287" s="48" t="str">
        <f>IFERROR(__xludf.DUMMYFUNCTION("""COMPUTED_VALUE"""),"KURNIA NIKDA RETNANI")</f>
        <v>KURNIA NIKDA RETNANI</v>
      </c>
      <c r="F287" s="48" t="str">
        <f>IFERROR(__xludf.DUMMYFUNCTION("""COMPUTED_VALUE"""),"LUMBANGAN PENDOWOLIMO RT 3 RW 1 KARANGBINANGUN LAMONGAN")</f>
        <v>LUMBANGAN PENDOWOLIMO RT 3 RW 1 KARANGBINANGUN LAMONGAN</v>
      </c>
      <c r="G287" s="49" t="str">
        <f>IFERROR(__xludf.DUMMYFUNCTION("""COMPUTED_VALUE"""),"MA-XII.4")</f>
        <v>MA-XII.4</v>
      </c>
      <c r="H287" s="47" t="str">
        <f>IFERROR(__xludf.DUMMYFUNCTION("""COMPUTED_VALUE"""),"D")</f>
        <v>D</v>
      </c>
      <c r="I287" s="51" t="str">
        <f>IFERROR(__xludf.DUMMYFUNCTION("""COMPUTED_VALUE"""),"D-6")</f>
        <v>D-6</v>
      </c>
      <c r="J287" s="51">
        <f>IFERROR(__xludf.DUMMYFUNCTION("""COMPUTED_VALUE"""),3.0)</f>
        <v>3</v>
      </c>
      <c r="K287" s="51" t="str">
        <f>IFERROR(__xludf.DUMMYFUNCTION("""COMPUTED_VALUE"""),"3 WUSTHO C PUTRI")</f>
        <v>3 WUSTHO C PUTRI</v>
      </c>
      <c r="L287" s="50" t="str">
        <f>IFERROR(__xludf.DUMMYFUNCTION("""COMPUTED_VALUE"""),"6285731755110")</f>
        <v>6285731755110</v>
      </c>
      <c r="M287" s="54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4"/>
      <c r="AC287" s="53"/>
      <c r="AD287" s="53"/>
      <c r="AE287" s="53"/>
      <c r="AF287" s="53"/>
      <c r="AG287" s="53"/>
      <c r="AH287" s="53"/>
      <c r="AI287" s="53"/>
      <c r="AJ287" s="53">
        <f>IFERROR(__xludf.DUMMYFUNCTION("""COMPUTED_VALUE"""),450000.0)</f>
        <v>450000</v>
      </c>
      <c r="AK287" s="53">
        <f>IFERROR(__xludf.DUMMYFUNCTION("""COMPUTED_VALUE"""),450000.0)</f>
        <v>450000</v>
      </c>
      <c r="AL287" s="53">
        <f>IFERROR(__xludf.DUMMYFUNCTION("""COMPUTED_VALUE"""),450000.0)</f>
        <v>450000</v>
      </c>
      <c r="AM287" s="53">
        <f>IFERROR(__xludf.DUMMYFUNCTION("""COMPUTED_VALUE"""),450000.0)</f>
        <v>450000</v>
      </c>
      <c r="AN287" s="53">
        <f>IFERROR(__xludf.DUMMYFUNCTION("""COMPUTED_VALUE"""),450000.0)</f>
        <v>450000</v>
      </c>
      <c r="AO287" s="53"/>
      <c r="AP287" s="54"/>
      <c r="AQ287" s="53"/>
      <c r="AR287" s="53"/>
      <c r="AS287" s="54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IFERROR(__xludf.DUMMYFUNCTION("""COMPUTED_VALUE"""),2250000.0)</f>
        <v>2250000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IFERROR(__xludf.DUMMYFUNCTION("""COMPUTED_VALUE"""),2250000.0)</f>
        <v>2250000</v>
      </c>
      <c r="BG287" s="57"/>
      <c r="BH287" s="57"/>
      <c r="BI287" s="57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</row>
    <row r="288">
      <c r="A288" s="36">
        <f>IFERROR(__xludf.DUMMYFUNCTION("""COMPUTED_VALUE"""),287.0)</f>
        <v>287</v>
      </c>
      <c r="B288" s="37" t="str">
        <f>IFERROR(__xludf.DUMMYFUNCTION("""COMPUTED_VALUE"""),"IFTITAHUR ROHMANIYAH")</f>
        <v>IFTITAHUR ROHMANIYAH</v>
      </c>
      <c r="C288" s="38">
        <f>IFERROR(__xludf.DUMMYFUNCTION("""COMPUTED_VALUE"""),2.024070375E9)</f>
        <v>2024070375</v>
      </c>
      <c r="D288" s="37" t="str">
        <f>IFERROR(__xludf.DUMMYFUNCTION("""COMPUTED_VALUE"""),"MOH HANIF ASYHAR")</f>
        <v>MOH HANIF ASYHAR</v>
      </c>
      <c r="E288" s="37" t="str">
        <f>IFERROR(__xludf.DUMMYFUNCTION("""COMPUTED_VALUE"""),"MASLIHATINA")</f>
        <v>MASLIHATINA</v>
      </c>
      <c r="F288" s="37" t="str">
        <f>IFERROR(__xludf.DUMMYFUNCTION("""COMPUTED_VALUE"""),"SUMURBER RT 8 RW 3 PANCENG GRESIK")</f>
        <v>SUMURBER RT 8 RW 3 PANCENG GRESIK</v>
      </c>
      <c r="G288" s="38" t="str">
        <f>IFERROR(__xludf.DUMMYFUNCTION("""COMPUTED_VALUE"""),"MA-XII.5")</f>
        <v>MA-XII.5</v>
      </c>
      <c r="H288" s="36" t="str">
        <f>IFERROR(__xludf.DUMMYFUNCTION("""COMPUTED_VALUE"""),"D")</f>
        <v>D</v>
      </c>
      <c r="I288" s="40" t="str">
        <f>IFERROR(__xludf.DUMMYFUNCTION("""COMPUTED_VALUE"""),"D-6")</f>
        <v>D-6</v>
      </c>
      <c r="J288" s="40">
        <f>IFERROR(__xludf.DUMMYFUNCTION("""COMPUTED_VALUE"""),3.0)</f>
        <v>3</v>
      </c>
      <c r="K288" s="40" t="str">
        <f>IFERROR(__xludf.DUMMYFUNCTION("""COMPUTED_VALUE"""),"3 WUSTHO C PUTRI")</f>
        <v>3 WUSTHO C PUTRI</v>
      </c>
      <c r="L288" s="39" t="str">
        <f>IFERROR(__xludf.DUMMYFUNCTION("""COMPUTED_VALUE"""),"628157146323")</f>
        <v>628157146323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3"/>
      <c r="AL288" s="43"/>
      <c r="AM288" s="43"/>
      <c r="AN288" s="43"/>
      <c r="AO288" s="43"/>
      <c r="AP288" s="42"/>
      <c r="AQ288" s="43"/>
      <c r="AR288" s="43"/>
      <c r="AS288" s="43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IFERROR(__xludf.DUMMYFUNCTION("""COMPUTED_VALUE"""),0.0)</f>
        <v>0</v>
      </c>
      <c r="BD288" s="43">
        <f>IFERROR(__xludf.DUMMYFUNCTION("""COMPUTED_VALUE"""),0.0)</f>
        <v>0</v>
      </c>
      <c r="BE288" s="43">
        <f>IFERROR(__xludf.DUMMYFUNCTION("""COMPUTED_VALUE"""),0.0)</f>
        <v>0</v>
      </c>
      <c r="BF288" s="44">
        <f>IFERROR(__xludf.DUMMYFUNCTION("""COMPUTED_VALUE"""),0.0)</f>
        <v>0</v>
      </c>
      <c r="BG288" s="56"/>
      <c r="BH288" s="56"/>
      <c r="BI288" s="5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</row>
    <row r="289">
      <c r="A289" s="47">
        <f>IFERROR(__xludf.DUMMYFUNCTION("""COMPUTED_VALUE"""),288.0)</f>
        <v>288</v>
      </c>
      <c r="B289" s="48" t="str">
        <f>IFERROR(__xludf.DUMMYFUNCTION("""COMPUTED_VALUE"""),"ISTHOFI NADA MILLAH")</f>
        <v>ISTHOFI NADA MILLAH</v>
      </c>
      <c r="C289" s="49">
        <f>IFERROR(__xludf.DUMMYFUNCTION("""COMPUTED_VALUE"""),2.024070011E9)</f>
        <v>2024070011</v>
      </c>
      <c r="D289" s="48" t="str">
        <f>IFERROR(__xludf.DUMMYFUNCTION("""COMPUTED_VALUE"""),"ALAMIL HUDA")</f>
        <v>ALAMIL HUDA</v>
      </c>
      <c r="E289" s="48" t="str">
        <f>IFERROR(__xludf.DUMMYFUNCTION("""COMPUTED_VALUE"""),"LILIS FAIZAH")</f>
        <v>LILIS FAIZAH</v>
      </c>
      <c r="F289" s="48" t="str">
        <f>IFERROR(__xludf.DUMMYFUNCTION("""COMPUTED_VALUE"""),"GAGAR TENGAH SUKOBENDU RT 3 RW 2 MANTUP LAMONGAN")</f>
        <v>GAGAR TENGAH SUKOBENDU RT 3 RW 2 MANTUP LAMONGAN</v>
      </c>
      <c r="G289" s="49" t="str">
        <f>IFERROR(__xludf.DUMMYFUNCTION("""COMPUTED_VALUE"""),"MA-XII.1")</f>
        <v>MA-XII.1</v>
      </c>
      <c r="H289" s="47" t="str">
        <f>IFERROR(__xludf.DUMMYFUNCTION("""COMPUTED_VALUE"""),"D")</f>
        <v>D</v>
      </c>
      <c r="I289" s="51" t="str">
        <f>IFERROR(__xludf.DUMMYFUNCTION("""COMPUTED_VALUE"""),"D-7")</f>
        <v>D-7</v>
      </c>
      <c r="J289" s="51">
        <f>IFERROR(__xludf.DUMMYFUNCTION("""COMPUTED_VALUE"""),3.0)</f>
        <v>3</v>
      </c>
      <c r="K289" s="51" t="str">
        <f>IFERROR(__xludf.DUMMYFUNCTION("""COMPUTED_VALUE"""),"")</f>
        <v/>
      </c>
      <c r="L289" s="50" t="str">
        <f>IFERROR(__xludf.DUMMYFUNCTION("""COMPUTED_VALUE"""),"6285604642145")</f>
        <v>6285604642145</v>
      </c>
      <c r="M289" s="53"/>
      <c r="N289" s="53">
        <f>IFERROR(__xludf.DUMMYFUNCTION("""COMPUTED_VALUE"""),200000.0)</f>
        <v>200000</v>
      </c>
      <c r="O289" s="53">
        <f>IFERROR(__xludf.DUMMYFUNCTION("""COMPUTED_VALUE"""),450000.0)</f>
        <v>450000</v>
      </c>
      <c r="P289" s="53">
        <f>IFERROR(__xludf.DUMMYFUNCTION("""COMPUTED_VALUE"""),450000.0)</f>
        <v>450000</v>
      </c>
      <c r="Q289" s="53">
        <f>IFERROR(__xludf.DUMMYFUNCTION("""COMPUTED_VALUE"""),450000.0)</f>
        <v>450000</v>
      </c>
      <c r="R289" s="53">
        <f>IFERROR(__xludf.DUMMYFUNCTION("""COMPUTED_VALUE"""),450000.0)</f>
        <v>450000</v>
      </c>
      <c r="S289" s="53">
        <f>IFERROR(__xludf.DUMMYFUNCTION("""COMPUTED_VALUE"""),450000.0)</f>
        <v>450000</v>
      </c>
      <c r="T289" s="53">
        <f>IFERROR(__xludf.DUMMYFUNCTION("""COMPUTED_VALUE"""),450000.0)</f>
        <v>450000</v>
      </c>
      <c r="U289" s="53">
        <f>IFERROR(__xludf.DUMMYFUNCTION("""COMPUTED_VALUE"""),450000.0)</f>
        <v>450000</v>
      </c>
      <c r="V289" s="53">
        <f>IFERROR(__xludf.DUMMYFUNCTION("""COMPUTED_VALUE"""),450000.0)</f>
        <v>450000</v>
      </c>
      <c r="W289" s="53">
        <f>IFERROR(__xludf.DUMMYFUNCTION("""COMPUTED_VALUE"""),450000.0)</f>
        <v>450000</v>
      </c>
      <c r="X289" s="53">
        <f>IFERROR(__xludf.DUMMYFUNCTION("""COMPUTED_VALUE"""),450000.0)</f>
        <v>450000</v>
      </c>
      <c r="Y289" s="53">
        <f>IFERROR(__xludf.DUMMYFUNCTION("""COMPUTED_VALUE"""),450000.0)</f>
        <v>450000</v>
      </c>
      <c r="Z289" s="53">
        <f>IFERROR(__xludf.DUMMYFUNCTION("""COMPUTED_VALUE"""),450000.0)</f>
        <v>450000</v>
      </c>
      <c r="AA289" s="53">
        <f>IFERROR(__xludf.DUMMYFUNCTION("""COMPUTED_VALUE"""),350000.0)</f>
        <v>350000</v>
      </c>
      <c r="AB289" s="53"/>
      <c r="AC289" s="53">
        <f>IFERROR(__xludf.DUMMYFUNCTION("""COMPUTED_VALUE"""),450000.0)</f>
        <v>450000</v>
      </c>
      <c r="AD289" s="53">
        <f>IFERROR(__xludf.DUMMYFUNCTION("""COMPUTED_VALUE"""),450000.0)</f>
        <v>450000</v>
      </c>
      <c r="AE289" s="53">
        <f>IFERROR(__xludf.DUMMYFUNCTION("""COMPUTED_VALUE"""),450000.0)</f>
        <v>450000</v>
      </c>
      <c r="AF289" s="53">
        <f>IFERROR(__xludf.DUMMYFUNCTION("""COMPUTED_VALUE"""),450000.0)</f>
        <v>450000</v>
      </c>
      <c r="AG289" s="53">
        <f>IFERROR(__xludf.DUMMYFUNCTION("""COMPUTED_VALUE"""),450000.0)</f>
        <v>450000</v>
      </c>
      <c r="AH289" s="53">
        <f>IFERROR(__xludf.DUMMYFUNCTION("""COMPUTED_VALUE"""),450000.0)</f>
        <v>450000</v>
      </c>
      <c r="AI289" s="53">
        <f>IFERROR(__xludf.DUMMYFUNCTION("""COMPUTED_VALUE"""),450000.0)</f>
        <v>450000</v>
      </c>
      <c r="AJ289" s="53">
        <f>IFERROR(__xludf.DUMMYFUNCTION("""COMPUTED_VALUE"""),450000.0)</f>
        <v>450000</v>
      </c>
      <c r="AK289" s="53">
        <f>IFERROR(__xludf.DUMMYFUNCTION("""COMPUTED_VALUE"""),450000.0)</f>
        <v>450000</v>
      </c>
      <c r="AL289" s="53">
        <f>IFERROR(__xludf.DUMMYFUNCTION("""COMPUTED_VALUE"""),450000.0)</f>
        <v>450000</v>
      </c>
      <c r="AM289" s="53">
        <f>IFERROR(__xludf.DUMMYFUNCTION("""COMPUTED_VALUE"""),450000.0)</f>
        <v>450000</v>
      </c>
      <c r="AN289" s="53">
        <f>IFERROR(__xludf.DUMMYFUNCTION("""COMPUTED_VALUE"""),450000.0)</f>
        <v>450000</v>
      </c>
      <c r="AO289" s="53"/>
      <c r="AP289" s="53"/>
      <c r="AQ289" s="53"/>
      <c r="AR289" s="53"/>
      <c r="AS289" s="54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IFERROR(__xludf.DUMMYFUNCTION("""COMPUTED_VALUE"""),1.08E7)</f>
        <v>10800000</v>
      </c>
      <c r="BD289" s="54">
        <f>IFERROR(__xludf.DUMMYFUNCTION("""COMPUTED_VALUE"""),0.0)</f>
        <v>0</v>
      </c>
      <c r="BE289" s="54">
        <f>IFERROR(__xludf.DUMMYFUNCTION("""COMPUTED_VALUE"""),350000.0)</f>
        <v>350000</v>
      </c>
      <c r="BF289" s="55">
        <f>IFERROR(__xludf.DUMMYFUNCTION("""COMPUTED_VALUE"""),1.115E7)</f>
        <v>11150000</v>
      </c>
      <c r="BG289" s="57"/>
      <c r="BH289" s="57"/>
      <c r="BI289" s="57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</row>
    <row r="290">
      <c r="A290" s="36">
        <f>IFERROR(__xludf.DUMMYFUNCTION("""COMPUTED_VALUE"""),289.0)</f>
        <v>289</v>
      </c>
      <c r="B290" s="37" t="str">
        <f>IFERROR(__xludf.DUMMYFUNCTION("""COMPUTED_VALUE"""),"KAYLA ALIFIA ZAFARANI")</f>
        <v>KAYLA ALIFIA ZAFARANI</v>
      </c>
      <c r="C290" s="38">
        <f>IFERROR(__xludf.DUMMYFUNCTION("""COMPUTED_VALUE"""),2.024070553E9)</f>
        <v>2024070553</v>
      </c>
      <c r="D290" s="37" t="str">
        <f>IFERROR(__xludf.DUMMYFUNCTION("""COMPUTED_VALUE"""),"KHOIRIL ANWAR")</f>
        <v>KHOIRIL ANWAR</v>
      </c>
      <c r="E290" s="37" t="str">
        <f>IFERROR(__xludf.DUMMYFUNCTION("""COMPUTED_VALUE"""),"SITI NUR AISYAH")</f>
        <v>SITI NUR AISYAH</v>
      </c>
      <c r="F290" s="37" t="str">
        <f>IFERROR(__xludf.DUMMYFUNCTION("""COMPUTED_VALUE"""),"LEMAHIRENG KETANEN RT 010 RW 005 PANCENG GRESIK")</f>
        <v>LEMAHIRENG KETANEN RT 010 RW 005 PANCENG GRESIK</v>
      </c>
      <c r="G290" s="56" t="str">
        <f>IFERROR(__xludf.DUMMYFUNCTION("""COMPUTED_VALUE"""),"MTS-9 C")</f>
        <v>MTS-9 C</v>
      </c>
      <c r="H290" s="36" t="str">
        <f>IFERROR(__xludf.DUMMYFUNCTION("""COMPUTED_VALUE"""),"D")</f>
        <v>D</v>
      </c>
      <c r="I290" s="40" t="str">
        <f>IFERROR(__xludf.DUMMYFUNCTION("""COMPUTED_VALUE"""),"D-4")</f>
        <v>D-4</v>
      </c>
      <c r="J290" s="40">
        <f>IFERROR(__xludf.DUMMYFUNCTION("""COMPUTED_VALUE"""),3.0)</f>
        <v>3</v>
      </c>
      <c r="K290" s="40" t="str">
        <f>IFERROR(__xludf.DUMMYFUNCTION("""COMPUTED_VALUE"""),"3 ULA A PUTRI")</f>
        <v>3 ULA A PUTRI</v>
      </c>
      <c r="L290" s="39" t="str">
        <f>IFERROR(__xludf.DUMMYFUNCTION("""COMPUTED_VALUE"""),"6281230671437")</f>
        <v>6281230671437</v>
      </c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3"/>
      <c r="AS290" s="43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IFERROR(__xludf.DUMMYFUNCTION("""COMPUTED_VALUE"""),0.0)</f>
        <v>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IFERROR(__xludf.DUMMYFUNCTION("""COMPUTED_VALUE"""),0.0)</f>
        <v>0</v>
      </c>
      <c r="BG290" s="56"/>
      <c r="BH290" s="56"/>
      <c r="BI290" s="5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</row>
    <row r="291">
      <c r="A291" s="47">
        <f>IFERROR(__xludf.DUMMYFUNCTION("""COMPUTED_VALUE"""),290.0)</f>
        <v>290</v>
      </c>
      <c r="B291" s="48" t="str">
        <f>IFERROR(__xludf.DUMMYFUNCTION("""COMPUTED_VALUE"""),"MARCELIA CRENATA SHINTA DEWI")</f>
        <v>MARCELIA CRENATA SHINTA DEWI</v>
      </c>
      <c r="C291" s="49">
        <f>IFERROR(__xludf.DUMMYFUNCTION("""COMPUTED_VALUE"""),2.024070426E9)</f>
        <v>2024070426</v>
      </c>
      <c r="D291" s="48" t="str">
        <f>IFERROR(__xludf.DUMMYFUNCTION("""COMPUTED_VALUE"""),"AHMAD ZUNAEDI")</f>
        <v>AHMAD ZUNAEDI</v>
      </c>
      <c r="E291" s="48" t="str">
        <f>IFERROR(__xludf.DUMMYFUNCTION("""COMPUTED_VALUE"""),"YULIATI")</f>
        <v>YULIATI</v>
      </c>
      <c r="F291" s="48" t="str">
        <f>IFERROR(__xludf.DUMMYFUNCTION("""COMPUTED_VALUE"""),"GEDANGAN RT 004 RW 003 GEDANGAN SIDOARJO")</f>
        <v>GEDANGAN RT 004 RW 003 GEDANGAN SIDOARJO</v>
      </c>
      <c r="G291" s="50" t="str">
        <f>IFERROR(__xludf.DUMMYFUNCTION("""COMPUTED_VALUE"""),"MA-XII.13")</f>
        <v>MA-XII.13</v>
      </c>
      <c r="H291" s="47" t="str">
        <f>IFERROR(__xludf.DUMMYFUNCTION("""COMPUTED_VALUE"""),"D")</f>
        <v>D</v>
      </c>
      <c r="I291" s="51" t="str">
        <f>IFERROR(__xludf.DUMMYFUNCTION("""COMPUTED_VALUE"""),"D-7")</f>
        <v>D-7</v>
      </c>
      <c r="J291" s="51">
        <f>IFERROR(__xludf.DUMMYFUNCTION("""COMPUTED_VALUE"""),3.0)</f>
        <v>3</v>
      </c>
      <c r="K291" s="51" t="str">
        <f>IFERROR(__xludf.DUMMYFUNCTION("""COMPUTED_VALUE"""),"3 MAK PUTRI")</f>
        <v>3 MAK PUTRI</v>
      </c>
      <c r="L291" s="50" t="str">
        <f>IFERROR(__xludf.DUMMYFUNCTION("""COMPUTED_VALUE"""),"6281312701983")</f>
        <v>6281312701983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>
        <f>IFERROR(__xludf.DUMMYFUNCTION("""COMPUTED_VALUE"""),500000.0)</f>
        <v>500000</v>
      </c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>
        <f>IFERROR(__xludf.DUMMYFUNCTION("""COMPUTED_VALUE"""),500000.0)</f>
        <v>500000</v>
      </c>
      <c r="AQ291" s="53"/>
      <c r="AR291" s="53"/>
      <c r="AS291" s="54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7"/>
      <c r="BH291" s="57"/>
      <c r="BI291" s="57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</row>
    <row r="292">
      <c r="A292" s="36">
        <f>IFERROR(__xludf.DUMMYFUNCTION("""COMPUTED_VALUE"""),291.0)</f>
        <v>291</v>
      </c>
      <c r="B292" s="37" t="str">
        <f>IFERROR(__xludf.DUMMYFUNCTION("""COMPUTED_VALUE"""),"MAZIDATUL ILMI OKTARISA DINI")</f>
        <v>MAZIDATUL ILMI OKTARISA DINI</v>
      </c>
      <c r="C292" s="38">
        <f>IFERROR(__xludf.DUMMYFUNCTION("""COMPUTED_VALUE"""),2.024070427E9)</f>
        <v>2024070427</v>
      </c>
      <c r="D292" s="37" t="str">
        <f>IFERROR(__xludf.DUMMYFUNCTION("""COMPUTED_VALUE"""),"SHODIKIN")</f>
        <v>SHODIKIN</v>
      </c>
      <c r="E292" s="37" t="str">
        <f>IFERROR(__xludf.DUMMYFUNCTION("""COMPUTED_VALUE"""),"YENI VIDIAWATI")</f>
        <v>YENI VIDIAWATI</v>
      </c>
      <c r="F292" s="37" t="str">
        <f>IFERROR(__xludf.DUMMYFUNCTION("""COMPUTED_VALUE"""),"BANJARMADU BANJARMADU RT 2 RW 2 KARANGGENENG LAMONGAN")</f>
        <v>BANJARMADU BANJARMADU RT 2 RW 2 KARANGGENENG LAMONGAN</v>
      </c>
      <c r="G292" s="39" t="str">
        <f>IFERROR(__xludf.DUMMYFUNCTION("""COMPUTED_VALUE"""),"MA-XII.13")</f>
        <v>MA-XII.13</v>
      </c>
      <c r="H292" s="36" t="str">
        <f>IFERROR(__xludf.DUMMYFUNCTION("""COMPUTED_VALUE"""),"D")</f>
        <v>D</v>
      </c>
      <c r="I292" s="40" t="str">
        <f>IFERROR(__xludf.DUMMYFUNCTION("""COMPUTED_VALUE"""),"D-7")</f>
        <v>D-7</v>
      </c>
      <c r="J292" s="40">
        <f>IFERROR(__xludf.DUMMYFUNCTION("""COMPUTED_VALUE"""),3.0)</f>
        <v>3</v>
      </c>
      <c r="K292" s="40" t="str">
        <f>IFERROR(__xludf.DUMMYFUNCTION("""COMPUTED_VALUE"""),"3 MAK PUTRI")</f>
        <v>3 MAK PUTRI</v>
      </c>
      <c r="L292" s="39" t="str">
        <f>IFERROR(__xludf.DUMMYFUNCTION("""COMPUTED_VALUE"""),"6285748191884")</f>
        <v>6285748191884</v>
      </c>
      <c r="M292" s="42"/>
      <c r="N292" s="42"/>
      <c r="O292" s="42"/>
      <c r="P292" s="42"/>
      <c r="Q292" s="42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>
        <f>IFERROR(__xludf.DUMMYFUNCTION("""COMPUTED_VALUE"""),450000.0)</f>
        <v>450000</v>
      </c>
      <c r="AI292" s="43">
        <f>IFERROR(__xludf.DUMMYFUNCTION("""COMPUTED_VALUE"""),450000.0)</f>
        <v>450000</v>
      </c>
      <c r="AJ292" s="43">
        <f>IFERROR(__xludf.DUMMYFUNCTION("""COMPUTED_VALUE"""),450000.0)</f>
        <v>450000</v>
      </c>
      <c r="AK292" s="43">
        <f>IFERROR(__xludf.DUMMYFUNCTION("""COMPUTED_VALUE"""),450000.0)</f>
        <v>450000</v>
      </c>
      <c r="AL292" s="43">
        <f>IFERROR(__xludf.DUMMYFUNCTION("""COMPUTED_VALUE"""),450000.0)</f>
        <v>450000</v>
      </c>
      <c r="AM292" s="43">
        <f>IFERROR(__xludf.DUMMYFUNCTION("""COMPUTED_VALUE"""),450000.0)</f>
        <v>450000</v>
      </c>
      <c r="AN292" s="43">
        <f>IFERROR(__xludf.DUMMYFUNCTION("""COMPUTED_VALUE"""),450000.0)</f>
        <v>450000</v>
      </c>
      <c r="AO292" s="43"/>
      <c r="AP292" s="43"/>
      <c r="AQ292" s="43"/>
      <c r="AR292" s="43"/>
      <c r="AS292" s="43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IFERROR(__xludf.DUMMYFUNCTION("""COMPUTED_VALUE"""),3150000.0)</f>
        <v>3150000</v>
      </c>
      <c r="BD292" s="43">
        <f>IFERROR(__xludf.DUMMYFUNCTION("""COMPUTED_VALUE"""),0.0)</f>
        <v>0</v>
      </c>
      <c r="BE292" s="43">
        <f>IFERROR(__xludf.DUMMYFUNCTION("""COMPUTED_VALUE"""),0.0)</f>
        <v>0</v>
      </c>
      <c r="BF292" s="44">
        <f>IFERROR(__xludf.DUMMYFUNCTION("""COMPUTED_VALUE"""),3150000.0)</f>
        <v>3150000</v>
      </c>
      <c r="BG292" s="56"/>
      <c r="BH292" s="56"/>
      <c r="BI292" s="5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</row>
    <row r="293">
      <c r="A293" s="47">
        <f>IFERROR(__xludf.DUMMYFUNCTION("""COMPUTED_VALUE"""),292.0)</f>
        <v>292</v>
      </c>
      <c r="B293" s="48" t="str">
        <f>IFERROR(__xludf.DUMMYFUNCTION("""COMPUTED_VALUE"""),"MELYSA NUR KHASANAH")</f>
        <v>MELYSA NUR KHASANAH</v>
      </c>
      <c r="C293" s="49">
        <f>IFERROR(__xludf.DUMMYFUNCTION("""COMPUTED_VALUE"""),2.024070016E9)</f>
        <v>2024070016</v>
      </c>
      <c r="D293" s="48" t="str">
        <f>IFERROR(__xludf.DUMMYFUNCTION("""COMPUTED_VALUE"""),"SYAIFUL BARRI")</f>
        <v>SYAIFUL BARRI</v>
      </c>
      <c r="E293" s="48" t="str">
        <f>IFERROR(__xludf.DUMMYFUNCTION("""COMPUTED_VALUE"""),"ERLIN NUR AIZAH")</f>
        <v>ERLIN NUR AIZAH</v>
      </c>
      <c r="F293" s="48" t="str">
        <f>IFERROR(__xludf.DUMMYFUNCTION("""COMPUTED_VALUE"""),"KRAJAN SUKOBENDU RT 002 RW 003 MANTUP LAMONGAN")</f>
        <v>KRAJAN SUKOBENDU RT 002 RW 003 MANTUP LAMONGAN</v>
      </c>
      <c r="G293" s="57" t="str">
        <f>IFERROR(__xludf.DUMMYFUNCTION("""COMPUTED_VALUE"""),"MA-XII.1")</f>
        <v>MA-XII.1</v>
      </c>
      <c r="H293" s="47" t="str">
        <f>IFERROR(__xludf.DUMMYFUNCTION("""COMPUTED_VALUE"""),"D")</f>
        <v>D</v>
      </c>
      <c r="I293" s="51" t="str">
        <f>IFERROR(__xludf.DUMMYFUNCTION("""COMPUTED_VALUE"""),"D-7")</f>
        <v>D-7</v>
      </c>
      <c r="J293" s="51">
        <f>IFERROR(__xludf.DUMMYFUNCTION("""COMPUTED_VALUE"""),3.0)</f>
        <v>3</v>
      </c>
      <c r="K293" s="51" t="str">
        <f>IFERROR(__xludf.DUMMYFUNCTION("""COMPUTED_VALUE"""),"")</f>
        <v/>
      </c>
      <c r="L293" s="50" t="str">
        <f>IFERROR(__xludf.DUMMYFUNCTION("""COMPUTED_VALUE"""),"6281515680644")</f>
        <v>6281515680644</v>
      </c>
      <c r="M293" s="54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4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4"/>
      <c r="AP293" s="54"/>
      <c r="AQ293" s="53"/>
      <c r="AR293" s="54"/>
      <c r="AS293" s="54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7"/>
      <c r="BH293" s="57"/>
      <c r="BI293" s="57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</row>
    <row r="294">
      <c r="A294" s="36">
        <f>IFERROR(__xludf.DUMMYFUNCTION("""COMPUTED_VALUE"""),293.0)</f>
        <v>293</v>
      </c>
      <c r="B294" s="37" t="str">
        <f>IFERROR(__xludf.DUMMYFUNCTION("""COMPUTED_VALUE"""),"NABELLA ARDELIYAH")</f>
        <v>NABELLA ARDELIYAH</v>
      </c>
      <c r="C294" s="38">
        <f>IFERROR(__xludf.DUMMYFUNCTION("""COMPUTED_VALUE"""),2.024070381E9)</f>
        <v>2024070381</v>
      </c>
      <c r="D294" s="37" t="str">
        <f>IFERROR(__xludf.DUMMYFUNCTION("""COMPUTED_VALUE"""),"RUDI KUSWANTO")</f>
        <v>RUDI KUSWANTO</v>
      </c>
      <c r="E294" s="37" t="str">
        <f>IFERROR(__xludf.DUMMYFUNCTION("""COMPUTED_VALUE"""),"NIMATUL KHOIRIYAH")</f>
        <v>NIMATUL KHOIRIYAH</v>
      </c>
      <c r="F294" s="37" t="str">
        <f>IFERROR(__xludf.DUMMYFUNCTION("""COMPUTED_VALUE"""),"KEDUNGMEGARIH RT 020 RW 005 KEMBANGBAHU LAMONGAN")</f>
        <v>KEDUNGMEGARIH RT 020 RW 005 KEMBANGBAHU LAMONGAN</v>
      </c>
      <c r="G294" s="38" t="str">
        <f>IFERROR(__xludf.DUMMYFUNCTION("""COMPUTED_VALUE"""),"MA-XII.12")</f>
        <v>MA-XII.12</v>
      </c>
      <c r="H294" s="36" t="str">
        <f>IFERROR(__xludf.DUMMYFUNCTION("""COMPUTED_VALUE"""),"D")</f>
        <v>D</v>
      </c>
      <c r="I294" s="40" t="str">
        <f>IFERROR(__xludf.DUMMYFUNCTION("""COMPUTED_VALUE"""),"D-6")</f>
        <v>D-6</v>
      </c>
      <c r="J294" s="40">
        <f>IFERROR(__xludf.DUMMYFUNCTION("""COMPUTED_VALUE"""),3.0)</f>
        <v>3</v>
      </c>
      <c r="K294" s="40" t="str">
        <f>IFERROR(__xludf.DUMMYFUNCTION("""COMPUTED_VALUE"""),"3 WUSTHO C PUTRI")</f>
        <v>3 WUSTHO C PUTRI</v>
      </c>
      <c r="L294" s="39" t="str">
        <f>IFERROR(__xludf.DUMMYFUNCTION("""COMPUTED_VALUE"""),"6285815119048")</f>
        <v>6285815119048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3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3"/>
      <c r="AQ294" s="42"/>
      <c r="AR294" s="42"/>
      <c r="AS294" s="43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IFERROR(__xludf.DUMMYFUNCTION("""COMPUTED_VALUE"""),0.0)</f>
        <v>0</v>
      </c>
      <c r="BE294" s="43">
        <f>IFERROR(__xludf.DUMMYFUNCTION("""COMPUTED_VALUE"""),0.0)</f>
        <v>0</v>
      </c>
      <c r="BF294" s="44">
        <f>IFERROR(__xludf.DUMMYFUNCTION("""COMPUTED_VALUE"""),0.0)</f>
        <v>0</v>
      </c>
      <c r="BG294" s="56"/>
      <c r="BH294" s="56"/>
      <c r="BI294" s="5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</row>
    <row r="295">
      <c r="A295" s="47">
        <f>IFERROR(__xludf.DUMMYFUNCTION("""COMPUTED_VALUE"""),294.0)</f>
        <v>294</v>
      </c>
      <c r="B295" s="48" t="str">
        <f>IFERROR(__xludf.DUMMYFUNCTION("""COMPUTED_VALUE"""),"NAJWA ERILAH")</f>
        <v>NAJWA ERILAH</v>
      </c>
      <c r="C295" s="49">
        <f>IFERROR(__xludf.DUMMYFUNCTION("""COMPUTED_VALUE"""),2.02407002E9)</f>
        <v>2024070020</v>
      </c>
      <c r="D295" s="48" t="str">
        <f>IFERROR(__xludf.DUMMYFUNCTION("""COMPUTED_VALUE"""),"SUKAERI")</f>
        <v>SUKAERI</v>
      </c>
      <c r="E295" s="48" t="str">
        <f>IFERROR(__xludf.DUMMYFUNCTION("""COMPUTED_VALUE"""),"MUNZILAH")</f>
        <v>MUNZILAH</v>
      </c>
      <c r="F295" s="48" t="str">
        <f>IFERROR(__xludf.DUMMYFUNCTION("""COMPUTED_VALUE"""),"PETIYIN TAKERHARJO RT 1 RW 5 SOLOKURO LAMONGAN")</f>
        <v>PETIYIN TAKERHARJO RT 1 RW 5 SOLOKURO LAMONGAN</v>
      </c>
      <c r="G295" s="49" t="str">
        <f>IFERROR(__xludf.DUMMYFUNCTION("""COMPUTED_VALUE"""),"MA-XII.1")</f>
        <v>MA-XII.1</v>
      </c>
      <c r="H295" s="47" t="str">
        <f>IFERROR(__xludf.DUMMYFUNCTION("""COMPUTED_VALUE"""),"D")</f>
        <v>D</v>
      </c>
      <c r="I295" s="51" t="str">
        <f>IFERROR(__xludf.DUMMYFUNCTION("""COMPUTED_VALUE"""),"D-7")</f>
        <v>D-7</v>
      </c>
      <c r="J295" s="51">
        <f>IFERROR(__xludf.DUMMYFUNCTION("""COMPUTED_VALUE"""),3.0)</f>
        <v>3</v>
      </c>
      <c r="K295" s="51" t="str">
        <f>IFERROR(__xludf.DUMMYFUNCTION("""COMPUTED_VALUE"""),"")</f>
        <v/>
      </c>
      <c r="L295" s="50" t="str">
        <f>IFERROR(__xludf.DUMMYFUNCTION("""COMPUTED_VALUE"""),"6285736463854")</f>
        <v>6285736463854</v>
      </c>
      <c r="M295" s="54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IFERROR(__xludf.DUMMYFUNCTION("""COMPUTED_VALUE"""),500000.0)</f>
        <v>500000</v>
      </c>
      <c r="AC295" s="53"/>
      <c r="AD295" s="53"/>
      <c r="AE295" s="53"/>
      <c r="AF295" s="53"/>
      <c r="AG295" s="53"/>
      <c r="AH295" s="53"/>
      <c r="AI295" s="53"/>
      <c r="AJ295" s="53"/>
      <c r="AK295" s="53"/>
      <c r="AL295" s="53">
        <f>IFERROR(__xludf.DUMMYFUNCTION("""COMPUTED_VALUE"""),450000.0)</f>
        <v>450000</v>
      </c>
      <c r="AM295" s="53">
        <f>IFERROR(__xludf.DUMMYFUNCTION("""COMPUTED_VALUE"""),450000.0)</f>
        <v>450000</v>
      </c>
      <c r="AN295" s="53">
        <f>IFERROR(__xludf.DUMMYFUNCTION("""COMPUTED_VALUE"""),450000.0)</f>
        <v>450000</v>
      </c>
      <c r="AO295" s="54"/>
      <c r="AP295" s="54">
        <f>IFERROR(__xludf.DUMMYFUNCTION("""COMPUTED_VALUE"""),500000.0)</f>
        <v>500000</v>
      </c>
      <c r="AQ295" s="53"/>
      <c r="AR295" s="54"/>
      <c r="AS295" s="54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IFERROR(__xludf.DUMMYFUNCTION("""COMPUTED_VALUE"""),1350000.0)</f>
        <v>1350000</v>
      </c>
      <c r="BD295" s="54">
        <f>IFERROR(__xludf.DUMMYFUNCTION("""COMPUTED_VALUE"""),1000000.0)</f>
        <v>1000000</v>
      </c>
      <c r="BE295" s="54">
        <f>IFERROR(__xludf.DUMMYFUNCTION("""COMPUTED_VALUE"""),0.0)</f>
        <v>0</v>
      </c>
      <c r="BF295" s="55">
        <f>IFERROR(__xludf.DUMMYFUNCTION("""COMPUTED_VALUE"""),2350000.0)</f>
        <v>2350000</v>
      </c>
      <c r="BG295" s="57"/>
      <c r="BH295" s="57"/>
      <c r="BI295" s="57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</row>
    <row r="296">
      <c r="A296" s="36">
        <f>IFERROR(__xludf.DUMMYFUNCTION("""COMPUTED_VALUE"""),295.0)</f>
        <v>295</v>
      </c>
      <c r="B296" s="37" t="str">
        <f>IFERROR(__xludf.DUMMYFUNCTION("""COMPUTED_VALUE"""),"NANDA RAGIL DAVINA BATRISYA")</f>
        <v>NANDA RAGIL DAVINA BATRISYA</v>
      </c>
      <c r="C296" s="38">
        <f>IFERROR(__xludf.DUMMYFUNCTION("""COMPUTED_VALUE"""),2.024070531E9)</f>
        <v>2024070531</v>
      </c>
      <c r="D296" s="37" t="str">
        <f>IFERROR(__xludf.DUMMYFUNCTION("""COMPUTED_VALUE"""),"SIGIT SUWITO")</f>
        <v>SIGIT SUWITO</v>
      </c>
      <c r="E296" s="37" t="str">
        <f>IFERROR(__xludf.DUMMYFUNCTION("""COMPUTED_VALUE"""),"NURBANI PRASETYAWATI")</f>
        <v>NURBANI PRASETYAWATI</v>
      </c>
      <c r="F296" s="37" t="str">
        <f>IFERROR(__xludf.DUMMYFUNCTION("""COMPUTED_VALUE"""),"GOWAH POMAHANJANGGAN RT 003 RW 001 TURI LAMONGAN")</f>
        <v>GOWAH POMAHANJANGGAN RT 003 RW 001 TURI LAMONGAN</v>
      </c>
      <c r="G296" s="39" t="str">
        <f>IFERROR(__xludf.DUMMYFUNCTION("""COMPUTED_VALUE"""),"MTS-9 C")</f>
        <v>MTS-9 C</v>
      </c>
      <c r="H296" s="36" t="str">
        <f>IFERROR(__xludf.DUMMYFUNCTION("""COMPUTED_VALUE"""),"D")</f>
        <v>D</v>
      </c>
      <c r="I296" s="40" t="str">
        <f>IFERROR(__xludf.DUMMYFUNCTION("""COMPUTED_VALUE"""),"D-4")</f>
        <v>D-4</v>
      </c>
      <c r="J296" s="40">
        <f>IFERROR(__xludf.DUMMYFUNCTION("""COMPUTED_VALUE"""),3.0)</f>
        <v>3</v>
      </c>
      <c r="K296" s="40" t="str">
        <f>IFERROR(__xludf.DUMMYFUNCTION("""COMPUTED_VALUE"""),"3 ULA A PUTRI")</f>
        <v>3 ULA A PUTRI</v>
      </c>
      <c r="L296" s="39" t="str">
        <f>IFERROR(__xludf.DUMMYFUNCTION("""COMPUTED_VALUE"""),"6285730766563")</f>
        <v>6285730766563</v>
      </c>
      <c r="M296" s="43"/>
      <c r="N296" s="42"/>
      <c r="O296" s="42"/>
      <c r="P296" s="42"/>
      <c r="Q296" s="42"/>
      <c r="R296" s="42"/>
      <c r="S296" s="42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IFERROR(__xludf.DUMMYFUNCTION("""COMPUTED_VALUE"""),0.0)</f>
        <v>0</v>
      </c>
      <c r="BE296" s="43">
        <f>IFERROR(__xludf.DUMMYFUNCTION("""COMPUTED_VALUE"""),0.0)</f>
        <v>0</v>
      </c>
      <c r="BF296" s="44">
        <f>IFERROR(__xludf.DUMMYFUNCTION("""COMPUTED_VALUE"""),0.0)</f>
        <v>0</v>
      </c>
      <c r="BG296" s="56"/>
      <c r="BH296" s="56"/>
      <c r="BI296" s="5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</row>
    <row r="297">
      <c r="A297" s="47">
        <f>IFERROR(__xludf.DUMMYFUNCTION("""COMPUTED_VALUE"""),296.0)</f>
        <v>296</v>
      </c>
      <c r="B297" s="48" t="str">
        <f>IFERROR(__xludf.DUMMYFUNCTION("""COMPUTED_VALUE"""),"NIKMAH PUTRI ISMAWATI")</f>
        <v>NIKMAH PUTRI ISMAWATI</v>
      </c>
      <c r="C297" s="49">
        <f>IFERROR(__xludf.DUMMYFUNCTION("""COMPUTED_VALUE"""),2.024070432E9)</f>
        <v>2024070432</v>
      </c>
      <c r="D297" s="48" t="str">
        <f>IFERROR(__xludf.DUMMYFUNCTION("""COMPUTED_VALUE"""),"NGATMAJI")</f>
        <v>NGATMAJI</v>
      </c>
      <c r="E297" s="48" t="str">
        <f>IFERROR(__xludf.DUMMYFUNCTION("""COMPUTED_VALUE"""),"RUKIYATI")</f>
        <v>RUKIYATI</v>
      </c>
      <c r="F297" s="48" t="str">
        <f>IFERROR(__xludf.DUMMYFUNCTION("""COMPUTED_VALUE"""),"TAMAN TAMANPRIJEG RT 003 RW 001 LAREN LAMONGAN")</f>
        <v>TAMAN TAMANPRIJEG RT 003 RW 001 LAREN LAMONGAN</v>
      </c>
      <c r="G297" s="49" t="str">
        <f>IFERROR(__xludf.DUMMYFUNCTION("""COMPUTED_VALUE"""),"MA-XII.13")</f>
        <v>MA-XII.13</v>
      </c>
      <c r="H297" s="47" t="str">
        <f>IFERROR(__xludf.DUMMYFUNCTION("""COMPUTED_VALUE"""),"D")</f>
        <v>D</v>
      </c>
      <c r="I297" s="51" t="str">
        <f>IFERROR(__xludf.DUMMYFUNCTION("""COMPUTED_VALUE"""),"D-6")</f>
        <v>D-6</v>
      </c>
      <c r="J297" s="51">
        <f>IFERROR(__xludf.DUMMYFUNCTION("""COMPUTED_VALUE"""),3.0)</f>
        <v>3</v>
      </c>
      <c r="K297" s="51" t="str">
        <f>IFERROR(__xludf.DUMMYFUNCTION("""COMPUTED_VALUE"""),"3 MAK PUTRI")</f>
        <v>3 MAK PUTRI</v>
      </c>
      <c r="L297" s="50" t="str">
        <f>IFERROR(__xludf.DUMMYFUNCTION("""COMPUTED_VALUE"""),"6281455138598")</f>
        <v>6281455138598</v>
      </c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4"/>
      <c r="AP297" s="53">
        <f>IFERROR(__xludf.DUMMYFUNCTION("""COMPUTED_VALUE"""),500000.0)</f>
        <v>500000</v>
      </c>
      <c r="AQ297" s="53"/>
      <c r="AR297" s="53"/>
      <c r="AS297" s="54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IFERROR(__xludf.DUMMYFUNCTION("""COMPUTED_VALUE"""),0.0)</f>
        <v>0</v>
      </c>
      <c r="BD297" s="54">
        <f>IFERROR(__xludf.DUMMYFUNCTION("""COMPUTED_VALUE"""),500000.0)</f>
        <v>500000</v>
      </c>
      <c r="BE297" s="54">
        <f>IFERROR(__xludf.DUMMYFUNCTION("""COMPUTED_VALUE"""),0.0)</f>
        <v>0</v>
      </c>
      <c r="BF297" s="55">
        <f>IFERROR(__xludf.DUMMYFUNCTION("""COMPUTED_VALUE"""),500000.0)</f>
        <v>500000</v>
      </c>
      <c r="BG297" s="57"/>
      <c r="BH297" s="57"/>
      <c r="BI297" s="57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</row>
    <row r="298">
      <c r="A298" s="36">
        <f>IFERROR(__xludf.DUMMYFUNCTION("""COMPUTED_VALUE"""),297.0)</f>
        <v>297</v>
      </c>
      <c r="B298" s="37" t="str">
        <f>IFERROR(__xludf.DUMMYFUNCTION("""COMPUTED_VALUE"""),"NIMAS AMINAH AZ-ZAHRAH")</f>
        <v>NIMAS AMINAH AZ-ZAHRAH</v>
      </c>
      <c r="C298" s="38">
        <f>IFERROR(__xludf.DUMMYFUNCTION("""COMPUTED_VALUE"""),2.024070433E9)</f>
        <v>2024070433</v>
      </c>
      <c r="D298" s="37" t="str">
        <f>IFERROR(__xludf.DUMMYFUNCTION("""COMPUTED_VALUE"""),"ABD. MUGHNI")</f>
        <v>ABD. MUGHNI</v>
      </c>
      <c r="E298" s="37" t="str">
        <f>IFERROR(__xludf.DUMMYFUNCTION("""COMPUTED_VALUE"""),"ZIYADATUR RIF`AH")</f>
        <v>ZIYADATUR RIF`AH</v>
      </c>
      <c r="F298" s="37" t="str">
        <f>IFERROR(__xludf.DUMMYFUNCTION("""COMPUTED_VALUE"""),"BUNGAH RT 17 RW 6 BUNGAH GRESIK")</f>
        <v>BUNGAH RT 17 RW 6 BUNGAH GRESIK</v>
      </c>
      <c r="G298" s="38" t="str">
        <f>IFERROR(__xludf.DUMMYFUNCTION("""COMPUTED_VALUE"""),"MA-XII.13")</f>
        <v>MA-XII.13</v>
      </c>
      <c r="H298" s="36" t="str">
        <f>IFERROR(__xludf.DUMMYFUNCTION("""COMPUTED_VALUE"""),"D")</f>
        <v>D</v>
      </c>
      <c r="I298" s="40" t="str">
        <f>IFERROR(__xludf.DUMMYFUNCTION("""COMPUTED_VALUE"""),"D-7")</f>
        <v>D-7</v>
      </c>
      <c r="J298" s="40">
        <f>IFERROR(__xludf.DUMMYFUNCTION("""COMPUTED_VALUE"""),3.0)</f>
        <v>3</v>
      </c>
      <c r="K298" s="40" t="str">
        <f>IFERROR(__xludf.DUMMYFUNCTION("""COMPUTED_VALUE"""),"3 MAK PUTRI")</f>
        <v>3 MAK PUTRI</v>
      </c>
      <c r="L298" s="39" t="str">
        <f>IFERROR(__xludf.DUMMYFUNCTION("""COMPUTED_VALUE"""),"6285731322231")</f>
        <v>6285731322231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3"/>
      <c r="AR298" s="43"/>
      <c r="AS298" s="43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IFERROR(__xludf.DUMMYFUNCTION("""COMPUTED_VALUE"""),0.0)</f>
        <v>0</v>
      </c>
      <c r="BE298" s="43">
        <f>IFERROR(__xludf.DUMMYFUNCTION("""COMPUTED_VALUE"""),0.0)</f>
        <v>0</v>
      </c>
      <c r="BF298" s="44">
        <f>IFERROR(__xludf.DUMMYFUNCTION("""COMPUTED_VALUE"""),0.0)</f>
        <v>0</v>
      </c>
      <c r="BG298" s="56"/>
      <c r="BH298" s="56"/>
      <c r="BI298" s="5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</row>
    <row r="299">
      <c r="A299" s="47">
        <f>IFERROR(__xludf.DUMMYFUNCTION("""COMPUTED_VALUE"""),298.0)</f>
        <v>298</v>
      </c>
      <c r="B299" s="48" t="str">
        <f>IFERROR(__xludf.DUMMYFUNCTION("""COMPUTED_VALUE"""),"PRITA DEWI PUSPITA")</f>
        <v>PRITA DEWI PUSPITA</v>
      </c>
      <c r="C299" s="49">
        <f>IFERROR(__xludf.DUMMYFUNCTION("""COMPUTED_VALUE"""),2.024070358E9)</f>
        <v>2024070358</v>
      </c>
      <c r="D299" s="48" t="str">
        <f>IFERROR(__xludf.DUMMYFUNCTION("""COMPUTED_VALUE"""),"ARIEF RUSLAN")</f>
        <v>ARIEF RUSLAN</v>
      </c>
      <c r="E299" s="48" t="str">
        <f>IFERROR(__xludf.DUMMYFUNCTION("""COMPUTED_VALUE"""),"SHOLIKHAH")</f>
        <v>SHOLIKHAH</v>
      </c>
      <c r="F299" s="48" t="str">
        <f>IFERROR(__xludf.DUMMYFUNCTION("""COMPUTED_VALUE"""),"KEDUNGKLANTING KEDUNGMEGARIH RT 017 RW 005 KEMBANGBAHU LAMONGAN")</f>
        <v>KEDUNGKLANTING KEDUNGMEGARIH RT 017 RW 005 KEMBANGBAHU LAMONGAN</v>
      </c>
      <c r="G299" s="49" t="str">
        <f>IFERROR(__xludf.DUMMYFUNCTION("""COMPUTED_VALUE"""),"MA-XII.11")</f>
        <v>MA-XII.11</v>
      </c>
      <c r="H299" s="47" t="str">
        <f>IFERROR(__xludf.DUMMYFUNCTION("""COMPUTED_VALUE"""),"D")</f>
        <v>D</v>
      </c>
      <c r="I299" s="51" t="str">
        <f>IFERROR(__xludf.DUMMYFUNCTION("""COMPUTED_VALUE"""),"D-6")</f>
        <v>D-6</v>
      </c>
      <c r="J299" s="51">
        <f>IFERROR(__xludf.DUMMYFUNCTION("""COMPUTED_VALUE"""),3.0)</f>
        <v>3</v>
      </c>
      <c r="K299" s="51" t="str">
        <f>IFERROR(__xludf.DUMMYFUNCTION("""COMPUTED_VALUE"""),"3 WUSTHO C PUTRI")</f>
        <v>3 WUSTHO C PUTRI</v>
      </c>
      <c r="L299" s="50" t="str">
        <f>IFERROR(__xludf.DUMMYFUNCTION("""COMPUTED_VALUE"""),"6285785355522")</f>
        <v>6285785355522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4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7"/>
      <c r="BH299" s="57"/>
      <c r="BI299" s="57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</row>
    <row r="300">
      <c r="A300" s="36">
        <f>IFERROR(__xludf.DUMMYFUNCTION("""COMPUTED_VALUE"""),299.0)</f>
        <v>299</v>
      </c>
      <c r="B300" s="37" t="str">
        <f>IFERROR(__xludf.DUMMYFUNCTION("""COMPUTED_VALUE"""),"PUTRI AYU RAMADHANI")</f>
        <v>PUTRI AYU RAMADHANI</v>
      </c>
      <c r="C300" s="38">
        <f>IFERROR(__xludf.DUMMYFUNCTION("""COMPUTED_VALUE"""),2.024070359E9)</f>
        <v>2024070359</v>
      </c>
      <c r="D300" s="37" t="str">
        <f>IFERROR(__xludf.DUMMYFUNCTION("""COMPUTED_VALUE"""),"SARPAN")</f>
        <v>SARPAN</v>
      </c>
      <c r="E300" s="37" t="str">
        <f>IFERROR(__xludf.DUMMYFUNCTION("""COMPUTED_VALUE"""),"ROHAH")</f>
        <v>ROHAH</v>
      </c>
      <c r="F300" s="37" t="str">
        <f>IFERROR(__xludf.DUMMYFUNCTION("""COMPUTED_VALUE"""),"KEDUNGGLONGGONG SIDOMUKTI RT 003 RW 001 KEMBANGBAHU LAMONGAN")</f>
        <v>KEDUNGGLONGGONG SIDOMUKTI RT 003 RW 001 KEMBANGBAHU LAMONGAN</v>
      </c>
      <c r="G300" s="38" t="str">
        <f>IFERROR(__xludf.DUMMYFUNCTION("""COMPUTED_VALUE"""),"MA-XII.11")</f>
        <v>MA-XII.11</v>
      </c>
      <c r="H300" s="36" t="str">
        <f>IFERROR(__xludf.DUMMYFUNCTION("""COMPUTED_VALUE"""),"D")</f>
        <v>D</v>
      </c>
      <c r="I300" s="40" t="str">
        <f>IFERROR(__xludf.DUMMYFUNCTION("""COMPUTED_VALUE"""),"D-6")</f>
        <v>D-6</v>
      </c>
      <c r="J300" s="40">
        <f>IFERROR(__xludf.DUMMYFUNCTION("""COMPUTED_VALUE"""),3.0)</f>
        <v>3</v>
      </c>
      <c r="K300" s="40" t="str">
        <f>IFERROR(__xludf.DUMMYFUNCTION("""COMPUTED_VALUE"""),"3 WUSTHO C PUTRI")</f>
        <v>3 WUSTHO C PUTRI</v>
      </c>
      <c r="L300" s="39" t="str">
        <f>IFERROR(__xludf.DUMMYFUNCTION("""COMPUTED_VALUE"""),"6285706372425")</f>
        <v>6285706372425</v>
      </c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3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56"/>
      <c r="BH300" s="56"/>
      <c r="BI300" s="5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</row>
    <row r="301">
      <c r="A301" s="47">
        <f>IFERROR(__xludf.DUMMYFUNCTION("""COMPUTED_VALUE"""),300.0)</f>
        <v>300</v>
      </c>
      <c r="B301" s="48" t="str">
        <f>IFERROR(__xludf.DUMMYFUNCTION("""COMPUTED_VALUE"""),"ROBI`AH AL-ADHAWIYAH")</f>
        <v>ROBI`AH AL-ADHAWIYAH</v>
      </c>
      <c r="C301" s="49">
        <f>IFERROR(__xludf.DUMMYFUNCTION("""COMPUTED_VALUE"""),2.024070022E9)</f>
        <v>2024070022</v>
      </c>
      <c r="D301" s="48" t="str">
        <f>IFERROR(__xludf.DUMMYFUNCTION("""COMPUTED_VALUE"""),"SUNYOTO")</f>
        <v>SUNYOTO</v>
      </c>
      <c r="E301" s="48" t="str">
        <f>IFERROR(__xludf.DUMMYFUNCTION("""COMPUTED_VALUE"""),"SURATI")</f>
        <v>SURATI</v>
      </c>
      <c r="F301" s="48" t="str">
        <f>IFERROR(__xludf.DUMMYFUNCTION("""COMPUTED_VALUE"""),"KRAJAN 1 SUKOBENDU RT 1 RW 2 MANTUP LAMONGAN")</f>
        <v>KRAJAN 1 SUKOBENDU RT 1 RW 2 MANTUP LAMONGAN</v>
      </c>
      <c r="G301" s="49" t="str">
        <f>IFERROR(__xludf.DUMMYFUNCTION("""COMPUTED_VALUE"""),"MA-XII.1")</f>
        <v>MA-XII.1</v>
      </c>
      <c r="H301" s="47" t="str">
        <f>IFERROR(__xludf.DUMMYFUNCTION("""COMPUTED_VALUE"""),"D")</f>
        <v>D</v>
      </c>
      <c r="I301" s="51" t="str">
        <f>IFERROR(__xludf.DUMMYFUNCTION("""COMPUTED_VALUE"""),"D-7")</f>
        <v>D-7</v>
      </c>
      <c r="J301" s="51">
        <f>IFERROR(__xludf.DUMMYFUNCTION("""COMPUTED_VALUE"""),3.0)</f>
        <v>3</v>
      </c>
      <c r="K301" s="51" t="str">
        <f>IFERROR(__xludf.DUMMYFUNCTION("""COMPUTED_VALUE"""),"")</f>
        <v/>
      </c>
      <c r="L301" s="50" t="str">
        <f>IFERROR(__xludf.DUMMYFUNCTION("""COMPUTED_VALUE"""),"6285133823392")</f>
        <v>6285133823392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4"/>
      <c r="W301" s="54"/>
      <c r="X301" s="54"/>
      <c r="Y301" s="54"/>
      <c r="Z301" s="54"/>
      <c r="AA301" s="54"/>
      <c r="AB301" s="54">
        <f>IFERROR(__xludf.DUMMYFUNCTION("""COMPUTED_VALUE"""),500000.0)</f>
        <v>500000</v>
      </c>
      <c r="AC301" s="54"/>
      <c r="AD301" s="54"/>
      <c r="AE301" s="54"/>
      <c r="AF301" s="54"/>
      <c r="AG301" s="54"/>
      <c r="AH301" s="54"/>
      <c r="AI301" s="54">
        <f>IFERROR(__xludf.DUMMYFUNCTION("""COMPUTED_VALUE"""),450000.0)</f>
        <v>450000</v>
      </c>
      <c r="AJ301" s="54">
        <f>IFERROR(__xludf.DUMMYFUNCTION("""COMPUTED_VALUE"""),450000.0)</f>
        <v>450000</v>
      </c>
      <c r="AK301" s="54">
        <f>IFERROR(__xludf.DUMMYFUNCTION("""COMPUTED_VALUE"""),450000.0)</f>
        <v>450000</v>
      </c>
      <c r="AL301" s="54">
        <f>IFERROR(__xludf.DUMMYFUNCTION("""COMPUTED_VALUE"""),450000.0)</f>
        <v>450000</v>
      </c>
      <c r="AM301" s="54">
        <f>IFERROR(__xludf.DUMMYFUNCTION("""COMPUTED_VALUE"""),450000.0)</f>
        <v>450000</v>
      </c>
      <c r="AN301" s="54">
        <f>IFERROR(__xludf.DUMMYFUNCTION("""COMPUTED_VALUE"""),450000.0)</f>
        <v>450000</v>
      </c>
      <c r="AO301" s="53"/>
      <c r="AP301" s="54">
        <f>IFERROR(__xludf.DUMMYFUNCTION("""COMPUTED_VALUE"""),500000.0)</f>
        <v>500000</v>
      </c>
      <c r="AQ301" s="54"/>
      <c r="AR301" s="54"/>
      <c r="AS301" s="54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IFERROR(__xludf.DUMMYFUNCTION("""COMPUTED_VALUE"""),2700000.0)</f>
        <v>2700000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IFERROR(__xludf.DUMMYFUNCTION("""COMPUTED_VALUE"""),3700000.0)</f>
        <v>3700000</v>
      </c>
      <c r="BG301" s="57"/>
      <c r="BH301" s="57"/>
      <c r="BI301" s="57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</row>
    <row r="302">
      <c r="A302" s="36">
        <f>IFERROR(__xludf.DUMMYFUNCTION("""COMPUTED_VALUE"""),301.0)</f>
        <v>301</v>
      </c>
      <c r="B302" s="37" t="str">
        <f>IFERROR(__xludf.DUMMYFUNCTION("""COMPUTED_VALUE"""),"SUKMA RIZKI AMALIA")</f>
        <v>SUKMA RIZKI AMALIA</v>
      </c>
      <c r="C302" s="38">
        <f>IFERROR(__xludf.DUMMYFUNCTION("""COMPUTED_VALUE"""),2.024070201E9)</f>
        <v>2024070201</v>
      </c>
      <c r="D302" s="37" t="str">
        <f>IFERROR(__xludf.DUMMYFUNCTION("""COMPUTED_VALUE"""),"SUWITO")</f>
        <v>SUWITO</v>
      </c>
      <c r="E302" s="37" t="str">
        <f>IFERROR(__xludf.DUMMYFUNCTION("""COMPUTED_VALUE"""),"UMAROH NATASARI")</f>
        <v>UMAROH NATASARI</v>
      </c>
      <c r="F302" s="37" t="str">
        <f>IFERROR(__xludf.DUMMYFUNCTION("""COMPUTED_VALUE"""),"PLOSOKUNING RT 004 RW 002 PADENGANPLOSO PUCUK LAMONGAN")</f>
        <v>PLOSOKUNING RT 004 RW 002 PADENGANPLOSO PUCUK LAMONGAN</v>
      </c>
      <c r="G302" s="38" t="str">
        <f>IFERROR(__xludf.DUMMYFUNCTION("""COMPUTED_VALUE"""),"MA-XII.12")</f>
        <v>MA-XII.12</v>
      </c>
      <c r="H302" s="36" t="str">
        <f>IFERROR(__xludf.DUMMYFUNCTION("""COMPUTED_VALUE"""),"D")</f>
        <v>D</v>
      </c>
      <c r="I302" s="40" t="str">
        <f>IFERROR(__xludf.DUMMYFUNCTION("""COMPUTED_VALUE"""),"D-6")</f>
        <v>D-6</v>
      </c>
      <c r="J302" s="40">
        <f>IFERROR(__xludf.DUMMYFUNCTION("""COMPUTED_VALUE"""),3.0)</f>
        <v>3</v>
      </c>
      <c r="K302" s="40" t="str">
        <f>IFERROR(__xludf.DUMMYFUNCTION("""COMPUTED_VALUE"""),"3 WUSTHO C PUTRI")</f>
        <v>3 WUSTHO C PUTRI</v>
      </c>
      <c r="L302" s="39" t="str">
        <f>IFERROR(__xludf.DUMMYFUNCTION("""COMPUTED_VALUE"""),"628123082773")</f>
        <v>628123082773</v>
      </c>
      <c r="M302" s="43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3"/>
      <c r="AB302" s="43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3"/>
      <c r="AO302" s="43"/>
      <c r="AP302" s="43"/>
      <c r="AQ302" s="43"/>
      <c r="AR302" s="43"/>
      <c r="AS302" s="43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IFERROR(__xludf.DUMMYFUNCTION("""COMPUTED_VALUE"""),0.0)</f>
        <v>0</v>
      </c>
      <c r="BE302" s="43">
        <f>IFERROR(__xludf.DUMMYFUNCTION("""COMPUTED_VALUE"""),0.0)</f>
        <v>0</v>
      </c>
      <c r="BF302" s="44">
        <f>IFERROR(__xludf.DUMMYFUNCTION("""COMPUTED_VALUE"""),0.0)</f>
        <v>0</v>
      </c>
      <c r="BG302" s="56"/>
      <c r="BH302" s="56"/>
      <c r="BI302" s="5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</row>
    <row r="303">
      <c r="A303" s="47">
        <f>IFERROR(__xludf.DUMMYFUNCTION("""COMPUTED_VALUE"""),302.0)</f>
        <v>302</v>
      </c>
      <c r="B303" s="48" t="str">
        <f>IFERROR(__xludf.DUMMYFUNCTION("""COMPUTED_VALUE"""),"AIDA NURUL AINI")</f>
        <v>AIDA NURUL AINI</v>
      </c>
      <c r="C303" s="49">
        <f>IFERROR(__xludf.DUMMYFUNCTION("""COMPUTED_VALUE"""),2.024070582E9)</f>
        <v>2024070582</v>
      </c>
      <c r="D303" s="48" t="str">
        <f>IFERROR(__xludf.DUMMYFUNCTION("""COMPUTED_VALUE"""),"NURUL MISBAH")</f>
        <v>NURUL MISBAH</v>
      </c>
      <c r="E303" s="48" t="str">
        <f>IFERROR(__xludf.DUMMYFUNCTION("""COMPUTED_VALUE"""),"ZAINATUR ROBIHAH")</f>
        <v>ZAINATUR ROBIHAH</v>
      </c>
      <c r="F303" s="48" t="str">
        <f>IFERROR(__xludf.DUMMYFUNCTION("""COMPUTED_VALUE"""),"BANGERAN GENENG RT 003 RW 002 DUKUN GRESIK")</f>
        <v>BANGERAN GENENG RT 003 RW 002 DUKUN GRESIK</v>
      </c>
      <c r="G303" s="49" t="str">
        <f>IFERROR(__xludf.DUMMYFUNCTION("""COMPUTED_VALUE"""),"MTS-9 A")</f>
        <v>MTS-9 A</v>
      </c>
      <c r="H303" s="47" t="str">
        <f>IFERROR(__xludf.DUMMYFUNCTION("""COMPUTED_VALUE"""),"E")</f>
        <v>E</v>
      </c>
      <c r="I303" s="51" t="str">
        <f>IFERROR(__xludf.DUMMYFUNCTION("""COMPUTED_VALUE"""),"E-9")</f>
        <v>E-9</v>
      </c>
      <c r="J303" s="51">
        <f>IFERROR(__xludf.DUMMYFUNCTION("""COMPUTED_VALUE"""),3.0)</f>
        <v>3</v>
      </c>
      <c r="K303" s="51" t="str">
        <f>IFERROR(__xludf.DUMMYFUNCTION("""COMPUTED_VALUE"""),"3 ULA A PUTRI")</f>
        <v>3 ULA A PUTRI</v>
      </c>
      <c r="L303" s="50" t="str">
        <f>IFERROR(__xludf.DUMMYFUNCTION("""COMPUTED_VALUE"""),"6285732704608")</f>
        <v>6285732704608</v>
      </c>
      <c r="M303" s="54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>
        <f>IFERROR(__xludf.DUMMYFUNCTION("""COMPUTED_VALUE"""),500000.0)</f>
        <v>500000</v>
      </c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>
        <f>IFERROR(__xludf.DUMMYFUNCTION("""COMPUTED_VALUE"""),500000.0)</f>
        <v>500000</v>
      </c>
      <c r="AQ303" s="53"/>
      <c r="AR303" s="53"/>
      <c r="AS303" s="54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IFERROR(__xludf.DUMMYFUNCTION("""COMPUTED_VALUE"""),1000000.0)</f>
        <v>1000000</v>
      </c>
      <c r="BE303" s="54">
        <f>IFERROR(__xludf.DUMMYFUNCTION("""COMPUTED_VALUE"""),0.0)</f>
        <v>0</v>
      </c>
      <c r="BF303" s="55">
        <f>IFERROR(__xludf.DUMMYFUNCTION("""COMPUTED_VALUE"""),1000000.0)</f>
        <v>1000000</v>
      </c>
      <c r="BG303" s="57"/>
      <c r="BH303" s="57"/>
      <c r="BI303" s="57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</row>
    <row r="304">
      <c r="A304" s="36">
        <f>IFERROR(__xludf.DUMMYFUNCTION("""COMPUTED_VALUE"""),303.0)</f>
        <v>303</v>
      </c>
      <c r="B304" s="37" t="str">
        <f>IFERROR(__xludf.DUMMYFUNCTION("""COMPUTED_VALUE"""),"AIKE NESAFA ULIFIA")</f>
        <v>AIKE NESAFA ULIFIA</v>
      </c>
      <c r="C304" s="38">
        <f>IFERROR(__xludf.DUMMYFUNCTION("""COMPUTED_VALUE"""),2.02407045E9)</f>
        <v>2024070450</v>
      </c>
      <c r="D304" s="37" t="str">
        <f>IFERROR(__xludf.DUMMYFUNCTION("""COMPUTED_VALUE"""),"WITONO")</f>
        <v>WITONO</v>
      </c>
      <c r="E304" s="37" t="str">
        <f>IFERROR(__xludf.DUMMYFUNCTION("""COMPUTED_VALUE"""),"MARIA ULFA")</f>
        <v>MARIA ULFA</v>
      </c>
      <c r="F304" s="37" t="str">
        <f>IFERROR(__xludf.DUMMYFUNCTION("""COMPUTED_VALUE"""),"KUSUMA BANGSA GG KERTANEGARA TUMENGGUNGAN RT 003 RW 006 LAMONGAN LAMONGAN")</f>
        <v>KUSUMA BANGSA GG KERTANEGARA TUMENGGUNGAN RT 003 RW 006 LAMONGAN LAMONGAN</v>
      </c>
      <c r="G304" s="38" t="str">
        <f>IFERROR(__xludf.DUMMYFUNCTION("""COMPUTED_VALUE"""),"MTS-9 A")</f>
        <v>MTS-9 A</v>
      </c>
      <c r="H304" s="36" t="str">
        <f>IFERROR(__xludf.DUMMYFUNCTION("""COMPUTED_VALUE"""),"E")</f>
        <v>E</v>
      </c>
      <c r="I304" s="40" t="str">
        <f>IFERROR(__xludf.DUMMYFUNCTION("""COMPUTED_VALUE"""),"E-9")</f>
        <v>E-9</v>
      </c>
      <c r="J304" s="40">
        <f>IFERROR(__xludf.DUMMYFUNCTION("""COMPUTED_VALUE"""),3.0)</f>
        <v>3</v>
      </c>
      <c r="K304" s="40" t="str">
        <f>IFERROR(__xludf.DUMMYFUNCTION("""COMPUTED_VALUE"""),"3 ULA B PUTRI")</f>
        <v>3 ULA B PUTRI</v>
      </c>
      <c r="L304" s="39" t="str">
        <f>IFERROR(__xludf.DUMMYFUNCTION("""COMPUTED_VALUE"""),"6285733946516")</f>
        <v>6285733946516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3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56"/>
      <c r="BH304" s="56"/>
      <c r="BI304" s="5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</row>
    <row r="305">
      <c r="A305" s="47">
        <f>IFERROR(__xludf.DUMMYFUNCTION("""COMPUTED_VALUE"""),304.0)</f>
        <v>304</v>
      </c>
      <c r="B305" s="48" t="str">
        <f>IFERROR(__xludf.DUMMYFUNCTION("""COMPUTED_VALUE"""),"AL IMROTUL KUSNIA")</f>
        <v>AL IMROTUL KUSNIA</v>
      </c>
      <c r="C305" s="49">
        <f>IFERROR(__xludf.DUMMYFUNCTION("""COMPUTED_VALUE"""),2.024070483E9)</f>
        <v>2024070483</v>
      </c>
      <c r="D305" s="48" t="str">
        <f>IFERROR(__xludf.DUMMYFUNCTION("""COMPUTED_VALUE"""),"AFIFUDIN")</f>
        <v>AFIFUDIN</v>
      </c>
      <c r="E305" s="48" t="str">
        <f>IFERROR(__xludf.DUMMYFUNCTION("""COMPUTED_VALUE"""),"ROSYIDAH")</f>
        <v>ROSYIDAH</v>
      </c>
      <c r="F305" s="48" t="str">
        <f>IFERROR(__xludf.DUMMYFUNCTION("""COMPUTED_VALUE"""),"NGAYUNG RT 007 RW 002 MADURAN LAMONGAN")</f>
        <v>NGAYUNG RT 007 RW 002 MADURAN LAMONGAN</v>
      </c>
      <c r="G305" s="49" t="str">
        <f>IFERROR(__xludf.DUMMYFUNCTION("""COMPUTED_VALUE"""),"MTS-9 C")</f>
        <v>MTS-9 C</v>
      </c>
      <c r="H305" s="47" t="str">
        <f>IFERROR(__xludf.DUMMYFUNCTION("""COMPUTED_VALUE"""),"E")</f>
        <v>E</v>
      </c>
      <c r="I305" s="51" t="str">
        <f>IFERROR(__xludf.DUMMYFUNCTION("""COMPUTED_VALUE"""),"E-2")</f>
        <v>E-2</v>
      </c>
      <c r="J305" s="51">
        <f>IFERROR(__xludf.DUMMYFUNCTION("""COMPUTED_VALUE"""),3.0)</f>
        <v>3</v>
      </c>
      <c r="K305" s="51" t="str">
        <f>IFERROR(__xludf.DUMMYFUNCTION("""COMPUTED_VALUE"""),"3 ULA C PUTRI")</f>
        <v>3 ULA C PUTRI</v>
      </c>
      <c r="L305" s="50" t="str">
        <f>IFERROR(__xludf.DUMMYFUNCTION("""COMPUTED_VALUE"""),"6282330812041")</f>
        <v>6282330812041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>
        <f>IFERROR(__xludf.DUMMYFUNCTION("""COMPUTED_VALUE"""),500000.0)</f>
        <v>500000</v>
      </c>
      <c r="AL305" s="53">
        <f>IFERROR(__xludf.DUMMYFUNCTION("""COMPUTED_VALUE"""),500000.0)</f>
        <v>500000</v>
      </c>
      <c r="AM305" s="53">
        <f>IFERROR(__xludf.DUMMYFUNCTION("""COMPUTED_VALUE"""),500000.0)</f>
        <v>500000</v>
      </c>
      <c r="AN305" s="53">
        <f>IFERROR(__xludf.DUMMYFUNCTION("""COMPUTED_VALUE"""),500000.0)</f>
        <v>500000</v>
      </c>
      <c r="AO305" s="53"/>
      <c r="AP305" s="54"/>
      <c r="AQ305" s="53"/>
      <c r="AR305" s="53"/>
      <c r="AS305" s="54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IFERROR(__xludf.DUMMYFUNCTION("""COMPUTED_VALUE"""),2000000.0)</f>
        <v>2000000</v>
      </c>
      <c r="BD305" s="54">
        <f>IFERROR(__xludf.DUMMYFUNCTION("""COMPUTED_VALUE"""),0.0)</f>
        <v>0</v>
      </c>
      <c r="BE305" s="54">
        <f>IFERROR(__xludf.DUMMYFUNCTION("""COMPUTED_VALUE"""),0.0)</f>
        <v>0</v>
      </c>
      <c r="BF305" s="55">
        <f>IFERROR(__xludf.DUMMYFUNCTION("""COMPUTED_VALUE"""),2000000.0)</f>
        <v>2000000</v>
      </c>
      <c r="BG305" s="57"/>
      <c r="BH305" s="57"/>
      <c r="BI305" s="57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</row>
    <row r="306">
      <c r="A306" s="36">
        <f>IFERROR(__xludf.DUMMYFUNCTION("""COMPUTED_VALUE"""),305.0)</f>
        <v>305</v>
      </c>
      <c r="B306" s="37" t="str">
        <f>IFERROR(__xludf.DUMMYFUNCTION("""COMPUTED_VALUE"""),"ANUGRAH RAFIKHA DEWANI")</f>
        <v>ANUGRAH RAFIKHA DEWANI</v>
      </c>
      <c r="C306" s="38">
        <f>IFERROR(__xludf.DUMMYFUNCTION("""COMPUTED_VALUE"""),2.024070618E9)</f>
        <v>2024070618</v>
      </c>
      <c r="D306" s="37" t="str">
        <f>IFERROR(__xludf.DUMMYFUNCTION("""COMPUTED_VALUE"""),"AINUR ROFIQ")</f>
        <v>AINUR ROFIQ</v>
      </c>
      <c r="E306" s="37" t="str">
        <f>IFERROR(__xludf.DUMMYFUNCTION("""COMPUTED_VALUE"""),"MUNAFI'AH")</f>
        <v>MUNAFI'AH</v>
      </c>
      <c r="F306" s="37" t="str">
        <f>IFERROR(__xludf.DUMMYFUNCTION("""COMPUTED_VALUE"""),"BUNGKAWAK TEJOASRI RT 003 RW 004 LAREN LAMONGAN")</f>
        <v>BUNGKAWAK TEJOASRI RT 003 RW 004 LAREN LAMONGAN</v>
      </c>
      <c r="G306" s="38" t="str">
        <f>IFERROR(__xludf.DUMMYFUNCTION("""COMPUTED_VALUE"""),"MTS-9 C")</f>
        <v>MTS-9 C</v>
      </c>
      <c r="H306" s="36" t="str">
        <f>IFERROR(__xludf.DUMMYFUNCTION("""COMPUTED_VALUE"""),"E")</f>
        <v>E</v>
      </c>
      <c r="I306" s="40" t="str">
        <f>IFERROR(__xludf.DUMMYFUNCTION("""COMPUTED_VALUE"""),"E-2")</f>
        <v>E-2</v>
      </c>
      <c r="J306" s="40">
        <f>IFERROR(__xludf.DUMMYFUNCTION("""COMPUTED_VALUE"""),3.0)</f>
        <v>3</v>
      </c>
      <c r="K306" s="40" t="str">
        <f>IFERROR(__xludf.DUMMYFUNCTION("""COMPUTED_VALUE"""),"3 ULA C PUTRI")</f>
        <v>3 ULA C PUTRI</v>
      </c>
      <c r="L306" s="39" t="str">
        <f>IFERROR(__xludf.DUMMYFUNCTION("""COMPUTED_VALUE"""),"6281311516716")</f>
        <v>6281311516716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>
        <f>IFERROR(__xludf.DUMMYFUNCTION("""COMPUTED_VALUE"""),500000.0)</f>
        <v>500000</v>
      </c>
      <c r="AN306" s="42">
        <f>IFERROR(__xludf.DUMMYFUNCTION("""COMPUTED_VALUE"""),500000.0)</f>
        <v>500000</v>
      </c>
      <c r="AO306" s="42"/>
      <c r="AP306" s="42">
        <f>IFERROR(__xludf.DUMMYFUNCTION("""COMPUTED_VALUE"""),500000.0)</f>
        <v>500000</v>
      </c>
      <c r="AQ306" s="42"/>
      <c r="AR306" s="42"/>
      <c r="AS306" s="43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IFERROR(__xludf.DUMMYFUNCTION("""COMPUTED_VALUE"""),1000000.0)</f>
        <v>1000000</v>
      </c>
      <c r="BD306" s="43">
        <f>IFERROR(__xludf.DUMMYFUNCTION("""COMPUTED_VALUE"""),500000.0)</f>
        <v>500000</v>
      </c>
      <c r="BE306" s="43">
        <f>IFERROR(__xludf.DUMMYFUNCTION("""COMPUTED_VALUE"""),0.0)</f>
        <v>0</v>
      </c>
      <c r="BF306" s="44">
        <f>IFERROR(__xludf.DUMMYFUNCTION("""COMPUTED_VALUE"""),1500000.0)</f>
        <v>1500000</v>
      </c>
      <c r="BG306" s="56"/>
      <c r="BH306" s="56"/>
      <c r="BI306" s="5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</row>
    <row r="307">
      <c r="A307" s="47">
        <f>IFERROR(__xludf.DUMMYFUNCTION("""COMPUTED_VALUE"""),306.0)</f>
        <v>306</v>
      </c>
      <c r="B307" s="48" t="str">
        <f>IFERROR(__xludf.DUMMYFUNCTION("""COMPUTED_VALUE"""),"ATINA AZKAL FUADAH")</f>
        <v>ATINA AZKAL FUADAH</v>
      </c>
      <c r="C307" s="49">
        <f>IFERROR(__xludf.DUMMYFUNCTION("""COMPUTED_VALUE"""),2.024070474E9)</f>
        <v>2024070474</v>
      </c>
      <c r="D307" s="48" t="str">
        <f>IFERROR(__xludf.DUMMYFUNCTION("""COMPUTED_VALUE"""),"SHOFIYUDDIN")</f>
        <v>SHOFIYUDDIN</v>
      </c>
      <c r="E307" s="48" t="str">
        <f>IFERROR(__xludf.DUMMYFUNCTION("""COMPUTED_VALUE"""),"KHAULA ANIS")</f>
        <v>KHAULA ANIS</v>
      </c>
      <c r="F307" s="48" t="str">
        <f>IFERROR(__xludf.DUMMYFUNCTION("""COMPUTED_VALUE"""),"NGAYUNG RT 006 RW 002 MADURAN LAMONGAN")</f>
        <v>NGAYUNG RT 006 RW 002 MADURAN LAMONGAN</v>
      </c>
      <c r="G307" s="49" t="str">
        <f>IFERROR(__xludf.DUMMYFUNCTION("""COMPUTED_VALUE"""),"MTS-9 B")</f>
        <v>MTS-9 B</v>
      </c>
      <c r="H307" s="47" t="str">
        <f>IFERROR(__xludf.DUMMYFUNCTION("""COMPUTED_VALUE"""),"E")</f>
        <v>E</v>
      </c>
      <c r="I307" s="51" t="str">
        <f>IFERROR(__xludf.DUMMYFUNCTION("""COMPUTED_VALUE"""),"E-3")</f>
        <v>E-3</v>
      </c>
      <c r="J307" s="51">
        <f>IFERROR(__xludf.DUMMYFUNCTION("""COMPUTED_VALUE"""),3.0)</f>
        <v>3</v>
      </c>
      <c r="K307" s="51" t="str">
        <f>IFERROR(__xludf.DUMMYFUNCTION("""COMPUTED_VALUE"""),"3 ULA B PUTRI")</f>
        <v>3 ULA B PUTRI</v>
      </c>
      <c r="L307" s="50" t="str">
        <f>IFERROR(__xludf.DUMMYFUNCTION("""COMPUTED_VALUE"""),"6281554492983")</f>
        <v>6281554492983</v>
      </c>
      <c r="M307" s="54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4"/>
      <c r="AB307" s="54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4"/>
      <c r="AN307" s="54">
        <f>IFERROR(__xludf.DUMMYFUNCTION("""COMPUTED_VALUE"""),500000.0)</f>
        <v>500000</v>
      </c>
      <c r="AO307" s="54"/>
      <c r="AP307" s="54"/>
      <c r="AQ307" s="54"/>
      <c r="AR307" s="54"/>
      <c r="AS307" s="54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IFERROR(__xludf.DUMMYFUNCTION("""COMPUTED_VALUE"""),500000.0)</f>
        <v>500000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IFERROR(__xludf.DUMMYFUNCTION("""COMPUTED_VALUE"""),500000.0)</f>
        <v>500000</v>
      </c>
      <c r="BG307" s="57"/>
      <c r="BH307" s="57"/>
      <c r="BI307" s="57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</row>
    <row r="308">
      <c r="A308" s="36">
        <f>IFERROR(__xludf.DUMMYFUNCTION("""COMPUTED_VALUE"""),307.0)</f>
        <v>307</v>
      </c>
      <c r="B308" s="37" t="str">
        <f>IFERROR(__xludf.DUMMYFUNCTION("""COMPUTED_VALUE"""),"AZURO SABILA FAZZA MAULIDAH")</f>
        <v>AZURO SABILA FAZZA MAULIDAH</v>
      </c>
      <c r="C308" s="38">
        <f>IFERROR(__xludf.DUMMYFUNCTION("""COMPUTED_VALUE"""),2.024070573E9)</f>
        <v>2024070573</v>
      </c>
      <c r="D308" s="37" t="str">
        <f>IFERROR(__xludf.DUMMYFUNCTION("""COMPUTED_VALUE"""),"KARTONO")</f>
        <v>KARTONO</v>
      </c>
      <c r="E308" s="37" t="str">
        <f>IFERROR(__xludf.DUMMYFUNCTION("""COMPUTED_VALUE"""),"ZUZUN LAILUFAR")</f>
        <v>ZUZUN LAILUFAR</v>
      </c>
      <c r="F308" s="37" t="str">
        <f>IFERROR(__xludf.DUMMYFUNCTION("""COMPUTED_VALUE"""),"GERMAN RT 001 RW 002 SUGIO LAMONGAN")</f>
        <v>GERMAN RT 001 RW 002 SUGIO LAMONGAN</v>
      </c>
      <c r="G308" s="38" t="str">
        <f>IFERROR(__xludf.DUMMYFUNCTION("""COMPUTED_VALUE"""),"MTS-9 C")</f>
        <v>MTS-9 C</v>
      </c>
      <c r="H308" s="36" t="str">
        <f>IFERROR(__xludf.DUMMYFUNCTION("""COMPUTED_VALUE"""),"E")</f>
        <v>E</v>
      </c>
      <c r="I308" s="40" t="str">
        <f>IFERROR(__xludf.DUMMYFUNCTION("""COMPUTED_VALUE"""),"E-2")</f>
        <v>E-2</v>
      </c>
      <c r="J308" s="40">
        <f>IFERROR(__xludf.DUMMYFUNCTION("""COMPUTED_VALUE"""),3.0)</f>
        <v>3</v>
      </c>
      <c r="K308" s="40" t="str">
        <f>IFERROR(__xludf.DUMMYFUNCTION("""COMPUTED_VALUE"""),"3 ULA C PUTRI")</f>
        <v>3 ULA C PUTRI</v>
      </c>
      <c r="L308" s="39" t="str">
        <f>IFERROR(__xludf.DUMMYFUNCTION("""COMPUTED_VALUE"""),"6285707564507")</f>
        <v>6285707564507</v>
      </c>
      <c r="M308" s="43"/>
      <c r="N308" s="42"/>
      <c r="O308" s="42"/>
      <c r="P308" s="42"/>
      <c r="Q308" s="42"/>
      <c r="R308" s="42"/>
      <c r="S308" s="42"/>
      <c r="T308" s="42"/>
      <c r="U308" s="42"/>
      <c r="V308" s="43"/>
      <c r="W308" s="43"/>
      <c r="X308" s="43"/>
      <c r="Y308" s="43"/>
      <c r="Z308" s="43"/>
      <c r="AA308" s="43"/>
      <c r="AB308" s="43">
        <f>IFERROR(__xludf.DUMMYFUNCTION("""COMPUTED_VALUE"""),500000.0)</f>
        <v>500000</v>
      </c>
      <c r="AC308" s="43"/>
      <c r="AD308" s="43"/>
      <c r="AE308" s="43"/>
      <c r="AF308" s="43"/>
      <c r="AG308" s="43"/>
      <c r="AH308" s="43"/>
      <c r="AI308" s="43"/>
      <c r="AJ308" s="43"/>
      <c r="AK308" s="43">
        <f>IFERROR(__xludf.DUMMYFUNCTION("""COMPUTED_VALUE"""),500000.0)</f>
        <v>500000</v>
      </c>
      <c r="AL308" s="43">
        <f>IFERROR(__xludf.DUMMYFUNCTION("""COMPUTED_VALUE"""),500000.0)</f>
        <v>500000</v>
      </c>
      <c r="AM308" s="43">
        <f>IFERROR(__xludf.DUMMYFUNCTION("""COMPUTED_VALUE"""),500000.0)</f>
        <v>500000</v>
      </c>
      <c r="AN308" s="43">
        <f>IFERROR(__xludf.DUMMYFUNCTION("""COMPUTED_VALUE"""),500000.0)</f>
        <v>500000</v>
      </c>
      <c r="AO308" s="43"/>
      <c r="AP308" s="43">
        <f>IFERROR(__xludf.DUMMYFUNCTION("""COMPUTED_VALUE"""),500000.0)</f>
        <v>500000</v>
      </c>
      <c r="AQ308" s="43"/>
      <c r="AR308" s="43"/>
      <c r="AS308" s="43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IFERROR(__xludf.DUMMYFUNCTION("""COMPUTED_VALUE"""),2000000.0)</f>
        <v>2000000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IFERROR(__xludf.DUMMYFUNCTION("""COMPUTED_VALUE"""),3000000.0)</f>
        <v>3000000</v>
      </c>
      <c r="BG308" s="56"/>
      <c r="BH308" s="56"/>
      <c r="BI308" s="5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</row>
    <row r="309">
      <c r="A309" s="47">
        <f>IFERROR(__xludf.DUMMYFUNCTION("""COMPUTED_VALUE"""),308.0)</f>
        <v>308</v>
      </c>
      <c r="B309" s="48" t="str">
        <f>IFERROR(__xludf.DUMMYFUNCTION("""COMPUTED_VALUE"""),"BATRISYIA ALFILZAH")</f>
        <v>BATRISYIA ALFILZAH</v>
      </c>
      <c r="C309" s="49">
        <f>IFERROR(__xludf.DUMMYFUNCTION("""COMPUTED_VALUE"""),2.024070634E9)</f>
        <v>2024070634</v>
      </c>
      <c r="D309" s="48" t="str">
        <f>IFERROR(__xludf.DUMMYFUNCTION("""COMPUTED_VALUE"""),"SUYATIN")</f>
        <v>SUYATIN</v>
      </c>
      <c r="E309" s="48" t="str">
        <f>IFERROR(__xludf.DUMMYFUNCTION("""COMPUTED_VALUE"""),"LILIS")</f>
        <v>LILIS</v>
      </c>
      <c r="F309" s="48" t="str">
        <f>IFERROR(__xludf.DUMMYFUNCTION("""COMPUTED_VALUE"""),"KAWISTOLEGI RT 001 RW 001 KARANGGENENG LAMONGAN")</f>
        <v>KAWISTOLEGI RT 001 RW 001 KARANGGENENG LAMONGAN</v>
      </c>
      <c r="G309" s="49" t="str">
        <f>IFERROR(__xludf.DUMMYFUNCTION("""COMPUTED_VALUE"""),"MTS-9 H")</f>
        <v>MTS-9 H</v>
      </c>
      <c r="H309" s="47" t="str">
        <f>IFERROR(__xludf.DUMMYFUNCTION("""COMPUTED_VALUE"""),"E")</f>
        <v>E</v>
      </c>
      <c r="I309" s="51" t="str">
        <f>IFERROR(__xludf.DUMMYFUNCTION("""COMPUTED_VALUE"""),"E-2")</f>
        <v>E-2</v>
      </c>
      <c r="J309" s="51">
        <f>IFERROR(__xludf.DUMMYFUNCTION("""COMPUTED_VALUE"""),3.0)</f>
        <v>3</v>
      </c>
      <c r="K309" s="51" t="str">
        <f>IFERROR(__xludf.DUMMYFUNCTION("""COMPUTED_VALUE"""),"3 ULA A PUTRI")</f>
        <v>3 ULA A PUTRI</v>
      </c>
      <c r="L309" s="50" t="str">
        <f>IFERROR(__xludf.DUMMYFUNCTION("""COMPUTED_VALUE"""),"62895801050384")</f>
        <v>62895801050384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>
        <f>IFERROR(__xludf.DUMMYFUNCTION("""COMPUTED_VALUE"""),500000.0)</f>
        <v>500000</v>
      </c>
      <c r="AO309" s="53"/>
      <c r="AP309" s="53"/>
      <c r="AQ309" s="53"/>
      <c r="AR309" s="54"/>
      <c r="AS309" s="54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IFERROR(__xludf.DUMMYFUNCTION("""COMPUTED_VALUE"""),500000.0)</f>
        <v>500000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IFERROR(__xludf.DUMMYFUNCTION("""COMPUTED_VALUE"""),500000.0)</f>
        <v>500000</v>
      </c>
      <c r="BG309" s="57"/>
      <c r="BH309" s="57"/>
      <c r="BI309" s="57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</row>
    <row r="310">
      <c r="A310" s="36">
        <f>IFERROR(__xludf.DUMMYFUNCTION("""COMPUTED_VALUE"""),309.0)</f>
        <v>309</v>
      </c>
      <c r="B310" s="37" t="str">
        <f>IFERROR(__xludf.DUMMYFUNCTION("""COMPUTED_VALUE"""),"CHARISA WANIDYA UTAMA HARTONO")</f>
        <v>CHARISA WANIDYA UTAMA HARTONO</v>
      </c>
      <c r="C310" s="38">
        <f>IFERROR(__xludf.DUMMYFUNCTION("""COMPUTED_VALUE"""),2.024070476E9)</f>
        <v>2024070476</v>
      </c>
      <c r="D310" s="37" t="str">
        <f>IFERROR(__xludf.DUMMYFUNCTION("""COMPUTED_VALUE"""),"RUDI HARTONO")</f>
        <v>RUDI HARTONO</v>
      </c>
      <c r="E310" s="37" t="str">
        <f>IFERROR(__xludf.DUMMYFUNCTION("""COMPUTED_VALUE"""),"AINUL ISNAENI")</f>
        <v>AINUL ISNAENI</v>
      </c>
      <c r="F310" s="37" t="str">
        <f>IFERROR(__xludf.DUMMYFUNCTION("""COMPUTED_VALUE"""),"MULUNG KARANGTINGGIL RT 002 RW 001 PUCUK LAMONGAN")</f>
        <v>MULUNG KARANGTINGGIL RT 002 RW 001 PUCUK LAMONGAN</v>
      </c>
      <c r="G310" s="38" t="str">
        <f>IFERROR(__xludf.DUMMYFUNCTION("""COMPUTED_VALUE"""),"MTS-9 A")</f>
        <v>MTS-9 A</v>
      </c>
      <c r="H310" s="36" t="str">
        <f>IFERROR(__xludf.DUMMYFUNCTION("""COMPUTED_VALUE"""),"E")</f>
        <v>E</v>
      </c>
      <c r="I310" s="40" t="str">
        <f>IFERROR(__xludf.DUMMYFUNCTION("""COMPUTED_VALUE"""),"E-9")</f>
        <v>E-9</v>
      </c>
      <c r="J310" s="40">
        <f>IFERROR(__xludf.DUMMYFUNCTION("""COMPUTED_VALUE"""),3.0)</f>
        <v>3</v>
      </c>
      <c r="K310" s="40" t="str">
        <f>IFERROR(__xludf.DUMMYFUNCTION("""COMPUTED_VALUE"""),"3 ULA A PUTRI")</f>
        <v>3 ULA A PUTRI</v>
      </c>
      <c r="L310" s="39" t="str">
        <f>IFERROR(__xludf.DUMMYFUNCTION("""COMPUTED_VALUE"""),"6282234537281")</f>
        <v>6282234537281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3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IFERROR(__xludf.DUMMYFUNCTION("""COMPUTED_VALUE"""),0.0)</f>
        <v>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IFERROR(__xludf.DUMMYFUNCTION("""COMPUTED_VALUE"""),0.0)</f>
        <v>0</v>
      </c>
      <c r="BG310" s="56"/>
      <c r="BH310" s="56"/>
      <c r="BI310" s="5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</row>
    <row r="311">
      <c r="A311" s="47">
        <f>IFERROR(__xludf.DUMMYFUNCTION("""COMPUTED_VALUE"""),310.0)</f>
        <v>310</v>
      </c>
      <c r="B311" s="48" t="str">
        <f>IFERROR(__xludf.DUMMYFUNCTION("""COMPUTED_VALUE"""),"DAVINA RATNANDITA")</f>
        <v>DAVINA RATNANDITA</v>
      </c>
      <c r="C311" s="49">
        <f>IFERROR(__xludf.DUMMYFUNCTION("""COMPUTED_VALUE"""),2.024070445E9)</f>
        <v>2024070445</v>
      </c>
      <c r="D311" s="48" t="str">
        <f>IFERROR(__xludf.DUMMYFUNCTION("""COMPUTED_VALUE"""),"SYUKRI")</f>
        <v>SYUKRI</v>
      </c>
      <c r="E311" s="48" t="str">
        <f>IFERROR(__xludf.DUMMYFUNCTION("""COMPUTED_VALUE"""),"SUWATUN")</f>
        <v>SUWATUN</v>
      </c>
      <c r="F311" s="48" t="str">
        <f>IFERROR(__xludf.DUMMYFUNCTION("""COMPUTED_VALUE"""),"TEMBOK PENDOWOLIMO RT 002 RW 003 KARANGBINANGUN LAMONGAN")</f>
        <v>TEMBOK PENDOWOLIMO RT 002 RW 003 KARANGBINANGUN LAMONGAN</v>
      </c>
      <c r="G311" s="49" t="str">
        <f>IFERROR(__xludf.DUMMYFUNCTION("""COMPUTED_VALUE"""),"MTS-9 B")</f>
        <v>MTS-9 B</v>
      </c>
      <c r="H311" s="47" t="str">
        <f>IFERROR(__xludf.DUMMYFUNCTION("""COMPUTED_VALUE"""),"E")</f>
        <v>E</v>
      </c>
      <c r="I311" s="51" t="str">
        <f>IFERROR(__xludf.DUMMYFUNCTION("""COMPUTED_VALUE"""),"E-2")</f>
        <v>E-2</v>
      </c>
      <c r="J311" s="51">
        <f>IFERROR(__xludf.DUMMYFUNCTION("""COMPUTED_VALUE"""),3.0)</f>
        <v>3</v>
      </c>
      <c r="K311" s="51" t="str">
        <f>IFERROR(__xludf.DUMMYFUNCTION("""COMPUTED_VALUE"""),"3 ULA A PUTRI")</f>
        <v>3 ULA A PUTRI</v>
      </c>
      <c r="L311" s="50" t="str">
        <f>IFERROR(__xludf.DUMMYFUNCTION("""COMPUTED_VALUE"""),"6282131864843")</f>
        <v>6282131864843</v>
      </c>
      <c r="M311" s="54"/>
      <c r="N311" s="53"/>
      <c r="O311" s="53"/>
      <c r="P311" s="53"/>
      <c r="Q311" s="53"/>
      <c r="R311" s="53"/>
      <c r="S311" s="53"/>
      <c r="T311" s="54"/>
      <c r="U311" s="54"/>
      <c r="V311" s="54"/>
      <c r="W311" s="54"/>
      <c r="X311" s="54"/>
      <c r="Y311" s="54"/>
      <c r="Z311" s="54"/>
      <c r="AA311" s="54"/>
      <c r="AB311" s="54">
        <f>IFERROR(__xludf.DUMMYFUNCTION("""COMPUTED_VALUE"""),500000.0)</f>
        <v>500000</v>
      </c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>
        <f>IFERROR(__xludf.DUMMYFUNCTION("""COMPUTED_VALUE"""),500000.0)</f>
        <v>500000</v>
      </c>
      <c r="AQ311" s="54"/>
      <c r="AR311" s="54"/>
      <c r="AS311" s="54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IFERROR(__xludf.DUMMYFUNCTION("""COMPUTED_VALUE"""),0.0)</f>
        <v>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IFERROR(__xludf.DUMMYFUNCTION("""COMPUTED_VALUE"""),1000000.0)</f>
        <v>1000000</v>
      </c>
      <c r="BG311" s="57"/>
      <c r="BH311" s="57"/>
      <c r="BI311" s="57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</row>
    <row r="312">
      <c r="A312" s="36">
        <f>IFERROR(__xludf.DUMMYFUNCTION("""COMPUTED_VALUE"""),311.0)</f>
        <v>311</v>
      </c>
      <c r="B312" s="37" t="str">
        <f>IFERROR(__xludf.DUMMYFUNCTION("""COMPUTED_VALUE"""),"DWI MAULIDIYAH")</f>
        <v>DWI MAULIDIYAH</v>
      </c>
      <c r="C312" s="38">
        <f>IFERROR(__xludf.DUMMYFUNCTION("""COMPUTED_VALUE"""),2.024070596E9)</f>
        <v>2024070596</v>
      </c>
      <c r="D312" s="37" t="str">
        <f>IFERROR(__xludf.DUMMYFUNCTION("""COMPUTED_VALUE"""),"USMAN HADI")</f>
        <v>USMAN HADI</v>
      </c>
      <c r="E312" s="37" t="str">
        <f>IFERROR(__xludf.DUMMYFUNCTION("""COMPUTED_VALUE"""),"ISLAMIYAH")</f>
        <v>ISLAMIYAH</v>
      </c>
      <c r="F312" s="37" t="str">
        <f>IFERROR(__xludf.DUMMYFUNCTION("""COMPUTED_VALUE"""),"KARANGTAPEN KARANGLANGIT RT 001 RW 003 LAMONGAN LAMONGAN")</f>
        <v>KARANGTAPEN KARANGLANGIT RT 001 RW 003 LAMONGAN LAMONGAN</v>
      </c>
      <c r="G312" s="38" t="str">
        <f>IFERROR(__xludf.DUMMYFUNCTION("""COMPUTED_VALUE"""),"MTS-9 A")</f>
        <v>MTS-9 A</v>
      </c>
      <c r="H312" s="36" t="str">
        <f>IFERROR(__xludf.DUMMYFUNCTION("""COMPUTED_VALUE"""),"E")</f>
        <v>E</v>
      </c>
      <c r="I312" s="40" t="str">
        <f>IFERROR(__xludf.DUMMYFUNCTION("""COMPUTED_VALUE"""),"E-9")</f>
        <v>E-9</v>
      </c>
      <c r="J312" s="40">
        <f>IFERROR(__xludf.DUMMYFUNCTION("""COMPUTED_VALUE"""),3.0)</f>
        <v>3</v>
      </c>
      <c r="K312" s="40" t="str">
        <f>IFERROR(__xludf.DUMMYFUNCTION("""COMPUTED_VALUE"""),"3 ULA B PUTRI")</f>
        <v>3 ULA B PUTRI</v>
      </c>
      <c r="L312" s="39" t="str">
        <f>IFERROR(__xludf.DUMMYFUNCTION("""COMPUTED_VALUE"""),"6285853420436")</f>
        <v>6285853420436</v>
      </c>
      <c r="M312" s="43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>
        <f>IFERROR(__xludf.DUMMYFUNCTION("""COMPUTED_VALUE"""),270000.0)</f>
        <v>270000</v>
      </c>
      <c r="AO312" s="43"/>
      <c r="AP312" s="43"/>
      <c r="AQ312" s="43"/>
      <c r="AR312" s="43"/>
      <c r="AS312" s="43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IFERROR(__xludf.DUMMYFUNCTION("""COMPUTED_VALUE"""),270000.0)</f>
        <v>270000</v>
      </c>
      <c r="BD312" s="43">
        <f>IFERROR(__xludf.DUMMYFUNCTION("""COMPUTED_VALUE"""),0.0)</f>
        <v>0</v>
      </c>
      <c r="BE312" s="43">
        <f>IFERROR(__xludf.DUMMYFUNCTION("""COMPUTED_VALUE"""),0.0)</f>
        <v>0</v>
      </c>
      <c r="BF312" s="44">
        <f>IFERROR(__xludf.DUMMYFUNCTION("""COMPUTED_VALUE"""),270000.0)</f>
        <v>270000</v>
      </c>
      <c r="BG312" s="56"/>
      <c r="BH312" s="56"/>
      <c r="BI312" s="5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</row>
    <row r="313">
      <c r="A313" s="47">
        <f>IFERROR(__xludf.DUMMYFUNCTION("""COMPUTED_VALUE"""),312.0)</f>
        <v>312</v>
      </c>
      <c r="B313" s="48" t="str">
        <f>IFERROR(__xludf.DUMMYFUNCTION("""COMPUTED_VALUE"""),"ERIN MAULIDIAH")</f>
        <v>ERIN MAULIDIAH</v>
      </c>
      <c r="C313" s="49">
        <f>IFERROR(__xludf.DUMMYFUNCTION("""COMPUTED_VALUE"""),2.024070475E9)</f>
        <v>2024070475</v>
      </c>
      <c r="D313" s="48" t="str">
        <f>IFERROR(__xludf.DUMMYFUNCTION("""COMPUTED_VALUE"""),"MUSTAKIM")</f>
        <v>MUSTAKIM</v>
      </c>
      <c r="E313" s="48" t="str">
        <f>IFERROR(__xludf.DUMMYFUNCTION("""COMPUTED_VALUE"""),"ASMAUS SHOFIYANAH")</f>
        <v>ASMAUS SHOFIYANAH</v>
      </c>
      <c r="F313" s="48" t="str">
        <f>IFERROR(__xludf.DUMMYFUNCTION("""COMPUTED_VALUE"""),"NGAYUNG RT 005 RW 002 MADURAN LAMONGAN")</f>
        <v>NGAYUNG RT 005 RW 002 MADURAN LAMONGAN</v>
      </c>
      <c r="G313" s="49" t="str">
        <f>IFERROR(__xludf.DUMMYFUNCTION("""COMPUTED_VALUE"""),"MTS-9 B")</f>
        <v>MTS-9 B</v>
      </c>
      <c r="H313" s="47" t="str">
        <f>IFERROR(__xludf.DUMMYFUNCTION("""COMPUTED_VALUE"""),"E")</f>
        <v>E</v>
      </c>
      <c r="I313" s="51" t="str">
        <f>IFERROR(__xludf.DUMMYFUNCTION("""COMPUTED_VALUE"""),"E-3")</f>
        <v>E-3</v>
      </c>
      <c r="J313" s="51">
        <f>IFERROR(__xludf.DUMMYFUNCTION("""COMPUTED_VALUE"""),3.0)</f>
        <v>3</v>
      </c>
      <c r="K313" s="51" t="str">
        <f>IFERROR(__xludf.DUMMYFUNCTION("""COMPUTED_VALUE"""),"3 ULA B PUTRI")</f>
        <v>3 ULA B PUTRI</v>
      </c>
      <c r="L313" s="50" t="str">
        <f>IFERROR(__xludf.DUMMYFUNCTION("""COMPUTED_VALUE"""),"6282233810314")</f>
        <v>6282233810314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>
        <f>IFERROR(__xludf.DUMMYFUNCTION("""COMPUTED_VALUE"""),500000.0)</f>
        <v>500000</v>
      </c>
      <c r="AQ313" s="53"/>
      <c r="AR313" s="53"/>
      <c r="AS313" s="54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IFERROR(__xludf.DUMMYFUNCTION("""COMPUTED_VALUE"""),500000.0)</f>
        <v>500000</v>
      </c>
      <c r="BE313" s="54">
        <f>IFERROR(__xludf.DUMMYFUNCTION("""COMPUTED_VALUE"""),0.0)</f>
        <v>0</v>
      </c>
      <c r="BF313" s="55">
        <f>IFERROR(__xludf.DUMMYFUNCTION("""COMPUTED_VALUE"""),500000.0)</f>
        <v>500000</v>
      </c>
      <c r="BG313" s="57"/>
      <c r="BH313" s="57"/>
      <c r="BI313" s="57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</row>
    <row r="314">
      <c r="A314" s="36">
        <f>IFERROR(__xludf.DUMMYFUNCTION("""COMPUTED_VALUE"""),313.0)</f>
        <v>313</v>
      </c>
      <c r="B314" s="37" t="str">
        <f>IFERROR(__xludf.DUMMYFUNCTION("""COMPUTED_VALUE"""),"FAIQOTUR RIFDAH AL ABIDAH")</f>
        <v>FAIQOTUR RIFDAH AL ABIDAH</v>
      </c>
      <c r="C314" s="38">
        <f>IFERROR(__xludf.DUMMYFUNCTION("""COMPUTED_VALUE"""),2.024070487E9)</f>
        <v>2024070487</v>
      </c>
      <c r="D314" s="37" t="str">
        <f>IFERROR(__xludf.DUMMYFUNCTION("""COMPUTED_VALUE"""),"KHOIRUL ANAM")</f>
        <v>KHOIRUL ANAM</v>
      </c>
      <c r="E314" s="37" t="str">
        <f>IFERROR(__xludf.DUMMYFUNCTION("""COMPUTED_VALUE"""),"CHAMIMAH")</f>
        <v>CHAMIMAH</v>
      </c>
      <c r="F314" s="37" t="str">
        <f>IFERROR(__xludf.DUMMYFUNCTION("""COMPUTED_VALUE"""),"PLOSOSETRO RT 008 RW 002 PUCUK LAMONGAN")</f>
        <v>PLOSOSETRO RT 008 RW 002 PUCUK LAMONGAN</v>
      </c>
      <c r="G314" s="38" t="str">
        <f>IFERROR(__xludf.DUMMYFUNCTION("""COMPUTED_VALUE"""),"MTS-9 C")</f>
        <v>MTS-9 C</v>
      </c>
      <c r="H314" s="36" t="str">
        <f>IFERROR(__xludf.DUMMYFUNCTION("""COMPUTED_VALUE"""),"E")</f>
        <v>E</v>
      </c>
      <c r="I314" s="40" t="str">
        <f>IFERROR(__xludf.DUMMYFUNCTION("""COMPUTED_VALUE"""),"E-2")</f>
        <v>E-2</v>
      </c>
      <c r="J314" s="40">
        <f>IFERROR(__xludf.DUMMYFUNCTION("""COMPUTED_VALUE"""),3.0)</f>
        <v>3</v>
      </c>
      <c r="K314" s="40" t="str">
        <f>IFERROR(__xludf.DUMMYFUNCTION("""COMPUTED_VALUE"""),"3 ULA B PUTRI")</f>
        <v>3 ULA B PUTRI</v>
      </c>
      <c r="L314" s="39" t="str">
        <f>IFERROR(__xludf.DUMMYFUNCTION("""COMPUTED_VALUE"""),"6285791612653")</f>
        <v>6285791612653</v>
      </c>
      <c r="M314" s="43"/>
      <c r="N314" s="42"/>
      <c r="O314" s="42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>
        <f>IFERROR(__xludf.DUMMYFUNCTION("""COMPUTED_VALUE"""),500000.0)</f>
        <v>500000</v>
      </c>
      <c r="AQ314" s="43"/>
      <c r="AR314" s="43"/>
      <c r="AS314" s="43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IFERROR(__xludf.DUMMYFUNCTION("""COMPUTED_VALUE"""),500000.0)</f>
        <v>500000</v>
      </c>
      <c r="BE314" s="43">
        <f>IFERROR(__xludf.DUMMYFUNCTION("""COMPUTED_VALUE"""),0.0)</f>
        <v>0</v>
      </c>
      <c r="BF314" s="44">
        <f>IFERROR(__xludf.DUMMYFUNCTION("""COMPUTED_VALUE"""),500000.0)</f>
        <v>500000</v>
      </c>
      <c r="BG314" s="56"/>
      <c r="BH314" s="56"/>
      <c r="BI314" s="5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</row>
    <row r="315">
      <c r="A315" s="47">
        <f>IFERROR(__xludf.DUMMYFUNCTION("""COMPUTED_VALUE"""),314.0)</f>
        <v>314</v>
      </c>
      <c r="B315" s="48" t="str">
        <f>IFERROR(__xludf.DUMMYFUNCTION("""COMPUTED_VALUE"""),"FARAH OKTARIAN SYAHPUTRI")</f>
        <v>FARAH OKTARIAN SYAHPUTRI</v>
      </c>
      <c r="C315" s="49">
        <f>IFERROR(__xludf.DUMMYFUNCTION("""COMPUTED_VALUE"""),2.024070466E9)</f>
        <v>2024070466</v>
      </c>
      <c r="D315" s="48" t="str">
        <f>IFERROR(__xludf.DUMMYFUNCTION("""COMPUTED_VALUE"""),"M. SARONI")</f>
        <v>M. SARONI</v>
      </c>
      <c r="E315" s="48" t="str">
        <f>IFERROR(__xludf.DUMMYFUNCTION("""COMPUTED_VALUE"""),"HUSNUL MUSTAFIDAH")</f>
        <v>HUSNUL MUSTAFIDAH</v>
      </c>
      <c r="F315" s="48" t="str">
        <f>IFERROR(__xludf.DUMMYFUNCTION("""COMPUTED_VALUE"""),"JL. RAYA SUGIO NO. 53 KEBET RT 004 RW 001 LAMONGAN LAMONGAN")</f>
        <v>JL. RAYA SUGIO NO. 53 KEBET RT 004 RW 001 LAMONGAN LAMONGAN</v>
      </c>
      <c r="G315" s="49" t="str">
        <f>IFERROR(__xludf.DUMMYFUNCTION("""COMPUTED_VALUE"""),"MTS-9 A")</f>
        <v>MTS-9 A</v>
      </c>
      <c r="H315" s="47" t="str">
        <f>IFERROR(__xludf.DUMMYFUNCTION("""COMPUTED_VALUE"""),"E")</f>
        <v>E</v>
      </c>
      <c r="I315" s="51" t="str">
        <f>IFERROR(__xludf.DUMMYFUNCTION("""COMPUTED_VALUE"""),"E-9")</f>
        <v>E-9</v>
      </c>
      <c r="J315" s="51">
        <f>IFERROR(__xludf.DUMMYFUNCTION("""COMPUTED_VALUE"""),3.0)</f>
        <v>3</v>
      </c>
      <c r="K315" s="51" t="str">
        <f>IFERROR(__xludf.DUMMYFUNCTION("""COMPUTED_VALUE"""),"3 ULA C PUTRI")</f>
        <v>3 ULA C PUTRI</v>
      </c>
      <c r="L315" s="50" t="str">
        <f>IFERROR(__xludf.DUMMYFUNCTION("""COMPUTED_VALUE"""),"6281332772930")</f>
        <v>6281332772930</v>
      </c>
      <c r="M315" s="54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4">
        <f>IFERROR(__xludf.DUMMYFUNCTION("""COMPUTED_VALUE"""),500000.0)</f>
        <v>500000</v>
      </c>
      <c r="AQ315" s="53"/>
      <c r="AR315" s="53"/>
      <c r="AS315" s="54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IFERROR(__xludf.DUMMYFUNCTION("""COMPUTED_VALUE"""),0.0)</f>
        <v>0</v>
      </c>
      <c r="BD315" s="54">
        <f>IFERROR(__xludf.DUMMYFUNCTION("""COMPUTED_VALUE"""),500000.0)</f>
        <v>500000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7"/>
      <c r="BH315" s="57"/>
      <c r="BI315" s="57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</row>
    <row r="316">
      <c r="A316" s="36">
        <f>IFERROR(__xludf.DUMMYFUNCTION("""COMPUTED_VALUE"""),315.0)</f>
        <v>315</v>
      </c>
      <c r="B316" s="37" t="str">
        <f>IFERROR(__xludf.DUMMYFUNCTION("""COMPUTED_VALUE"""),"FITHRIYATUL MAULIDAH")</f>
        <v>FITHRIYATUL MAULIDAH</v>
      </c>
      <c r="C316" s="38">
        <f>IFERROR(__xludf.DUMMYFUNCTION("""COMPUTED_VALUE"""),2.024070546E9)</f>
        <v>2024070546</v>
      </c>
      <c r="D316" s="37" t="str">
        <f>IFERROR(__xludf.DUMMYFUNCTION("""COMPUTED_VALUE"""),"ABDUL ROHIM")</f>
        <v>ABDUL ROHIM</v>
      </c>
      <c r="E316" s="37" t="str">
        <f>IFERROR(__xludf.DUMMYFUNCTION("""COMPUTED_VALUE"""),"MAHWIYAH")</f>
        <v>MAHWIYAH</v>
      </c>
      <c r="F316" s="37" t="str">
        <f>IFERROR(__xludf.DUMMYFUNCTION("""COMPUTED_VALUE"""),"KALIREJO RT 003 RW 002 DUKUN GRESIK")</f>
        <v>KALIREJO RT 003 RW 002 DUKUN GRESIK</v>
      </c>
      <c r="G316" s="38" t="str">
        <f>IFERROR(__xludf.DUMMYFUNCTION("""COMPUTED_VALUE"""),"MTS-9 H")</f>
        <v>MTS-9 H</v>
      </c>
      <c r="H316" s="36" t="str">
        <f>IFERROR(__xludf.DUMMYFUNCTION("""COMPUTED_VALUE"""),"E")</f>
        <v>E</v>
      </c>
      <c r="I316" s="40" t="str">
        <f>IFERROR(__xludf.DUMMYFUNCTION("""COMPUTED_VALUE"""),"E-3")</f>
        <v>E-3</v>
      </c>
      <c r="J316" s="40">
        <f>IFERROR(__xludf.DUMMYFUNCTION("""COMPUTED_VALUE"""),3.0)</f>
        <v>3</v>
      </c>
      <c r="K316" s="40" t="str">
        <f>IFERROR(__xludf.DUMMYFUNCTION("""COMPUTED_VALUE"""),"3 ULA B PUTRI")</f>
        <v>3 ULA B PUTRI</v>
      </c>
      <c r="L316" s="39" t="str">
        <f>IFERROR(__xludf.DUMMYFUNCTION("""COMPUTED_VALUE"""),"6282257167881")</f>
        <v>6282257167881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3"/>
      <c r="AL316" s="43"/>
      <c r="AM316" s="43"/>
      <c r="AN316" s="43"/>
      <c r="AO316" s="43"/>
      <c r="AP316" s="43"/>
      <c r="AQ316" s="43"/>
      <c r="AR316" s="43"/>
      <c r="AS316" s="43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56"/>
      <c r="BH316" s="56"/>
      <c r="BI316" s="5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</row>
    <row r="317">
      <c r="A317" s="47">
        <f>IFERROR(__xludf.DUMMYFUNCTION("""COMPUTED_VALUE"""),316.0)</f>
        <v>316</v>
      </c>
      <c r="B317" s="48" t="str">
        <f>IFERROR(__xludf.DUMMYFUNCTION("""COMPUTED_VALUE"""),"HABIBAH AQILAH RAMADHONI")</f>
        <v>HABIBAH AQILAH RAMADHONI</v>
      </c>
      <c r="C317" s="49">
        <f>IFERROR(__xludf.DUMMYFUNCTION("""COMPUTED_VALUE"""),2.024070459E9)</f>
        <v>2024070459</v>
      </c>
      <c r="D317" s="48" t="str">
        <f>IFERROR(__xludf.DUMMYFUNCTION("""COMPUTED_VALUE"""),"MOH. HABIBUL QOSIM")</f>
        <v>MOH. HABIBUL QOSIM</v>
      </c>
      <c r="E317" s="48" t="str">
        <f>IFERROR(__xludf.DUMMYFUNCTION("""COMPUTED_VALUE"""),"KHOLIFATUS SA'DIYAH")</f>
        <v>KHOLIFATUS SA'DIYAH</v>
      </c>
      <c r="F317" s="48" t="str">
        <f>IFERROR(__xludf.DUMMYFUNCTION("""COMPUTED_VALUE"""),"PENGANGSALAN RT 002 RW 002 KALITENGAH LAMONGAN")</f>
        <v>PENGANGSALAN RT 002 RW 002 KALITENGAH LAMONGAN</v>
      </c>
      <c r="G317" s="49" t="str">
        <f>IFERROR(__xludf.DUMMYFUNCTION("""COMPUTED_VALUE"""),"MTS-9 H")</f>
        <v>MTS-9 H</v>
      </c>
      <c r="H317" s="47" t="str">
        <f>IFERROR(__xludf.DUMMYFUNCTION("""COMPUTED_VALUE"""),"E")</f>
        <v>E</v>
      </c>
      <c r="I317" s="51" t="str">
        <f>IFERROR(__xludf.DUMMYFUNCTION("""COMPUTED_VALUE"""),"E-3")</f>
        <v>E-3</v>
      </c>
      <c r="J317" s="51">
        <f>IFERROR(__xludf.DUMMYFUNCTION("""COMPUTED_VALUE"""),3.0)</f>
        <v>3</v>
      </c>
      <c r="K317" s="51" t="str">
        <f>IFERROR(__xludf.DUMMYFUNCTION("""COMPUTED_VALUE"""),"3 ULA C PUTRI")</f>
        <v>3 ULA C PUTRI</v>
      </c>
      <c r="L317" s="50" t="str">
        <f>IFERROR(__xludf.DUMMYFUNCTION("""COMPUTED_VALUE"""),"6285732806511")</f>
        <v>6285732806511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 t="str">
        <f>IFERROR(__xludf.DUMMYFUNCTION("""COMPUTED_VALUE""")," ")</f>
        <v> </v>
      </c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4"/>
      <c r="AS317" s="54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IFERROR(__xludf.DUMMYFUNCTION("""COMPUTED_VALUE"""),0.0)</f>
        <v>0</v>
      </c>
      <c r="BD317" s="54">
        <f>IFERROR(__xludf.DUMMYFUNCTION("""COMPUTED_VALUE"""),0.0)</f>
        <v>0</v>
      </c>
      <c r="BE317" s="54">
        <f>IFERROR(__xludf.DUMMYFUNCTION("""COMPUTED_VALUE"""),0.0)</f>
        <v>0</v>
      </c>
      <c r="BF317" s="55">
        <f>IFERROR(__xludf.DUMMYFUNCTION("""COMPUTED_VALUE"""),0.0)</f>
        <v>0</v>
      </c>
      <c r="BG317" s="57"/>
      <c r="BH317" s="57"/>
      <c r="BI317" s="57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</row>
    <row r="318">
      <c r="A318" s="36">
        <f>IFERROR(__xludf.DUMMYFUNCTION("""COMPUTED_VALUE"""),317.0)</f>
        <v>317</v>
      </c>
      <c r="B318" s="37" t="str">
        <f>IFERROR(__xludf.DUMMYFUNCTION("""COMPUTED_VALUE"""),"ILHAFAH ARYA NOVRYANI")</f>
        <v>ILHAFAH ARYA NOVRYANI</v>
      </c>
      <c r="C318" s="38">
        <f>IFERROR(__xludf.DUMMYFUNCTION("""COMPUTED_VALUE"""),2.024070617E9)</f>
        <v>2024070617</v>
      </c>
      <c r="D318" s="37" t="str">
        <f>IFERROR(__xludf.DUMMYFUNCTION("""COMPUTED_VALUE"""),"KARIONO")</f>
        <v>KARIONO</v>
      </c>
      <c r="E318" s="37" t="str">
        <f>IFERROR(__xludf.DUMMYFUNCTION("""COMPUTED_VALUE"""),"NGATMIATUN")</f>
        <v>NGATMIATUN</v>
      </c>
      <c r="F318" s="37" t="str">
        <f>IFERROR(__xludf.DUMMYFUNCTION("""COMPUTED_VALUE"""),"TEJOASRI RT 003 RW 005 LAREN LAMONGAN")</f>
        <v>TEJOASRI RT 003 RW 005 LAREN LAMONGAN</v>
      </c>
      <c r="G318" s="38" t="str">
        <f>IFERROR(__xludf.DUMMYFUNCTION("""COMPUTED_VALUE"""),"MTS-9 G")</f>
        <v>MTS-9 G</v>
      </c>
      <c r="H318" s="36" t="str">
        <f>IFERROR(__xludf.DUMMYFUNCTION("""COMPUTED_VALUE"""),"E")</f>
        <v>E</v>
      </c>
      <c r="I318" s="40" t="str">
        <f>IFERROR(__xludf.DUMMYFUNCTION("""COMPUTED_VALUE"""),"E-3")</f>
        <v>E-3</v>
      </c>
      <c r="J318" s="40">
        <f>IFERROR(__xludf.DUMMYFUNCTION("""COMPUTED_VALUE"""),3.0)</f>
        <v>3</v>
      </c>
      <c r="K318" s="40" t="str">
        <f>IFERROR(__xludf.DUMMYFUNCTION("""COMPUTED_VALUE"""),"3 ULA B PUTRI")</f>
        <v>3 ULA B PUTRI</v>
      </c>
      <c r="L318" s="39" t="str">
        <f>IFERROR(__xludf.DUMMYFUNCTION("""COMPUTED_VALUE"""),"6285735467317")</f>
        <v>6285735467317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>
        <f>IFERROR(__xludf.DUMMYFUNCTION("""COMPUTED_VALUE"""),500000.0)</f>
        <v>500000</v>
      </c>
      <c r="AC318" s="42"/>
      <c r="AD318" s="42"/>
      <c r="AE318" s="42"/>
      <c r="AF318" s="42"/>
      <c r="AG318" s="42"/>
      <c r="AH318" s="42"/>
      <c r="AI318" s="42"/>
      <c r="AJ318" s="42"/>
      <c r="AK318" s="42"/>
      <c r="AL318" s="42">
        <f>IFERROR(__xludf.DUMMYFUNCTION("""COMPUTED_VALUE"""),500000.0)</f>
        <v>500000</v>
      </c>
      <c r="AM318" s="42">
        <f>IFERROR(__xludf.DUMMYFUNCTION("""COMPUTED_VALUE"""),500000.0)</f>
        <v>500000</v>
      </c>
      <c r="AN318" s="42">
        <f>IFERROR(__xludf.DUMMYFUNCTION("""COMPUTED_VALUE"""),500000.0)</f>
        <v>500000</v>
      </c>
      <c r="AO318" s="42"/>
      <c r="AP318" s="42">
        <f>IFERROR(__xludf.DUMMYFUNCTION("""COMPUTED_VALUE"""),500000.0)</f>
        <v>500000</v>
      </c>
      <c r="AQ318" s="43"/>
      <c r="AR318" s="43"/>
      <c r="AS318" s="43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IFERROR(__xludf.DUMMYFUNCTION("""COMPUTED_VALUE"""),1500000.0)</f>
        <v>1500000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IFERROR(__xludf.DUMMYFUNCTION("""COMPUTED_VALUE"""),2500000.0)</f>
        <v>2500000</v>
      </c>
      <c r="BG318" s="56"/>
      <c r="BH318" s="56"/>
      <c r="BI318" s="5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</row>
    <row r="319">
      <c r="A319" s="47">
        <f>IFERROR(__xludf.DUMMYFUNCTION("""COMPUTED_VALUE"""),318.0)</f>
        <v>318</v>
      </c>
      <c r="B319" s="48" t="str">
        <f>IFERROR(__xludf.DUMMYFUNCTION("""COMPUTED_VALUE"""),"KEYSHA BRILLYAN FEBIANA")</f>
        <v>KEYSHA BRILLYAN FEBIANA</v>
      </c>
      <c r="C319" s="49">
        <f>IFERROR(__xludf.DUMMYFUNCTION("""COMPUTED_VALUE"""),2.024070513E9)</f>
        <v>2024070513</v>
      </c>
      <c r="D319" s="48" t="str">
        <f>IFERROR(__xludf.DUMMYFUNCTION("""COMPUTED_VALUE"""),"SUDJITO")</f>
        <v>SUDJITO</v>
      </c>
      <c r="E319" s="48" t="str">
        <f>IFERROR(__xludf.DUMMYFUNCTION("""COMPUTED_VALUE"""),"SISKA APRILIA")</f>
        <v>SISKA APRILIA</v>
      </c>
      <c r="F319" s="48" t="str">
        <f>IFERROR(__xludf.DUMMYFUNCTION("""COMPUTED_VALUE"""),"PENGANGSALAN RT 001 RW 001 KALITENGAH LAMONGAN")</f>
        <v>PENGANGSALAN RT 001 RW 001 KALITENGAH LAMONGAN</v>
      </c>
      <c r="G319" s="49" t="str">
        <f>IFERROR(__xludf.DUMMYFUNCTION("""COMPUTED_VALUE"""),"MTS-9 G")</f>
        <v>MTS-9 G</v>
      </c>
      <c r="H319" s="47" t="str">
        <f>IFERROR(__xludf.DUMMYFUNCTION("""COMPUTED_VALUE"""),"E")</f>
        <v>E</v>
      </c>
      <c r="I319" s="51" t="str">
        <f>IFERROR(__xludf.DUMMYFUNCTION("""COMPUTED_VALUE"""),"E-3")</f>
        <v>E-3</v>
      </c>
      <c r="J319" s="51">
        <f>IFERROR(__xludf.DUMMYFUNCTION("""COMPUTED_VALUE"""),3.0)</f>
        <v>3</v>
      </c>
      <c r="K319" s="51" t="str">
        <f>IFERROR(__xludf.DUMMYFUNCTION("""COMPUTED_VALUE"""),"3 ULA C PUTRI")</f>
        <v>3 ULA C PUTRI</v>
      </c>
      <c r="L319" s="50" t="str">
        <f>IFERROR(__xludf.DUMMYFUNCTION("""COMPUTED_VALUE"""),"628564039966")</f>
        <v>628564039966</v>
      </c>
      <c r="M319" s="54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4">
        <f>IFERROR(__xludf.DUMMYFUNCTION("""COMPUTED_VALUE"""),500000.0)</f>
        <v>500000</v>
      </c>
      <c r="AC319" s="53"/>
      <c r="AD319" s="53"/>
      <c r="AE319" s="53"/>
      <c r="AF319" s="53"/>
      <c r="AG319" s="53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IFERROR(__xludf.DUMMYFUNCTION("""COMPUTED_VALUE"""),500000.0)</f>
        <v>500000</v>
      </c>
      <c r="BE319" s="54">
        <f>IFERROR(__xludf.DUMMYFUNCTION("""COMPUTED_VALUE"""),0.0)</f>
        <v>0</v>
      </c>
      <c r="BF319" s="55">
        <f>IFERROR(__xludf.DUMMYFUNCTION("""COMPUTED_VALUE"""),500000.0)</f>
        <v>500000</v>
      </c>
      <c r="BG319" s="57"/>
      <c r="BH319" s="57"/>
      <c r="BI319" s="57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</row>
    <row r="320">
      <c r="A320" s="36">
        <f>IFERROR(__xludf.DUMMYFUNCTION("""COMPUTED_VALUE"""),319.0)</f>
        <v>319</v>
      </c>
      <c r="B320" s="37" t="str">
        <f>IFERROR(__xludf.DUMMYFUNCTION("""COMPUTED_VALUE"""),"KHANSA ZARINA MISBACH")</f>
        <v>KHANSA ZARINA MISBACH</v>
      </c>
      <c r="C320" s="38">
        <f>IFERROR(__xludf.DUMMYFUNCTION("""COMPUTED_VALUE"""),2.024070585E9)</f>
        <v>2024070585</v>
      </c>
      <c r="D320" s="37" t="str">
        <f>IFERROR(__xludf.DUMMYFUNCTION("""COMPUTED_VALUE"""),"MISBAKUL MUNIR")</f>
        <v>MISBAKUL MUNIR</v>
      </c>
      <c r="E320" s="37" t="str">
        <f>IFERROR(__xludf.DUMMYFUNCTION("""COMPUTED_VALUE"""),"MASLIHATIN")</f>
        <v>MASLIHATIN</v>
      </c>
      <c r="F320" s="37" t="str">
        <f>IFERROR(__xludf.DUMMYFUNCTION("""COMPUTED_VALUE"""),"BANGERAN RT 003 RW 002 DUKUN GRESIK")</f>
        <v>BANGERAN RT 003 RW 002 DUKUN GRESIK</v>
      </c>
      <c r="G320" s="38" t="str">
        <f>IFERROR(__xludf.DUMMYFUNCTION("""COMPUTED_VALUE"""),"MTS-9 B")</f>
        <v>MTS-9 B</v>
      </c>
      <c r="H320" s="36" t="str">
        <f>IFERROR(__xludf.DUMMYFUNCTION("""COMPUTED_VALUE"""),"E")</f>
        <v>E</v>
      </c>
      <c r="I320" s="40" t="str">
        <f>IFERROR(__xludf.DUMMYFUNCTION("""COMPUTED_VALUE"""),"E-3")</f>
        <v>E-3</v>
      </c>
      <c r="J320" s="40">
        <f>IFERROR(__xludf.DUMMYFUNCTION("""COMPUTED_VALUE"""),3.0)</f>
        <v>3</v>
      </c>
      <c r="K320" s="40" t="str">
        <f>IFERROR(__xludf.DUMMYFUNCTION("""COMPUTED_VALUE"""),"3 ULA A PUTRI")</f>
        <v>3 ULA A PUTRI</v>
      </c>
      <c r="L320" s="39" t="str">
        <f>IFERROR(__xludf.DUMMYFUNCTION("""COMPUTED_VALUE"""),"6285784480833")</f>
        <v>6285784480833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>
        <f>IFERROR(__xludf.DUMMYFUNCTION("""COMPUTED_VALUE"""),500000.0)</f>
        <v>500000</v>
      </c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3"/>
      <c r="AN320" s="43"/>
      <c r="AO320" s="42"/>
      <c r="AP320" s="43">
        <f>IFERROR(__xludf.DUMMYFUNCTION("""COMPUTED_VALUE"""),500000.0)</f>
        <v>500000</v>
      </c>
      <c r="AQ320" s="42"/>
      <c r="AR320" s="43"/>
      <c r="AS320" s="43"/>
      <c r="AT320" s="42"/>
      <c r="AU320" s="42"/>
      <c r="AV320" s="42"/>
      <c r="AW320" s="42"/>
      <c r="AX320" s="42"/>
      <c r="AY320" s="42"/>
      <c r="AZ320" s="42"/>
      <c r="BA320" s="42"/>
      <c r="BB320" s="42"/>
      <c r="BC320" s="43">
        <f>IFERROR(__xludf.DUMMYFUNCTION("""COMPUTED_VALUE"""),0.0)</f>
        <v>0</v>
      </c>
      <c r="BD320" s="43">
        <f>IFERROR(__xludf.DUMMYFUNCTION("""COMPUTED_VALUE"""),1000000.0)</f>
        <v>1000000</v>
      </c>
      <c r="BE320" s="43">
        <f>IFERROR(__xludf.DUMMYFUNCTION("""COMPUTED_VALUE"""),0.0)</f>
        <v>0</v>
      </c>
      <c r="BF320" s="44">
        <f>IFERROR(__xludf.DUMMYFUNCTION("""COMPUTED_VALUE"""),1000000.0)</f>
        <v>1000000</v>
      </c>
      <c r="BG320" s="56"/>
      <c r="BH320" s="56"/>
      <c r="BI320" s="5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</row>
    <row r="321">
      <c r="A321" s="47">
        <f>IFERROR(__xludf.DUMMYFUNCTION("""COMPUTED_VALUE"""),320.0)</f>
        <v>320</v>
      </c>
      <c r="B321" s="48" t="str">
        <f>IFERROR(__xludf.DUMMYFUNCTION("""COMPUTED_VALUE"""),"KHARISYAH NADYATUR ROHMAH")</f>
        <v>KHARISYAH NADYATUR ROHMAH</v>
      </c>
      <c r="C321" s="49">
        <f>IFERROR(__xludf.DUMMYFUNCTION("""COMPUTED_VALUE"""),2.024070635E9)</f>
        <v>2024070635</v>
      </c>
      <c r="D321" s="48" t="str">
        <f>IFERROR(__xludf.DUMMYFUNCTION("""COMPUTED_VALUE"""),"LILIS MAHRUSIN")</f>
        <v>LILIS MAHRUSIN</v>
      </c>
      <c r="E321" s="48" t="str">
        <f>IFERROR(__xludf.DUMMYFUNCTION("""COMPUTED_VALUE"""),"NUR AZIZAH ROHMAH")</f>
        <v>NUR AZIZAH ROHMAH</v>
      </c>
      <c r="F321" s="48" t="str">
        <f>IFERROR(__xludf.DUMMYFUNCTION("""COMPUTED_VALUE"""),"DADUNGAN RT 002 RW 004 KALITENGAH LAMONGAN")</f>
        <v>DADUNGAN RT 002 RW 004 KALITENGAH LAMONGAN</v>
      </c>
      <c r="G321" s="49" t="str">
        <f>IFERROR(__xludf.DUMMYFUNCTION("""COMPUTED_VALUE"""),"MTS-9 C")</f>
        <v>MTS-9 C</v>
      </c>
      <c r="H321" s="47" t="str">
        <f>IFERROR(__xludf.DUMMYFUNCTION("""COMPUTED_VALUE"""),"E")</f>
        <v>E</v>
      </c>
      <c r="I321" s="51" t="str">
        <f>IFERROR(__xludf.DUMMYFUNCTION("""COMPUTED_VALUE"""),"E-2")</f>
        <v>E-2</v>
      </c>
      <c r="J321" s="51">
        <f>IFERROR(__xludf.DUMMYFUNCTION("""COMPUTED_VALUE"""),3.0)</f>
        <v>3</v>
      </c>
      <c r="K321" s="51" t="str">
        <f>IFERROR(__xludf.DUMMYFUNCTION("""COMPUTED_VALUE"""),"3 ULA C PUTRI")</f>
        <v>3 ULA C PUTRI</v>
      </c>
      <c r="L321" s="50" t="str">
        <f>IFERROR(__xludf.DUMMYFUNCTION("""COMPUTED_VALUE"""),"6285649089570")</f>
        <v>6285649089570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>
        <f>IFERROR(__xludf.DUMMYFUNCTION("""COMPUTED_VALUE"""),500000.0)</f>
        <v>500000</v>
      </c>
      <c r="AJ321" s="53">
        <f>IFERROR(__xludf.DUMMYFUNCTION("""COMPUTED_VALUE"""),500000.0)</f>
        <v>500000</v>
      </c>
      <c r="AK321" s="53">
        <f>IFERROR(__xludf.DUMMYFUNCTION("""COMPUTED_VALUE"""),500000.0)</f>
        <v>500000</v>
      </c>
      <c r="AL321" s="53">
        <f>IFERROR(__xludf.DUMMYFUNCTION("""COMPUTED_VALUE"""),500000.0)</f>
        <v>500000</v>
      </c>
      <c r="AM321" s="53">
        <f>IFERROR(__xludf.DUMMYFUNCTION("""COMPUTED_VALUE"""),500000.0)</f>
        <v>500000</v>
      </c>
      <c r="AN321" s="53">
        <f>IFERROR(__xludf.DUMMYFUNCTION("""COMPUTED_VALUE"""),500000.0)</f>
        <v>500000</v>
      </c>
      <c r="AO321" s="54"/>
      <c r="AP321" s="53"/>
      <c r="AQ321" s="54"/>
      <c r="AR321" s="54"/>
      <c r="AS321" s="54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IFERROR(__xludf.DUMMYFUNCTION("""COMPUTED_VALUE"""),3000000.0)</f>
        <v>3000000</v>
      </c>
      <c r="BD321" s="54">
        <f>IFERROR(__xludf.DUMMYFUNCTION("""COMPUTED_VALUE"""),0.0)</f>
        <v>0</v>
      </c>
      <c r="BE321" s="54">
        <f>IFERROR(__xludf.DUMMYFUNCTION("""COMPUTED_VALUE"""),0.0)</f>
        <v>0</v>
      </c>
      <c r="BF321" s="55">
        <f>IFERROR(__xludf.DUMMYFUNCTION("""COMPUTED_VALUE"""),3000000.0)</f>
        <v>3000000</v>
      </c>
      <c r="BG321" s="57"/>
      <c r="BH321" s="57"/>
      <c r="BI321" s="57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</row>
    <row r="322">
      <c r="A322" s="36">
        <f>IFERROR(__xludf.DUMMYFUNCTION("""COMPUTED_VALUE"""),321.0)</f>
        <v>321</v>
      </c>
      <c r="B322" s="37" t="str">
        <f>IFERROR(__xludf.DUMMYFUNCTION("""COMPUTED_VALUE"""),"KHULIATUL MILLAH ELVIANA")</f>
        <v>KHULIATUL MILLAH ELVIANA</v>
      </c>
      <c r="C322" s="38">
        <f>IFERROR(__xludf.DUMMYFUNCTION("""COMPUTED_VALUE"""),2.024070499E9)</f>
        <v>2024070499</v>
      </c>
      <c r="D322" s="37" t="str">
        <f>IFERROR(__xludf.DUMMYFUNCTION("""COMPUTED_VALUE"""),"ATTOILLAH")</f>
        <v>ATTOILLAH</v>
      </c>
      <c r="E322" s="37" t="str">
        <f>IFERROR(__xludf.DUMMYFUNCTION("""COMPUTED_VALUE"""),"ZAIDATUL FARIDAH")</f>
        <v>ZAIDATUL FARIDAH</v>
      </c>
      <c r="F322" s="37" t="str">
        <f>IFERROR(__xludf.DUMMYFUNCTION("""COMPUTED_VALUE"""),"PLOSOSETRO RT 004 RW 001 PUCUK LAMONGAN")</f>
        <v>PLOSOSETRO RT 004 RW 001 PUCUK LAMONGAN</v>
      </c>
      <c r="G322" s="38" t="str">
        <f>IFERROR(__xludf.DUMMYFUNCTION("""COMPUTED_VALUE"""),"MTS-9 B")</f>
        <v>MTS-9 B</v>
      </c>
      <c r="H322" s="36" t="str">
        <f>IFERROR(__xludf.DUMMYFUNCTION("""COMPUTED_VALUE"""),"E")</f>
        <v>E</v>
      </c>
      <c r="I322" s="40" t="str">
        <f>IFERROR(__xludf.DUMMYFUNCTION("""COMPUTED_VALUE"""),"E-2")</f>
        <v>E-2</v>
      </c>
      <c r="J322" s="40">
        <f>IFERROR(__xludf.DUMMYFUNCTION("""COMPUTED_VALUE"""),3.0)</f>
        <v>3</v>
      </c>
      <c r="K322" s="40" t="str">
        <f>IFERROR(__xludf.DUMMYFUNCTION("""COMPUTED_VALUE"""),"3 ULA C PUTRI")</f>
        <v>3 ULA C PUTRI</v>
      </c>
      <c r="L322" s="39" t="str">
        <f>IFERROR(__xludf.DUMMYFUNCTION("""COMPUTED_VALUE"""),"628523337011")</f>
        <v>628523337011</v>
      </c>
      <c r="M322" s="43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3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3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IFERROR(__xludf.DUMMYFUNCTION("""COMPUTED_VALUE"""),0.0)</f>
        <v>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IFERROR(__xludf.DUMMYFUNCTION("""COMPUTED_VALUE"""),0.0)</f>
        <v>0</v>
      </c>
      <c r="BG322" s="56"/>
      <c r="BH322" s="56"/>
      <c r="BI322" s="5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</row>
    <row r="323">
      <c r="A323" s="47">
        <f>IFERROR(__xludf.DUMMYFUNCTION("""COMPUTED_VALUE"""),322.0)</f>
        <v>322</v>
      </c>
      <c r="B323" s="48" t="str">
        <f>IFERROR(__xludf.DUMMYFUNCTION("""COMPUTED_VALUE"""),"LAILATUL MAGHFIROH")</f>
        <v>LAILATUL MAGHFIROH</v>
      </c>
      <c r="C323" s="49">
        <f>IFERROR(__xludf.DUMMYFUNCTION("""COMPUTED_VALUE"""),2.024070449E9)</f>
        <v>2024070449</v>
      </c>
      <c r="D323" s="48" t="str">
        <f>IFERROR(__xludf.DUMMYFUNCTION("""COMPUTED_VALUE"""),"SUPARDI")</f>
        <v>SUPARDI</v>
      </c>
      <c r="E323" s="48" t="str">
        <f>IFERROR(__xludf.DUMMYFUNCTION("""COMPUTED_VALUE"""),"ARTI")</f>
        <v>ARTI</v>
      </c>
      <c r="F323" s="48" t="str">
        <f>IFERROR(__xludf.DUMMYFUNCTION("""COMPUTED_VALUE"""),"TUMENGGUNGBARU RT 003 RW 006 TUMENGGUNGAN LAMONGAN")</f>
        <v>TUMENGGUNGBARU RT 003 RW 006 TUMENGGUNGAN LAMONGAN</v>
      </c>
      <c r="G323" s="49" t="str">
        <f>IFERROR(__xludf.DUMMYFUNCTION("""COMPUTED_VALUE"""),"MTS-9 A")</f>
        <v>MTS-9 A</v>
      </c>
      <c r="H323" s="47" t="str">
        <f>IFERROR(__xludf.DUMMYFUNCTION("""COMPUTED_VALUE"""),"E")</f>
        <v>E</v>
      </c>
      <c r="I323" s="51" t="str">
        <f>IFERROR(__xludf.DUMMYFUNCTION("""COMPUTED_VALUE"""),"E-9")</f>
        <v>E-9</v>
      </c>
      <c r="J323" s="51">
        <f>IFERROR(__xludf.DUMMYFUNCTION("""COMPUTED_VALUE"""),3.0)</f>
        <v>3</v>
      </c>
      <c r="K323" s="51" t="str">
        <f>IFERROR(__xludf.DUMMYFUNCTION("""COMPUTED_VALUE"""),"3 ULA A PUTRI")</f>
        <v>3 ULA A PUTRI</v>
      </c>
      <c r="L323" s="50" t="str">
        <f>IFERROR(__xludf.DUMMYFUNCTION("""COMPUTED_VALUE"""),"6285745981726")</f>
        <v>6285745981726</v>
      </c>
      <c r="M323" s="54"/>
      <c r="N323" s="53"/>
      <c r="O323" s="53"/>
      <c r="P323" s="53"/>
      <c r="Q323" s="53"/>
      <c r="R323" s="53"/>
      <c r="S323" s="53"/>
      <c r="T323" s="53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IFERROR(__xludf.DUMMYFUNCTION("""COMPUTED_VALUE"""),0.0)</f>
        <v>0</v>
      </c>
      <c r="BD323" s="54">
        <f>IFERROR(__xludf.DUMMYFUNCTION("""COMPUTED_VALUE"""),0.0)</f>
        <v>0</v>
      </c>
      <c r="BE323" s="54">
        <f>IFERROR(__xludf.DUMMYFUNCTION("""COMPUTED_VALUE"""),0.0)</f>
        <v>0</v>
      </c>
      <c r="BF323" s="55">
        <f>IFERROR(__xludf.DUMMYFUNCTION("""COMPUTED_VALUE"""),0.0)</f>
        <v>0</v>
      </c>
      <c r="BG323" s="57"/>
      <c r="BH323" s="57"/>
      <c r="BI323" s="57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</row>
    <row r="324">
      <c r="A324" s="36">
        <f>IFERROR(__xludf.DUMMYFUNCTION("""COMPUTED_VALUE"""),323.0)</f>
        <v>323</v>
      </c>
      <c r="B324" s="37" t="str">
        <f>IFERROR(__xludf.DUMMYFUNCTION("""COMPUTED_VALUE"""),"NA`ILAH SINTA NURIYYAH")</f>
        <v>NA`ILAH SINTA NURIYYAH</v>
      </c>
      <c r="C324" s="38">
        <f>IFERROR(__xludf.DUMMYFUNCTION("""COMPUTED_VALUE"""),2.024070581E9)</f>
        <v>2024070581</v>
      </c>
      <c r="D324" s="37" t="str">
        <f>IFERROR(__xludf.DUMMYFUNCTION("""COMPUTED_VALUE"""),"MOH. AFIF MN.")</f>
        <v>MOH. AFIF MN.</v>
      </c>
      <c r="E324" s="37" t="str">
        <f>IFERROR(__xludf.DUMMYFUNCTION("""COMPUTED_VALUE"""),"SITI SHOFIYAH")</f>
        <v>SITI SHOFIYAH</v>
      </c>
      <c r="F324" s="37" t="str">
        <f>IFERROR(__xludf.DUMMYFUNCTION("""COMPUTED_VALUE"""),"SUNAN MURIA LATUKAN RT 002 RW 001 KARANGGENENG LAMONGAN")</f>
        <v>SUNAN MURIA LATUKAN RT 002 RW 001 KARANGGENENG LAMONGAN</v>
      </c>
      <c r="G324" s="38" t="str">
        <f>IFERROR(__xludf.DUMMYFUNCTION("""COMPUTED_VALUE"""),"MTS-9 H")</f>
        <v>MTS-9 H</v>
      </c>
      <c r="H324" s="36" t="str">
        <f>IFERROR(__xludf.DUMMYFUNCTION("""COMPUTED_VALUE"""),"E")</f>
        <v>E</v>
      </c>
      <c r="I324" s="40" t="str">
        <f>IFERROR(__xludf.DUMMYFUNCTION("""COMPUTED_VALUE"""),"E-3")</f>
        <v>E-3</v>
      </c>
      <c r="J324" s="40">
        <f>IFERROR(__xludf.DUMMYFUNCTION("""COMPUTED_VALUE"""),3.0)</f>
        <v>3</v>
      </c>
      <c r="K324" s="40" t="str">
        <f>IFERROR(__xludf.DUMMYFUNCTION("""COMPUTED_VALUE"""),"3 ULA B PUTRI")</f>
        <v>3 ULA B PUTRI</v>
      </c>
      <c r="L324" s="39" t="str">
        <f>IFERROR(__xludf.DUMMYFUNCTION("""COMPUTED_VALUE"""),"6283135957352")</f>
        <v>6283135957352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3"/>
      <c r="AR324" s="43"/>
      <c r="AS324" s="43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IFERROR(__xludf.DUMMYFUNCTION("""COMPUTED_VALUE"""),0.0)</f>
        <v>0</v>
      </c>
      <c r="BE324" s="43">
        <f>IFERROR(__xludf.DUMMYFUNCTION("""COMPUTED_VALUE"""),0.0)</f>
        <v>0</v>
      </c>
      <c r="BF324" s="44">
        <f>IFERROR(__xludf.DUMMYFUNCTION("""COMPUTED_VALUE"""),0.0)</f>
        <v>0</v>
      </c>
      <c r="BG324" s="56"/>
      <c r="BH324" s="56"/>
      <c r="BI324" s="5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</row>
    <row r="325">
      <c r="A325" s="47">
        <f>IFERROR(__xludf.DUMMYFUNCTION("""COMPUTED_VALUE"""),324.0)</f>
        <v>324</v>
      </c>
      <c r="B325" s="48" t="str">
        <f>IFERROR(__xludf.DUMMYFUNCTION("""COMPUTED_VALUE"""),"NAALAT SYAFA`ATUL UDHMA")</f>
        <v>NAALAT SYAFA`ATUL UDHMA</v>
      </c>
      <c r="C325" s="49">
        <f>IFERROR(__xludf.DUMMYFUNCTION("""COMPUTED_VALUE"""),2.024070604E9)</f>
        <v>2024070604</v>
      </c>
      <c r="D325" s="48" t="str">
        <f>IFERROR(__xludf.DUMMYFUNCTION("""COMPUTED_VALUE"""),"MUHAMMAD YUSUF JUMHURI")</f>
        <v>MUHAMMAD YUSUF JUMHURI</v>
      </c>
      <c r="E325" s="48" t="str">
        <f>IFERROR(__xludf.DUMMYFUNCTION("""COMPUTED_VALUE"""),"MAFTUHATUL AFLAHAH")</f>
        <v>MAFTUHATUL AFLAHAH</v>
      </c>
      <c r="F325" s="48" t="str">
        <f>IFERROR(__xludf.DUMMYFUNCTION("""COMPUTED_VALUE"""),"BANGERAN RT 006 RW 002 DUKUN GRESIK")</f>
        <v>BANGERAN RT 006 RW 002 DUKUN GRESIK</v>
      </c>
      <c r="G325" s="49" t="str">
        <f>IFERROR(__xludf.DUMMYFUNCTION("""COMPUTED_VALUE"""),"MTS-9 D")</f>
        <v>MTS-9 D</v>
      </c>
      <c r="H325" s="47" t="str">
        <f>IFERROR(__xludf.DUMMYFUNCTION("""COMPUTED_VALUE"""),"E")</f>
        <v>E</v>
      </c>
      <c r="I325" s="51" t="str">
        <f>IFERROR(__xludf.DUMMYFUNCTION("""COMPUTED_VALUE"""),"E-3")</f>
        <v>E-3</v>
      </c>
      <c r="J325" s="51">
        <f>IFERROR(__xludf.DUMMYFUNCTION("""COMPUTED_VALUE"""),3.0)</f>
        <v>3</v>
      </c>
      <c r="K325" s="51" t="str">
        <f>IFERROR(__xludf.DUMMYFUNCTION("""COMPUTED_VALUE"""),"3 ULA A PUTRI")</f>
        <v>3 ULA A PUTRI</v>
      </c>
      <c r="L325" s="50" t="str">
        <f>IFERROR(__xludf.DUMMYFUNCTION("""COMPUTED_VALUE"""),"6285749469938")</f>
        <v>6285749469938</v>
      </c>
      <c r="M325" s="54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4">
        <f>IFERROR(__xludf.DUMMYFUNCTION("""COMPUTED_VALUE"""),500000.0)</f>
        <v>500000</v>
      </c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4">
        <f>IFERROR(__xludf.DUMMYFUNCTION("""COMPUTED_VALUE"""),500000.0)</f>
        <v>500000</v>
      </c>
      <c r="AQ325" s="53"/>
      <c r="AR325" s="53"/>
      <c r="AS325" s="54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IFERROR(__xludf.DUMMYFUNCTION("""COMPUTED_VALUE"""),1000000.0)</f>
        <v>1000000</v>
      </c>
      <c r="BE325" s="54">
        <f>IFERROR(__xludf.DUMMYFUNCTION("""COMPUTED_VALUE"""),0.0)</f>
        <v>0</v>
      </c>
      <c r="BF325" s="55">
        <f>IFERROR(__xludf.DUMMYFUNCTION("""COMPUTED_VALUE"""),1000000.0)</f>
        <v>1000000</v>
      </c>
      <c r="BG325" s="57"/>
      <c r="BH325" s="57"/>
      <c r="BI325" s="57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</row>
    <row r="326">
      <c r="A326" s="36">
        <f>IFERROR(__xludf.DUMMYFUNCTION("""COMPUTED_VALUE"""),325.0)</f>
        <v>325</v>
      </c>
      <c r="B326" s="37" t="str">
        <f>IFERROR(__xludf.DUMMYFUNCTION("""COMPUTED_VALUE"""),"NIRMA LAILATUL AIDA")</f>
        <v>NIRMA LAILATUL AIDA</v>
      </c>
      <c r="C326" s="38">
        <f>IFERROR(__xludf.DUMMYFUNCTION("""COMPUTED_VALUE"""),2.024070541E9)</f>
        <v>2024070541</v>
      </c>
      <c r="D326" s="37" t="str">
        <f>IFERROR(__xludf.DUMMYFUNCTION("""COMPUTED_VALUE"""),"MAS ASPANDI")</f>
        <v>MAS ASPANDI</v>
      </c>
      <c r="E326" s="37" t="str">
        <f>IFERROR(__xludf.DUMMYFUNCTION("""COMPUTED_VALUE"""),"SITI RIFATIN")</f>
        <v>SITI RIFATIN</v>
      </c>
      <c r="F326" s="37" t="str">
        <f>IFERROR(__xludf.DUMMYFUNCTION("""COMPUTED_VALUE"""),"DAGAN RT 005 RW 001 SOLOKURO LAMONGAN")</f>
        <v>DAGAN RT 005 RW 001 SOLOKURO LAMONGAN</v>
      </c>
      <c r="G326" s="38" t="str">
        <f>IFERROR(__xludf.DUMMYFUNCTION("""COMPUTED_VALUE"""),"MTS-9 B")</f>
        <v>MTS-9 B</v>
      </c>
      <c r="H326" s="36" t="str">
        <f>IFERROR(__xludf.DUMMYFUNCTION("""COMPUTED_VALUE"""),"E")</f>
        <v>E</v>
      </c>
      <c r="I326" s="40" t="str">
        <f>IFERROR(__xludf.DUMMYFUNCTION("""COMPUTED_VALUE"""),"E-2")</f>
        <v>E-2</v>
      </c>
      <c r="J326" s="40">
        <f>IFERROR(__xludf.DUMMYFUNCTION("""COMPUTED_VALUE"""),3.0)</f>
        <v>3</v>
      </c>
      <c r="K326" s="40" t="str">
        <f>IFERROR(__xludf.DUMMYFUNCTION("""COMPUTED_VALUE"""),"3 ULA A PUTRI")</f>
        <v>3 ULA A PUTRI</v>
      </c>
      <c r="L326" s="39" t="str">
        <f>IFERROR(__xludf.DUMMYFUNCTION("""COMPUTED_VALUE"""),"6285855714013")</f>
        <v>6285855714013</v>
      </c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>
        <f>IFERROR(__xludf.DUMMYFUNCTION("""COMPUTED_VALUE"""),500000.0)</f>
        <v>500000</v>
      </c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>
        <f>IFERROR(__xludf.DUMMYFUNCTION("""COMPUTED_VALUE"""),500000.0)</f>
        <v>500000</v>
      </c>
      <c r="AQ326" s="42"/>
      <c r="AR326" s="42"/>
      <c r="AS326" s="43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IFERROR(__xludf.DUMMYFUNCTION("""COMPUTED_VALUE"""),1000000.0)</f>
        <v>1000000</v>
      </c>
      <c r="BE326" s="43">
        <f>IFERROR(__xludf.DUMMYFUNCTION("""COMPUTED_VALUE"""),0.0)</f>
        <v>0</v>
      </c>
      <c r="BF326" s="44">
        <f>IFERROR(__xludf.DUMMYFUNCTION("""COMPUTED_VALUE"""),1000000.0)</f>
        <v>1000000</v>
      </c>
      <c r="BG326" s="56"/>
      <c r="BH326" s="56"/>
      <c r="BI326" s="5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</row>
    <row r="327">
      <c r="A327" s="47">
        <f>IFERROR(__xludf.DUMMYFUNCTION("""COMPUTED_VALUE"""),326.0)</f>
        <v>326</v>
      </c>
      <c r="B327" s="48" t="str">
        <f>IFERROR(__xludf.DUMMYFUNCTION("""COMPUTED_VALUE"""),"NOUR ALIFATURR DHEA VANESYA")</f>
        <v>NOUR ALIFATURR DHEA VANESYA</v>
      </c>
      <c r="C327" s="49">
        <f>IFERROR(__xludf.DUMMYFUNCTION("""COMPUTED_VALUE"""),2.024070613E9)</f>
        <v>2024070613</v>
      </c>
      <c r="D327" s="48" t="str">
        <f>IFERROR(__xludf.DUMMYFUNCTION("""COMPUTED_VALUE"""),"H RADIN")</f>
        <v>H RADIN</v>
      </c>
      <c r="E327" s="48" t="str">
        <f>IFERROR(__xludf.DUMMYFUNCTION("""COMPUTED_VALUE"""),"YUNI")</f>
        <v>YUNI</v>
      </c>
      <c r="F327" s="48" t="str">
        <f>IFERROR(__xludf.DUMMYFUNCTION("""COMPUTED_VALUE"""),"MUMBULAN PENGUMBULANADI  RT 001 RW 004 TIKUNG LAMONGAN")</f>
        <v>MUMBULAN PENGUMBULANADI  RT 001 RW 004 TIKUNG LAMONGAN</v>
      </c>
      <c r="G327" s="49" t="str">
        <f>IFERROR(__xludf.DUMMYFUNCTION("""COMPUTED_VALUE"""),"MTS-9 H")</f>
        <v>MTS-9 H</v>
      </c>
      <c r="H327" s="47" t="str">
        <f>IFERROR(__xludf.DUMMYFUNCTION("""COMPUTED_VALUE"""),"E")</f>
        <v>E</v>
      </c>
      <c r="I327" s="51" t="str">
        <f>IFERROR(__xludf.DUMMYFUNCTION("""COMPUTED_VALUE"""),"E-3")</f>
        <v>E-3</v>
      </c>
      <c r="J327" s="51">
        <f>IFERROR(__xludf.DUMMYFUNCTION("""COMPUTED_VALUE"""),3.0)</f>
        <v>3</v>
      </c>
      <c r="K327" s="51" t="str">
        <f>IFERROR(__xludf.DUMMYFUNCTION("""COMPUTED_VALUE"""),"3 ULA C PUTRI")</f>
        <v>3 ULA C PUTRI</v>
      </c>
      <c r="L327" s="50" t="str">
        <f>IFERROR(__xludf.DUMMYFUNCTION("""COMPUTED_VALUE"""),"6285815030873")</f>
        <v>6285815030873</v>
      </c>
      <c r="M327" s="54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4">
        <f>IFERROR(__xludf.DUMMYFUNCTION("""COMPUTED_VALUE"""),500000.0)</f>
        <v>500000</v>
      </c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>
        <f>IFERROR(__xludf.DUMMYFUNCTION("""COMPUTED_VALUE"""),500000.0)</f>
        <v>500000</v>
      </c>
      <c r="AO327" s="54"/>
      <c r="AP327" s="54">
        <f>IFERROR(__xludf.DUMMYFUNCTION("""COMPUTED_VALUE"""),500000.0)</f>
        <v>500000</v>
      </c>
      <c r="AQ327" s="53"/>
      <c r="AR327" s="54"/>
      <c r="AS327" s="54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IFERROR(__xludf.DUMMYFUNCTION("""COMPUTED_VALUE"""),500000.0)</f>
        <v>500000</v>
      </c>
      <c r="BD327" s="54">
        <f>IFERROR(__xludf.DUMMYFUNCTION("""COMPUTED_VALUE"""),1000000.0)</f>
        <v>1000000</v>
      </c>
      <c r="BE327" s="54">
        <f>IFERROR(__xludf.DUMMYFUNCTION("""COMPUTED_VALUE"""),0.0)</f>
        <v>0</v>
      </c>
      <c r="BF327" s="55">
        <f>IFERROR(__xludf.DUMMYFUNCTION("""COMPUTED_VALUE"""),1500000.0)</f>
        <v>1500000</v>
      </c>
      <c r="BG327" s="57"/>
      <c r="BH327" s="57"/>
      <c r="BI327" s="57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</row>
    <row r="328">
      <c r="A328" s="36">
        <f>IFERROR(__xludf.DUMMYFUNCTION("""COMPUTED_VALUE"""),327.0)</f>
        <v>327</v>
      </c>
      <c r="B328" s="37" t="str">
        <f>IFERROR(__xludf.DUMMYFUNCTION("""COMPUTED_VALUE"""),"NUR AWWALIN AFIDATUSSOFA")</f>
        <v>NUR AWWALIN AFIDATUSSOFA</v>
      </c>
      <c r="C328" s="38">
        <f>IFERROR(__xludf.DUMMYFUNCTION("""COMPUTED_VALUE"""),2.024070518E9)</f>
        <v>2024070518</v>
      </c>
      <c r="D328" s="37" t="str">
        <f>IFERROR(__xludf.DUMMYFUNCTION("""COMPUTED_VALUE"""),"MUHAMMAD NURHADI")</f>
        <v>MUHAMMAD NURHADI</v>
      </c>
      <c r="E328" s="37" t="str">
        <f>IFERROR(__xludf.DUMMYFUNCTION("""COMPUTED_VALUE"""),"MUALIYAH")</f>
        <v>MUALIYAH</v>
      </c>
      <c r="F328" s="37" t="str">
        <f>IFERROR(__xludf.DUMMYFUNCTION("""COMPUTED_VALUE"""),"SUNAN AMPEL LATUKAN RT 003 RW 001 KARANGGENENG LAMONGAN")</f>
        <v>SUNAN AMPEL LATUKAN RT 003 RW 001 KARANGGENENG LAMONGAN</v>
      </c>
      <c r="G328" s="38" t="str">
        <f>IFERROR(__xludf.DUMMYFUNCTION("""COMPUTED_VALUE"""),"MTS-9 B")</f>
        <v>MTS-9 B</v>
      </c>
      <c r="H328" s="36" t="str">
        <f>IFERROR(__xludf.DUMMYFUNCTION("""COMPUTED_VALUE"""),"E")</f>
        <v>E</v>
      </c>
      <c r="I328" s="40" t="str">
        <f>IFERROR(__xludf.DUMMYFUNCTION("""COMPUTED_VALUE"""),"E-2")</f>
        <v>E-2</v>
      </c>
      <c r="J328" s="40">
        <f>IFERROR(__xludf.DUMMYFUNCTION("""COMPUTED_VALUE"""),3.0)</f>
        <v>3</v>
      </c>
      <c r="K328" s="40" t="str">
        <f>IFERROR(__xludf.DUMMYFUNCTION("""COMPUTED_VALUE"""),"3 ULA B PUTRI")</f>
        <v>3 ULA B PUTRI</v>
      </c>
      <c r="L328" s="39" t="str">
        <f>IFERROR(__xludf.DUMMYFUNCTION("""COMPUTED_VALUE"""),"6285746646918")</f>
        <v>6285746646918</v>
      </c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>
        <f>IFERROR(__xludf.DUMMYFUNCTION("""COMPUTED_VALUE"""),500000.0)</f>
        <v>500000</v>
      </c>
      <c r="AQ328" s="42"/>
      <c r="AR328" s="42"/>
      <c r="AS328" s="43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IFERROR(__xludf.DUMMYFUNCTION("""COMPUTED_VALUE"""),500000.0)</f>
        <v>500000</v>
      </c>
      <c r="BE328" s="43">
        <f>IFERROR(__xludf.DUMMYFUNCTION("""COMPUTED_VALUE"""),0.0)</f>
        <v>0</v>
      </c>
      <c r="BF328" s="44">
        <f>IFERROR(__xludf.DUMMYFUNCTION("""COMPUTED_VALUE"""),500000.0)</f>
        <v>500000</v>
      </c>
      <c r="BG328" s="56"/>
      <c r="BH328" s="56"/>
      <c r="BI328" s="5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</row>
    <row r="329">
      <c r="A329" s="47">
        <f>IFERROR(__xludf.DUMMYFUNCTION("""COMPUTED_VALUE"""),328.0)</f>
        <v>328</v>
      </c>
      <c r="B329" s="48" t="str">
        <f>IFERROR(__xludf.DUMMYFUNCTION("""COMPUTED_VALUE"""),"NUR FAZA KAMILA")</f>
        <v>NUR FAZA KAMILA</v>
      </c>
      <c r="C329" s="49">
        <f>IFERROR(__xludf.DUMMYFUNCTION("""COMPUTED_VALUE"""),2.024070467E9)</f>
        <v>2024070467</v>
      </c>
      <c r="D329" s="48" t="str">
        <f>IFERROR(__xludf.DUMMYFUNCTION("""COMPUTED_VALUE"""),"AH. ZAINI")</f>
        <v>AH. ZAINI</v>
      </c>
      <c r="E329" s="48" t="str">
        <f>IFERROR(__xludf.DUMMYFUNCTION("""COMPUTED_VALUE"""),"IFFAH FIRDAUSI NUZULA")</f>
        <v>IFFAH FIRDAUSI NUZULA</v>
      </c>
      <c r="F329" s="48" t="str">
        <f>IFERROR(__xludf.DUMMYFUNCTION("""COMPUTED_VALUE"""),"KEMLAGIGEDE RT 012 RW 003 TURI LAMONGAN")</f>
        <v>KEMLAGIGEDE RT 012 RW 003 TURI LAMONGAN</v>
      </c>
      <c r="G329" s="49" t="str">
        <f>IFERROR(__xludf.DUMMYFUNCTION("""COMPUTED_VALUE"""),"MTS-9 A")</f>
        <v>MTS-9 A</v>
      </c>
      <c r="H329" s="47" t="str">
        <f>IFERROR(__xludf.DUMMYFUNCTION("""COMPUTED_VALUE"""),"E")</f>
        <v>E</v>
      </c>
      <c r="I329" s="51" t="str">
        <f>IFERROR(__xludf.DUMMYFUNCTION("""COMPUTED_VALUE"""),"E-2")</f>
        <v>E-2</v>
      </c>
      <c r="J329" s="51">
        <f>IFERROR(__xludf.DUMMYFUNCTION("""COMPUTED_VALUE"""),3.0)</f>
        <v>3</v>
      </c>
      <c r="K329" s="51" t="str">
        <f>IFERROR(__xludf.DUMMYFUNCTION("""COMPUTED_VALUE"""),"3 ULA C PUTRI")</f>
        <v>3 ULA C PUTRI</v>
      </c>
      <c r="L329" s="50" t="str">
        <f>IFERROR(__xludf.DUMMYFUNCTION("""COMPUTED_VALUE"""),"6285855700260")</f>
        <v>6285855700260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>
        <f>IFERROR(__xludf.DUMMYFUNCTION("""COMPUTED_VALUE"""),500000.0)</f>
        <v>500000</v>
      </c>
      <c r="AO329" s="53"/>
      <c r="AP329" s="53">
        <f>IFERROR(__xludf.DUMMYFUNCTION("""COMPUTED_VALUE"""),500000.0)</f>
        <v>500000</v>
      </c>
      <c r="AQ329" s="53"/>
      <c r="AR329" s="54"/>
      <c r="AS329" s="54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IFERROR(__xludf.DUMMYFUNCTION("""COMPUTED_VALUE"""),500000.0)</f>
        <v>500000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IFERROR(__xludf.DUMMYFUNCTION("""COMPUTED_VALUE"""),1500000.0)</f>
        <v>1500000</v>
      </c>
      <c r="BG329" s="57"/>
      <c r="BH329" s="57"/>
      <c r="BI329" s="57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</row>
    <row r="330">
      <c r="A330" s="36">
        <f>IFERROR(__xludf.DUMMYFUNCTION("""COMPUTED_VALUE"""),329.0)</f>
        <v>329</v>
      </c>
      <c r="B330" s="37" t="str">
        <f>IFERROR(__xludf.DUMMYFUNCTION("""COMPUTED_VALUE"""),"NUR LABIBATUS SHOLIHAH")</f>
        <v>NUR LABIBATUS SHOLIHAH</v>
      </c>
      <c r="C330" s="38">
        <f>IFERROR(__xludf.DUMMYFUNCTION("""COMPUTED_VALUE"""),2.024070568E9)</f>
        <v>2024070568</v>
      </c>
      <c r="D330" s="37" t="str">
        <f>IFERROR(__xludf.DUMMYFUNCTION("""COMPUTED_VALUE"""),"ABDUL HADI")</f>
        <v>ABDUL HADI</v>
      </c>
      <c r="E330" s="37" t="str">
        <f>IFERROR(__xludf.DUMMYFUNCTION("""COMPUTED_VALUE"""),"SITI MAIMANAH")</f>
        <v>SITI MAIMANAH</v>
      </c>
      <c r="F330" s="37" t="str">
        <f>IFERROR(__xludf.DUMMYFUNCTION("""COMPUTED_VALUE"""),"TINARO DUKUHAGUNG RT 005 RW 004 TIKUNG LAMONGAN")</f>
        <v>TINARO DUKUHAGUNG RT 005 RW 004 TIKUNG LAMONGAN</v>
      </c>
      <c r="G330" s="38" t="str">
        <f>IFERROR(__xludf.DUMMYFUNCTION("""COMPUTED_VALUE"""),"MTS-9 D")</f>
        <v>MTS-9 D</v>
      </c>
      <c r="H330" s="36" t="str">
        <f>IFERROR(__xludf.DUMMYFUNCTION("""COMPUTED_VALUE"""),"E")</f>
        <v>E</v>
      </c>
      <c r="I330" s="40" t="str">
        <f>IFERROR(__xludf.DUMMYFUNCTION("""COMPUTED_VALUE"""),"E-3")</f>
        <v>E-3</v>
      </c>
      <c r="J330" s="40">
        <f>IFERROR(__xludf.DUMMYFUNCTION("""COMPUTED_VALUE"""),3.0)</f>
        <v>3</v>
      </c>
      <c r="K330" s="40" t="str">
        <f>IFERROR(__xludf.DUMMYFUNCTION("""COMPUTED_VALUE"""),"3 ULA A PUTRI")</f>
        <v>3 ULA A PUTRI</v>
      </c>
      <c r="L330" s="39" t="str">
        <f>IFERROR(__xludf.DUMMYFUNCTION("""COMPUTED_VALUE"""),"6285853423327")</f>
        <v>6285853423327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>
        <f>IFERROR(__xludf.DUMMYFUNCTION("""COMPUTED_VALUE"""),500000.0)</f>
        <v>500000</v>
      </c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>
        <f>IFERROR(__xludf.DUMMYFUNCTION("""COMPUTED_VALUE"""),500000.0)</f>
        <v>500000</v>
      </c>
      <c r="AQ330" s="42"/>
      <c r="AR330" s="42"/>
      <c r="AS330" s="43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IFERROR(__xludf.DUMMYFUNCTION("""COMPUTED_VALUE"""),1000000.0)</f>
        <v>1000000</v>
      </c>
      <c r="BE330" s="43">
        <f>IFERROR(__xludf.DUMMYFUNCTION("""COMPUTED_VALUE"""),0.0)</f>
        <v>0</v>
      </c>
      <c r="BF330" s="44">
        <f>IFERROR(__xludf.DUMMYFUNCTION("""COMPUTED_VALUE"""),1000000.0)</f>
        <v>1000000</v>
      </c>
      <c r="BG330" s="56"/>
      <c r="BH330" s="56"/>
      <c r="BI330" s="5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</row>
    <row r="331">
      <c r="A331" s="47">
        <f>IFERROR(__xludf.DUMMYFUNCTION("""COMPUTED_VALUE"""),330.0)</f>
        <v>330</v>
      </c>
      <c r="B331" s="48" t="str">
        <f>IFERROR(__xludf.DUMMYFUNCTION("""COMPUTED_VALUE"""),"NURUL IFADATUL HASANAH")</f>
        <v>NURUL IFADATUL HASANAH</v>
      </c>
      <c r="C331" s="49">
        <f>IFERROR(__xludf.DUMMYFUNCTION("""COMPUTED_VALUE"""),2.024070542E9)</f>
        <v>2024070542</v>
      </c>
      <c r="D331" s="48" t="str">
        <f>IFERROR(__xludf.DUMMYFUNCTION("""COMPUTED_VALUE"""),"NUR HASAN")</f>
        <v>NUR HASAN</v>
      </c>
      <c r="E331" s="48" t="str">
        <f>IFERROR(__xludf.DUMMYFUNCTION("""COMPUTED_VALUE"""),"SUTU MUNTASIROH")</f>
        <v>SUTU MUNTASIROH</v>
      </c>
      <c r="F331" s="48" t="str">
        <f>IFERROR(__xludf.DUMMYFUNCTION("""COMPUTED_VALUE"""),"DAGAN RT 005 RW 001 SOLOKURO LAMONGAN")</f>
        <v>DAGAN RT 005 RW 001 SOLOKURO LAMONGAN</v>
      </c>
      <c r="G331" s="49" t="str">
        <f>IFERROR(__xludf.DUMMYFUNCTION("""COMPUTED_VALUE"""),"MTS-9 B")</f>
        <v>MTS-9 B</v>
      </c>
      <c r="H331" s="47" t="str">
        <f>IFERROR(__xludf.DUMMYFUNCTION("""COMPUTED_VALUE"""),"E")</f>
        <v>E</v>
      </c>
      <c r="I331" s="51" t="str">
        <f>IFERROR(__xludf.DUMMYFUNCTION("""COMPUTED_VALUE"""),"E-3")</f>
        <v>E-3</v>
      </c>
      <c r="J331" s="51">
        <f>IFERROR(__xludf.DUMMYFUNCTION("""COMPUTED_VALUE"""),3.0)</f>
        <v>3</v>
      </c>
      <c r="K331" s="51" t="str">
        <f>IFERROR(__xludf.DUMMYFUNCTION("""COMPUTED_VALUE"""),"3 ULA B PUTRI")</f>
        <v>3 ULA B PUTRI</v>
      </c>
      <c r="L331" s="50" t="str">
        <f>IFERROR(__xludf.DUMMYFUNCTION("""COMPUTED_VALUE"""),"6282230412303")</f>
        <v>6282230412303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>
        <f>IFERROR(__xludf.DUMMYFUNCTION("""COMPUTED_VALUE"""),500000.0)</f>
        <v>500000</v>
      </c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>
        <f>IFERROR(__xludf.DUMMYFUNCTION("""COMPUTED_VALUE"""),500000.0)</f>
        <v>500000</v>
      </c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IFERROR(__xludf.DUMMYFUNCTION("""COMPUTED_VALUE"""),0.0)</f>
        <v>0</v>
      </c>
      <c r="BD331" s="54">
        <f>IFERROR(__xludf.DUMMYFUNCTION("""COMPUTED_VALUE"""),1000000.0)</f>
        <v>1000000</v>
      </c>
      <c r="BE331" s="54">
        <f>IFERROR(__xludf.DUMMYFUNCTION("""COMPUTED_VALUE"""),0.0)</f>
        <v>0</v>
      </c>
      <c r="BF331" s="55">
        <f>IFERROR(__xludf.DUMMYFUNCTION("""COMPUTED_VALUE"""),1000000.0)</f>
        <v>1000000</v>
      </c>
      <c r="BG331" s="57"/>
      <c r="BH331" s="57"/>
      <c r="BI331" s="57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</row>
    <row r="332">
      <c r="A332" s="36">
        <f>IFERROR(__xludf.DUMMYFUNCTION("""COMPUTED_VALUE"""),331.0)</f>
        <v>331</v>
      </c>
      <c r="B332" s="37" t="str">
        <f>IFERROR(__xludf.DUMMYFUNCTION("""COMPUTED_VALUE"""),"RAFIQA AZALIANA YUSUF")</f>
        <v>RAFIQA AZALIANA YUSUF</v>
      </c>
      <c r="C332" s="38">
        <f>IFERROR(__xludf.DUMMYFUNCTION("""COMPUTED_VALUE"""),2.024070481E9)</f>
        <v>2024070481</v>
      </c>
      <c r="D332" s="37" t="str">
        <f>IFERROR(__xludf.DUMMYFUNCTION("""COMPUTED_VALUE"""),"ANHAR YUSUF")</f>
        <v>ANHAR YUSUF</v>
      </c>
      <c r="E332" s="37" t="str">
        <f>IFERROR(__xludf.DUMMYFUNCTION("""COMPUTED_VALUE"""),"HENIK IRAWATI")</f>
        <v>HENIK IRAWATI</v>
      </c>
      <c r="F332" s="37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38" t="str">
        <f>IFERROR(__xludf.DUMMYFUNCTION("""COMPUTED_VALUE"""),"MTS-9 C")</f>
        <v>MTS-9 C</v>
      </c>
      <c r="H332" s="36" t="str">
        <f>IFERROR(__xludf.DUMMYFUNCTION("""COMPUTED_VALUE"""),"E")</f>
        <v>E</v>
      </c>
      <c r="I332" s="40" t="str">
        <f>IFERROR(__xludf.DUMMYFUNCTION("""COMPUTED_VALUE"""),"E-3")</f>
        <v>E-3</v>
      </c>
      <c r="J332" s="40">
        <f>IFERROR(__xludf.DUMMYFUNCTION("""COMPUTED_VALUE"""),3.0)</f>
        <v>3</v>
      </c>
      <c r="K332" s="40" t="str">
        <f>IFERROR(__xludf.DUMMYFUNCTION("""COMPUTED_VALUE"""),"3 ULA A PUTRI")</f>
        <v>3 ULA A PUTRI</v>
      </c>
      <c r="L332" s="39" t="str">
        <f>IFERROR(__xludf.DUMMYFUNCTION("""COMPUTED_VALUE"""),"6281337240354")</f>
        <v>6281337240354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3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56"/>
      <c r="BH332" s="56"/>
      <c r="BI332" s="5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</row>
    <row r="333">
      <c r="A333" s="47">
        <f>IFERROR(__xludf.DUMMYFUNCTION("""COMPUTED_VALUE"""),332.0)</f>
        <v>332</v>
      </c>
      <c r="B333" s="48" t="str">
        <f>IFERROR(__xludf.DUMMYFUNCTION("""COMPUTED_VALUE"""),"RENY ARYSTA MIERZA")</f>
        <v>RENY ARYSTA MIERZA</v>
      </c>
      <c r="C333" s="49">
        <f>IFERROR(__xludf.DUMMYFUNCTION("""COMPUTED_VALUE"""),2.024070583E9)</f>
        <v>2024070583</v>
      </c>
      <c r="D333" s="48" t="str">
        <f>IFERROR(__xludf.DUMMYFUNCTION("""COMPUTED_VALUE"""),"RASMIDI")</f>
        <v>RASMIDI</v>
      </c>
      <c r="E333" s="48" t="str">
        <f>IFERROR(__xludf.DUMMYFUNCTION("""COMPUTED_VALUE"""),"MARDLUYATUS SHOIFAH")</f>
        <v>MARDLUYATUS SHOIFAH</v>
      </c>
      <c r="F333" s="48" t="str">
        <f>IFERROR(__xludf.DUMMYFUNCTION("""COMPUTED_VALUE"""),"BANGERAN GENENG RT 005 RW 003 DUKUN GRESIK")</f>
        <v>BANGERAN GENENG RT 005 RW 003 DUKUN GRESIK</v>
      </c>
      <c r="G333" s="49" t="str">
        <f>IFERROR(__xludf.DUMMYFUNCTION("""COMPUTED_VALUE"""),"MTS-9 A")</f>
        <v>MTS-9 A</v>
      </c>
      <c r="H333" s="47" t="str">
        <f>IFERROR(__xludf.DUMMYFUNCTION("""COMPUTED_VALUE"""),"E")</f>
        <v>E</v>
      </c>
      <c r="I333" s="51" t="str">
        <f>IFERROR(__xludf.DUMMYFUNCTION("""COMPUTED_VALUE"""),"E-9")</f>
        <v>E-9</v>
      </c>
      <c r="J333" s="51">
        <f>IFERROR(__xludf.DUMMYFUNCTION("""COMPUTED_VALUE"""),3.0)</f>
        <v>3</v>
      </c>
      <c r="K333" s="51" t="str">
        <f>IFERROR(__xludf.DUMMYFUNCTION("""COMPUTED_VALUE"""),"3 ULA B PUTRI")</f>
        <v>3 ULA B PUTRI</v>
      </c>
      <c r="L333" s="50" t="str">
        <f>IFERROR(__xludf.DUMMYFUNCTION("""COMPUTED_VALUE"""),"6285655316635")</f>
        <v>6285655316635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>
        <f>IFERROR(__xludf.DUMMYFUNCTION("""COMPUTED_VALUE"""),500000.0)</f>
        <v>500000</v>
      </c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>
        <f>IFERROR(__xludf.DUMMYFUNCTION("""COMPUTED_VALUE"""),500000.0)</f>
        <v>500000</v>
      </c>
      <c r="AQ333" s="53"/>
      <c r="AR333" s="53"/>
      <c r="AS333" s="54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IFERROR(__xludf.DUMMYFUNCTION("""COMPUTED_VALUE"""),1000000.0)</f>
        <v>1000000</v>
      </c>
      <c r="BE333" s="54">
        <f>IFERROR(__xludf.DUMMYFUNCTION("""COMPUTED_VALUE"""),0.0)</f>
        <v>0</v>
      </c>
      <c r="BF333" s="55">
        <f>IFERROR(__xludf.DUMMYFUNCTION("""COMPUTED_VALUE"""),1000000.0)</f>
        <v>1000000</v>
      </c>
      <c r="BG333" s="57"/>
      <c r="BH333" s="57"/>
      <c r="BI333" s="57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</row>
    <row r="334">
      <c r="A334" s="36">
        <f>IFERROR(__xludf.DUMMYFUNCTION("""COMPUTED_VALUE"""),333.0)</f>
        <v>333</v>
      </c>
      <c r="B334" s="37" t="str">
        <f>IFERROR(__xludf.DUMMYFUNCTION("""COMPUTED_VALUE"""),"RHEISYA BRILIANT OKTAVIANI")</f>
        <v>RHEISYA BRILIANT OKTAVIANI</v>
      </c>
      <c r="C334" s="38">
        <f>IFERROR(__xludf.DUMMYFUNCTION("""COMPUTED_VALUE"""),2.024070536E9)</f>
        <v>2024070536</v>
      </c>
      <c r="D334" s="37" t="str">
        <f>IFERROR(__xludf.DUMMYFUNCTION("""COMPUTED_VALUE"""),"SUGIONO")</f>
        <v>SUGIONO</v>
      </c>
      <c r="E334" s="37" t="str">
        <f>IFERROR(__xludf.DUMMYFUNCTION("""COMPUTED_VALUE"""),"SITI QONIATIN NADZIROH")</f>
        <v>SITI QONIATIN NADZIROH</v>
      </c>
      <c r="F334" s="37" t="str">
        <f>IFERROR(__xludf.DUMMYFUNCTION("""COMPUTED_VALUE"""),"DAMPIT SUMBEREJO RT 001 RW 004 LAMONGAN LAMONGAN")</f>
        <v>DAMPIT SUMBEREJO RT 001 RW 004 LAMONGAN LAMONGAN</v>
      </c>
      <c r="G334" s="38" t="str">
        <f>IFERROR(__xludf.DUMMYFUNCTION("""COMPUTED_VALUE"""),"MTS-9 A")</f>
        <v>MTS-9 A</v>
      </c>
      <c r="H334" s="36" t="str">
        <f>IFERROR(__xludf.DUMMYFUNCTION("""COMPUTED_VALUE"""),"E")</f>
        <v>E</v>
      </c>
      <c r="I334" s="40" t="str">
        <f>IFERROR(__xludf.DUMMYFUNCTION("""COMPUTED_VALUE"""),"E-9")</f>
        <v>E-9</v>
      </c>
      <c r="J334" s="40">
        <f>IFERROR(__xludf.DUMMYFUNCTION("""COMPUTED_VALUE"""),3.0)</f>
        <v>3</v>
      </c>
      <c r="K334" s="40" t="str">
        <f>IFERROR(__xludf.DUMMYFUNCTION("""COMPUTED_VALUE"""),"3 ULA C PUTRI")</f>
        <v>3 ULA C PUTRI</v>
      </c>
      <c r="L334" s="39" t="str">
        <f>IFERROR(__xludf.DUMMYFUNCTION("""COMPUTED_VALUE"""),"6289535203055")</f>
        <v>6289535203055</v>
      </c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>
        <f>IFERROR(__xludf.DUMMYFUNCTION("""COMPUTED_VALUE"""),500000.0)</f>
        <v>500000</v>
      </c>
      <c r="AQ334" s="42"/>
      <c r="AR334" s="43"/>
      <c r="AS334" s="43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IFERROR(__xludf.DUMMYFUNCTION("""COMPUTED_VALUE"""),500000.0)</f>
        <v>500000</v>
      </c>
      <c r="BE334" s="43">
        <f>IFERROR(__xludf.DUMMYFUNCTION("""COMPUTED_VALUE"""),0.0)</f>
        <v>0</v>
      </c>
      <c r="BF334" s="44">
        <f>IFERROR(__xludf.DUMMYFUNCTION("""COMPUTED_VALUE"""),500000.0)</f>
        <v>500000</v>
      </c>
      <c r="BG334" s="56"/>
      <c r="BH334" s="56"/>
      <c r="BI334" s="5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</row>
    <row r="335">
      <c r="A335" s="47">
        <f>IFERROR(__xludf.DUMMYFUNCTION("""COMPUTED_VALUE"""),334.0)</f>
        <v>334</v>
      </c>
      <c r="B335" s="48" t="str">
        <f>IFERROR(__xludf.DUMMYFUNCTION("""COMPUTED_VALUE"""),"ROSSALIA BELLA RAISYA")</f>
        <v>ROSSALIA BELLA RAISYA</v>
      </c>
      <c r="C335" s="49">
        <f>IFERROR(__xludf.DUMMYFUNCTION("""COMPUTED_VALUE"""),2.024070443E9)</f>
        <v>2024070443</v>
      </c>
      <c r="D335" s="48" t="str">
        <f>IFERROR(__xludf.DUMMYFUNCTION("""COMPUTED_VALUE"""),"RAIS")</f>
        <v>RAIS</v>
      </c>
      <c r="E335" s="48" t="str">
        <f>IFERROR(__xludf.DUMMYFUNCTION("""COMPUTED_VALUE"""),"TRIA VILIA")</f>
        <v>TRIA VILIA</v>
      </c>
      <c r="F335" s="48" t="str">
        <f>IFERROR(__xludf.DUMMYFUNCTION("""COMPUTED_VALUE"""),"LENJER DUKUHAGUNG RT 002 RW 002 TIKUNG LAMONGAN")</f>
        <v>LENJER DUKUHAGUNG RT 002 RW 002 TIKUNG LAMONGAN</v>
      </c>
      <c r="G335" s="49" t="str">
        <f>IFERROR(__xludf.DUMMYFUNCTION("""COMPUTED_VALUE"""),"MTS-9 A")</f>
        <v>MTS-9 A</v>
      </c>
      <c r="H335" s="47" t="str">
        <f>IFERROR(__xludf.DUMMYFUNCTION("""COMPUTED_VALUE"""),"E")</f>
        <v>E</v>
      </c>
      <c r="I335" s="51" t="str">
        <f>IFERROR(__xludf.DUMMYFUNCTION("""COMPUTED_VALUE"""),"E-9")</f>
        <v>E-9</v>
      </c>
      <c r="J335" s="51">
        <f>IFERROR(__xludf.DUMMYFUNCTION("""COMPUTED_VALUE"""),3.0)</f>
        <v>3</v>
      </c>
      <c r="K335" s="51" t="str">
        <f>IFERROR(__xludf.DUMMYFUNCTION("""COMPUTED_VALUE"""),"3 ULA C PUTRI")</f>
        <v>3 ULA C PUTRI</v>
      </c>
      <c r="L335" s="50" t="str">
        <f>IFERROR(__xludf.DUMMYFUNCTION("""COMPUTED_VALUE"""),"6282175167141")</f>
        <v>6282175167141</v>
      </c>
      <c r="M335" s="54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4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4"/>
      <c r="AN335" s="54"/>
      <c r="AO335" s="53"/>
      <c r="AP335" s="54"/>
      <c r="AQ335" s="54"/>
      <c r="AR335" s="54"/>
      <c r="AS335" s="54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IFERROR(__xludf.DUMMYFUNCTION("""COMPUTED_VALUE"""),0.0)</f>
        <v>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IFERROR(__xludf.DUMMYFUNCTION("""COMPUTED_VALUE"""),0.0)</f>
        <v>0</v>
      </c>
      <c r="BG335" s="57"/>
      <c r="BH335" s="57"/>
      <c r="BI335" s="57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</row>
    <row r="336">
      <c r="A336" s="36">
        <f>IFERROR(__xludf.DUMMYFUNCTION("""COMPUTED_VALUE"""),335.0)</f>
        <v>335</v>
      </c>
      <c r="B336" s="37" t="str">
        <f>IFERROR(__xludf.DUMMYFUNCTION("""COMPUTED_VALUE"""),"USWAH EL FAHRUSAZZAM ZAMI")</f>
        <v>USWAH EL FAHRUSAZZAM ZAMI</v>
      </c>
      <c r="C336" s="38">
        <f>IFERROR(__xludf.DUMMYFUNCTION("""COMPUTED_VALUE"""),2.024070574E9)</f>
        <v>2024070574</v>
      </c>
      <c r="D336" s="37" t="str">
        <f>IFERROR(__xludf.DUMMYFUNCTION("""COMPUTED_VALUE"""),"SUNAR")</f>
        <v>SUNAR</v>
      </c>
      <c r="E336" s="37" t="str">
        <f>IFERROR(__xludf.DUMMYFUNCTION("""COMPUTED_VALUE"""),"SUMINAH")</f>
        <v>SUMINAH</v>
      </c>
      <c r="F336" s="37" t="str">
        <f>IFERROR(__xludf.DUMMYFUNCTION("""COMPUTED_VALUE"""),"GERMAN RT 001 RW 003 SUGIO LAMONGAN")</f>
        <v>GERMAN RT 001 RW 003 SUGIO LAMONGAN</v>
      </c>
      <c r="G336" s="38" t="str">
        <f>IFERROR(__xludf.DUMMYFUNCTION("""COMPUTED_VALUE"""),"MTS-9 C")</f>
        <v>MTS-9 C</v>
      </c>
      <c r="H336" s="36" t="str">
        <f>IFERROR(__xludf.DUMMYFUNCTION("""COMPUTED_VALUE"""),"E")</f>
        <v>E</v>
      </c>
      <c r="I336" s="40" t="str">
        <f>IFERROR(__xludf.DUMMYFUNCTION("""COMPUTED_VALUE"""),"E-2")</f>
        <v>E-2</v>
      </c>
      <c r="J336" s="40">
        <f>IFERROR(__xludf.DUMMYFUNCTION("""COMPUTED_VALUE"""),3.0)</f>
        <v>3</v>
      </c>
      <c r="K336" s="40" t="str">
        <f>IFERROR(__xludf.DUMMYFUNCTION("""COMPUTED_VALUE"""),"3 ULA C PUTRI")</f>
        <v>3 ULA C PUTRI</v>
      </c>
      <c r="L336" s="39" t="str">
        <f>IFERROR(__xludf.DUMMYFUNCTION("""COMPUTED_VALUE"""),"6285854674616")</f>
        <v>6285854674616</v>
      </c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>
        <f>IFERROR(__xludf.DUMMYFUNCTION("""COMPUTED_VALUE"""),350000.0)</f>
        <v>350000</v>
      </c>
      <c r="AB336" s="42">
        <f>IFERROR(__xludf.DUMMYFUNCTION("""COMPUTED_VALUE"""),500000.0)</f>
        <v>500000</v>
      </c>
      <c r="AC336" s="42"/>
      <c r="AD336" s="42"/>
      <c r="AE336" s="42"/>
      <c r="AF336" s="42"/>
      <c r="AG336" s="42"/>
      <c r="AH336" s="42">
        <f>IFERROR(__xludf.DUMMYFUNCTION("""COMPUTED_VALUE"""),500000.0)</f>
        <v>500000</v>
      </c>
      <c r="AI336" s="42">
        <f>IFERROR(__xludf.DUMMYFUNCTION("""COMPUTED_VALUE"""),500000.0)</f>
        <v>500000</v>
      </c>
      <c r="AJ336" s="42">
        <f>IFERROR(__xludf.DUMMYFUNCTION("""COMPUTED_VALUE"""),500000.0)</f>
        <v>500000</v>
      </c>
      <c r="AK336" s="42">
        <f>IFERROR(__xludf.DUMMYFUNCTION("""COMPUTED_VALUE"""),500000.0)</f>
        <v>500000</v>
      </c>
      <c r="AL336" s="42">
        <f>IFERROR(__xludf.DUMMYFUNCTION("""COMPUTED_VALUE"""),500000.0)</f>
        <v>500000</v>
      </c>
      <c r="AM336" s="42">
        <f>IFERROR(__xludf.DUMMYFUNCTION("""COMPUTED_VALUE"""),500000.0)</f>
        <v>500000</v>
      </c>
      <c r="AN336" s="42">
        <f>IFERROR(__xludf.DUMMYFUNCTION("""COMPUTED_VALUE"""),500000.0)</f>
        <v>500000</v>
      </c>
      <c r="AO336" s="42"/>
      <c r="AP336" s="42">
        <f>IFERROR(__xludf.DUMMYFUNCTION("""COMPUTED_VALUE"""),500000.0)</f>
        <v>500000</v>
      </c>
      <c r="AQ336" s="42"/>
      <c r="AR336" s="43"/>
      <c r="AS336" s="43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IFERROR(__xludf.DUMMYFUNCTION("""COMPUTED_VALUE"""),3500000.0)</f>
        <v>3500000</v>
      </c>
      <c r="BD336" s="43">
        <f>IFERROR(__xludf.DUMMYFUNCTION("""COMPUTED_VALUE"""),1000000.0)</f>
        <v>1000000</v>
      </c>
      <c r="BE336" s="43">
        <f>IFERROR(__xludf.DUMMYFUNCTION("""COMPUTED_VALUE"""),350000.0)</f>
        <v>350000</v>
      </c>
      <c r="BF336" s="44">
        <f>IFERROR(__xludf.DUMMYFUNCTION("""COMPUTED_VALUE"""),4850000.0)</f>
        <v>4850000</v>
      </c>
      <c r="BG336" s="56"/>
      <c r="BH336" s="56"/>
      <c r="BI336" s="5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</row>
    <row r="337">
      <c r="A337" s="47">
        <f>IFERROR(__xludf.DUMMYFUNCTION("""COMPUTED_VALUE"""),336.0)</f>
        <v>336</v>
      </c>
      <c r="B337" s="48" t="str">
        <f>IFERROR(__xludf.DUMMYFUNCTION("""COMPUTED_VALUE"""),"ZAHROTUS TSANI NAJWA")</f>
        <v>ZAHROTUS TSANI NAJWA</v>
      </c>
      <c r="C337" s="49">
        <f>IFERROR(__xludf.DUMMYFUNCTION("""COMPUTED_VALUE"""),2.024070657E9)</f>
        <v>2024070657</v>
      </c>
      <c r="D337" s="48" t="str">
        <f>IFERROR(__xludf.DUMMYFUNCTION("""COMPUTED_VALUE"""),"NUR AFIF")</f>
        <v>NUR AFIF</v>
      </c>
      <c r="E337" s="48" t="str">
        <f>IFERROR(__xludf.DUMMYFUNCTION("""COMPUTED_VALUE"""),"SITI KHOTIMAH")</f>
        <v>SITI KHOTIMAH</v>
      </c>
      <c r="F337" s="48" t="str">
        <f>IFERROR(__xludf.DUMMYFUNCTION("""COMPUTED_VALUE"""),"SUMURBER RT 020 RW 007 PANCENG GRESIK")</f>
        <v>SUMURBER RT 020 RW 007 PANCENG GRESIK</v>
      </c>
      <c r="G337" s="50" t="str">
        <f>IFERROR(__xludf.DUMMYFUNCTION("""COMPUTED_VALUE"""),"MTS-9 B")</f>
        <v>MTS-9 B</v>
      </c>
      <c r="H337" s="47" t="str">
        <f>IFERROR(__xludf.DUMMYFUNCTION("""COMPUTED_VALUE"""),"E")</f>
        <v>E</v>
      </c>
      <c r="I337" s="51" t="str">
        <f>IFERROR(__xludf.DUMMYFUNCTION("""COMPUTED_VALUE"""),"E-2")</f>
        <v>E-2</v>
      </c>
      <c r="J337" s="51">
        <f>IFERROR(__xludf.DUMMYFUNCTION("""COMPUTED_VALUE"""),3.0)</f>
        <v>3</v>
      </c>
      <c r="K337" s="51" t="str">
        <f>IFERROR(__xludf.DUMMYFUNCTION("""COMPUTED_VALUE"""),"3 ULA A PUTRI")</f>
        <v>3 ULA A PUTRI</v>
      </c>
      <c r="L337" s="50" t="str">
        <f>IFERROR(__xludf.DUMMYFUNCTION("""COMPUTED_VALUE"""),"6285707549890")</f>
        <v>6285707549890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>
        <f>IFERROR(__xludf.DUMMYFUNCTION("""COMPUTED_VALUE"""),500000.0)</f>
        <v>500000</v>
      </c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>
        <f>IFERROR(__xludf.DUMMYFUNCTION("""COMPUTED_VALUE"""),500000.0)</f>
        <v>500000</v>
      </c>
      <c r="AO337" s="53"/>
      <c r="AP337" s="53">
        <f>IFERROR(__xludf.DUMMYFUNCTION("""COMPUTED_VALUE"""),500000.0)</f>
        <v>500000</v>
      </c>
      <c r="AQ337" s="53"/>
      <c r="AR337" s="54"/>
      <c r="AS337" s="54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IFERROR(__xludf.DUMMYFUNCTION("""COMPUTED_VALUE"""),500000.0)</f>
        <v>500000</v>
      </c>
      <c r="BD337" s="54">
        <f>IFERROR(__xludf.DUMMYFUNCTION("""COMPUTED_VALUE"""),1000000.0)</f>
        <v>1000000</v>
      </c>
      <c r="BE337" s="54">
        <f>IFERROR(__xludf.DUMMYFUNCTION("""COMPUTED_VALUE"""),0.0)</f>
        <v>0</v>
      </c>
      <c r="BF337" s="55">
        <f>IFERROR(__xludf.DUMMYFUNCTION("""COMPUTED_VALUE"""),1500000.0)</f>
        <v>1500000</v>
      </c>
      <c r="BG337" s="57"/>
      <c r="BH337" s="57"/>
      <c r="BI337" s="57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</row>
    <row r="338">
      <c r="A338" s="36">
        <f>IFERROR(__xludf.DUMMYFUNCTION("""COMPUTED_VALUE"""),337.0)</f>
        <v>337</v>
      </c>
      <c r="B338" s="37" t="str">
        <f>IFERROR(__xludf.DUMMYFUNCTION("""COMPUTED_VALUE"""),"ZALVI SYAFIRA SA`BANIA PUTRI")</f>
        <v>ZALVI SYAFIRA SA`BANIA PUTRI</v>
      </c>
      <c r="C338" s="38">
        <f>IFERROR(__xludf.DUMMYFUNCTION("""COMPUTED_VALUE"""),2.024070446E9)</f>
        <v>2024070446</v>
      </c>
      <c r="D338" s="37" t="str">
        <f>IFERROR(__xludf.DUMMYFUNCTION("""COMPUTED_VALUE"""),"FAISOL MA'ARIF")</f>
        <v>FAISOL MA'ARIF</v>
      </c>
      <c r="E338" s="37" t="str">
        <f>IFERROR(__xludf.DUMMYFUNCTION("""COMPUTED_VALUE"""),"EVI MUKHOLIDA")</f>
        <v>EVI MUKHOLIDA</v>
      </c>
      <c r="F338" s="37" t="str">
        <f>IFERROR(__xludf.DUMMYFUNCTION("""COMPUTED_VALUE"""),"DEMANG SAMBOPINGGIR RT 003 RW 004 KARANGBINANGUN LAMONGAN")</f>
        <v>DEMANG SAMBOPINGGIR RT 003 RW 004 KARANGBINANGUN LAMONGAN</v>
      </c>
      <c r="G338" s="39" t="str">
        <f>IFERROR(__xludf.DUMMYFUNCTION("""COMPUTED_VALUE"""),"MTS-9 A")</f>
        <v>MTS-9 A</v>
      </c>
      <c r="H338" s="36" t="str">
        <f>IFERROR(__xludf.DUMMYFUNCTION("""COMPUTED_VALUE"""),"E")</f>
        <v>E</v>
      </c>
      <c r="I338" s="40" t="str">
        <f>IFERROR(__xludf.DUMMYFUNCTION("""COMPUTED_VALUE"""),"E-9")</f>
        <v>E-9</v>
      </c>
      <c r="J338" s="40">
        <f>IFERROR(__xludf.DUMMYFUNCTION("""COMPUTED_VALUE"""),3.0)</f>
        <v>3</v>
      </c>
      <c r="K338" s="40" t="str">
        <f>IFERROR(__xludf.DUMMYFUNCTION("""COMPUTED_VALUE"""),"3 ULA A PUTRI")</f>
        <v>3 ULA A PUTRI</v>
      </c>
      <c r="L338" s="39" t="str">
        <f>IFERROR(__xludf.DUMMYFUNCTION("""COMPUTED_VALUE"""),"6285815817989")</f>
        <v>6285815817989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>
        <f>IFERROR(__xludf.DUMMYFUNCTION("""COMPUTED_VALUE"""),500000.0)</f>
        <v>500000</v>
      </c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3"/>
      <c r="AP338" s="42">
        <f>IFERROR(__xludf.DUMMYFUNCTION("""COMPUTED_VALUE"""),500000.0)</f>
        <v>500000</v>
      </c>
      <c r="AQ338" s="43"/>
      <c r="AR338" s="43"/>
      <c r="AS338" s="43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IFERROR(__xludf.DUMMYFUNCTION("""COMPUTED_VALUE"""),1000000.0)</f>
        <v>1000000</v>
      </c>
      <c r="BE338" s="43">
        <f>IFERROR(__xludf.DUMMYFUNCTION("""COMPUTED_VALUE"""),0.0)</f>
        <v>0</v>
      </c>
      <c r="BF338" s="44">
        <f>IFERROR(__xludf.DUMMYFUNCTION("""COMPUTED_VALUE"""),1000000.0)</f>
        <v>1000000</v>
      </c>
      <c r="BG338" s="56"/>
      <c r="BH338" s="56"/>
      <c r="BI338" s="5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</row>
    <row r="339">
      <c r="A339" s="47">
        <f>IFERROR(__xludf.DUMMYFUNCTION("""COMPUTED_VALUE"""),338.0)</f>
        <v>338</v>
      </c>
      <c r="B339" s="48" t="str">
        <f>IFERROR(__xludf.DUMMYFUNCTION("""COMPUTED_VALUE"""),"ZASKIA MAHARANI PUTRI")</f>
        <v>ZASKIA MAHARANI PUTRI</v>
      </c>
      <c r="C339" s="49">
        <f>IFERROR(__xludf.DUMMYFUNCTION("""COMPUTED_VALUE"""),2.024070586E9)</f>
        <v>2024070586</v>
      </c>
      <c r="D339" s="48" t="str">
        <f>IFERROR(__xludf.DUMMYFUNCTION("""COMPUTED_VALUE"""),"ABDUL QODIR")</f>
        <v>ABDUL QODIR</v>
      </c>
      <c r="E339" s="48" t="str">
        <f>IFERROR(__xludf.DUMMYFUNCTION("""COMPUTED_VALUE"""),"OKTAVIANA SARI")</f>
        <v>OKTAVIANA SARI</v>
      </c>
      <c r="F339" s="48" t="str">
        <f>IFERROR(__xludf.DUMMYFUNCTION("""COMPUTED_VALUE"""),"CEKEL KRAMAT RT 001 RW 001 LAMONGAN LAMONGAN")</f>
        <v>CEKEL KRAMAT RT 001 RW 001 LAMONGAN LAMONGAN</v>
      </c>
      <c r="G339" s="50" t="str">
        <f>IFERROR(__xludf.DUMMYFUNCTION("""COMPUTED_VALUE"""),"MTS-9 A")</f>
        <v>MTS-9 A</v>
      </c>
      <c r="H339" s="47" t="str">
        <f>IFERROR(__xludf.DUMMYFUNCTION("""COMPUTED_VALUE"""),"E")</f>
        <v>E</v>
      </c>
      <c r="I339" s="51" t="str">
        <f>IFERROR(__xludf.DUMMYFUNCTION("""COMPUTED_VALUE"""),"E-9")</f>
        <v>E-9</v>
      </c>
      <c r="J339" s="51">
        <f>IFERROR(__xludf.DUMMYFUNCTION("""COMPUTED_VALUE"""),3.0)</f>
        <v>3</v>
      </c>
      <c r="K339" s="51" t="str">
        <f>IFERROR(__xludf.DUMMYFUNCTION("""COMPUTED_VALUE"""),"3 ULA A PUTRI")</f>
        <v>3 ULA A PUTRI</v>
      </c>
      <c r="L339" s="50" t="str">
        <f>IFERROR(__xludf.DUMMYFUNCTION("""COMPUTED_VALUE"""),"6285852103712")</f>
        <v>6285852103712</v>
      </c>
      <c r="M339" s="53">
        <f>IFERROR(__xludf.DUMMYFUNCTION("""COMPUTED_VALUE"""),600000.0)</f>
        <v>600000</v>
      </c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>
        <f>IFERROR(__xludf.DUMMYFUNCTION("""COMPUTED_VALUE"""),500000.0)</f>
        <v>500000</v>
      </c>
      <c r="Y339" s="53">
        <f>IFERROR(__xludf.DUMMYFUNCTION("""COMPUTED_VALUE"""),500000.0)</f>
        <v>500000</v>
      </c>
      <c r="Z339" s="53">
        <f>IFERROR(__xludf.DUMMYFUNCTION("""COMPUTED_VALUE"""),500000.0)</f>
        <v>500000</v>
      </c>
      <c r="AA339" s="53">
        <f>IFERROR(__xludf.DUMMYFUNCTION("""COMPUTED_VALUE"""),350000.0)</f>
        <v>350000</v>
      </c>
      <c r="AB339" s="53">
        <f>IFERROR(__xludf.DUMMYFUNCTION("""COMPUTED_VALUE"""),500000.0)</f>
        <v>500000</v>
      </c>
      <c r="AC339" s="53">
        <f>IFERROR(__xludf.DUMMYFUNCTION("""COMPUTED_VALUE"""),500000.0)</f>
        <v>500000</v>
      </c>
      <c r="AD339" s="53">
        <f>IFERROR(__xludf.DUMMYFUNCTION("""COMPUTED_VALUE"""),500000.0)</f>
        <v>500000</v>
      </c>
      <c r="AE339" s="53">
        <f>IFERROR(__xludf.DUMMYFUNCTION("""COMPUTED_VALUE"""),500000.0)</f>
        <v>500000</v>
      </c>
      <c r="AF339" s="53">
        <f>IFERROR(__xludf.DUMMYFUNCTION("""COMPUTED_VALUE"""),500000.0)</f>
        <v>500000</v>
      </c>
      <c r="AG339" s="53">
        <f>IFERROR(__xludf.DUMMYFUNCTION("""COMPUTED_VALUE"""),500000.0)</f>
        <v>500000</v>
      </c>
      <c r="AH339" s="53">
        <f>IFERROR(__xludf.DUMMYFUNCTION("""COMPUTED_VALUE"""),500000.0)</f>
        <v>500000</v>
      </c>
      <c r="AI339" s="53">
        <f>IFERROR(__xludf.DUMMYFUNCTION("""COMPUTED_VALUE"""),500000.0)</f>
        <v>500000</v>
      </c>
      <c r="AJ339" s="53">
        <f>IFERROR(__xludf.DUMMYFUNCTION("""COMPUTED_VALUE"""),500000.0)</f>
        <v>500000</v>
      </c>
      <c r="AK339" s="53">
        <f>IFERROR(__xludf.DUMMYFUNCTION("""COMPUTED_VALUE"""),500000.0)</f>
        <v>500000</v>
      </c>
      <c r="AL339" s="53">
        <f>IFERROR(__xludf.DUMMYFUNCTION("""COMPUTED_VALUE"""),500000.0)</f>
        <v>500000</v>
      </c>
      <c r="AM339" s="53">
        <f>IFERROR(__xludf.DUMMYFUNCTION("""COMPUTED_VALUE"""),500000.0)</f>
        <v>500000</v>
      </c>
      <c r="AN339" s="53">
        <f>IFERROR(__xludf.DUMMYFUNCTION("""COMPUTED_VALUE"""),500000.0)</f>
        <v>500000</v>
      </c>
      <c r="AO339" s="53"/>
      <c r="AP339" s="53">
        <f>IFERROR(__xludf.DUMMYFUNCTION("""COMPUTED_VALUE"""),500000.0)</f>
        <v>500000</v>
      </c>
      <c r="AQ339" s="53"/>
      <c r="AR339" s="53"/>
      <c r="AS339" s="54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IFERROR(__xludf.DUMMYFUNCTION("""COMPUTED_VALUE"""),7500000.0)</f>
        <v>7500000</v>
      </c>
      <c r="BD339" s="54">
        <f>IFERROR(__xludf.DUMMYFUNCTION("""COMPUTED_VALUE"""),1600000.0)</f>
        <v>1600000</v>
      </c>
      <c r="BE339" s="54">
        <f>IFERROR(__xludf.DUMMYFUNCTION("""COMPUTED_VALUE"""),350000.0)</f>
        <v>350000</v>
      </c>
      <c r="BF339" s="55">
        <f>IFERROR(__xludf.DUMMYFUNCTION("""COMPUTED_VALUE"""),9450000.0)</f>
        <v>9450000</v>
      </c>
      <c r="BG339" s="57"/>
      <c r="BH339" s="57"/>
      <c r="BI339" s="57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</row>
    <row r="340">
      <c r="A340" s="36">
        <f>IFERROR(__xludf.DUMMYFUNCTION("""COMPUTED_VALUE"""),339.0)</f>
        <v>339</v>
      </c>
      <c r="B340" s="37" t="str">
        <f>IFERROR(__xludf.DUMMYFUNCTION("""COMPUTED_VALUE"""),"ZHAFIRA MAULIDA")</f>
        <v>ZHAFIRA MAULIDA</v>
      </c>
      <c r="C340" s="38">
        <f>IFERROR(__xludf.DUMMYFUNCTION("""COMPUTED_VALUE"""),2.024070606E9)</f>
        <v>2024070606</v>
      </c>
      <c r="D340" s="37" t="str">
        <f>IFERROR(__xludf.DUMMYFUNCTION("""COMPUTED_VALUE"""),"AGUS HANDOKO")</f>
        <v>AGUS HANDOKO</v>
      </c>
      <c r="E340" s="37" t="str">
        <f>IFERROR(__xludf.DUMMYFUNCTION("""COMPUTED_VALUE"""),"DEWI SUNDARI")</f>
        <v>DEWI SUNDARI</v>
      </c>
      <c r="F340" s="37" t="str">
        <f>IFERROR(__xludf.DUMMYFUNCTION("""COMPUTED_VALUE"""),"JL. RAYA BUNGAH MOJOPURO WETAN RT 003 RW 002 BUNGAH GRESIK")</f>
        <v>JL. RAYA BUNGAH MOJOPURO WETAN RT 003 RW 002 BUNGAH GRESIK</v>
      </c>
      <c r="G340" s="39" t="str">
        <f>IFERROR(__xludf.DUMMYFUNCTION("""COMPUTED_VALUE"""),"MTS-9 A")</f>
        <v>MTS-9 A</v>
      </c>
      <c r="H340" s="36" t="str">
        <f>IFERROR(__xludf.DUMMYFUNCTION("""COMPUTED_VALUE"""),"E")</f>
        <v>E</v>
      </c>
      <c r="I340" s="40" t="str">
        <f>IFERROR(__xludf.DUMMYFUNCTION("""COMPUTED_VALUE"""),"E-9")</f>
        <v>E-9</v>
      </c>
      <c r="J340" s="40">
        <f>IFERROR(__xludf.DUMMYFUNCTION("""COMPUTED_VALUE"""),3.0)</f>
        <v>3</v>
      </c>
      <c r="K340" s="40" t="str">
        <f>IFERROR(__xludf.DUMMYFUNCTION("""COMPUTED_VALUE"""),"3 ULA B PUTRI")</f>
        <v>3 ULA B PUTRI</v>
      </c>
      <c r="L340" s="39" t="str">
        <f>IFERROR(__xludf.DUMMYFUNCTION("""COMPUTED_VALUE"""),"6285745828753")</f>
        <v>6285745828753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>
        <f>IFERROR(__xludf.DUMMYFUNCTION("""COMPUTED_VALUE"""),500000.0)</f>
        <v>500000</v>
      </c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>
        <f>IFERROR(__xludf.DUMMYFUNCTION("""COMPUTED_VALUE"""),500000.0)</f>
        <v>500000</v>
      </c>
      <c r="AQ340" s="42"/>
      <c r="AR340" s="42"/>
      <c r="AS340" s="43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IFERROR(__xludf.DUMMYFUNCTION("""COMPUTED_VALUE"""),1000000.0)</f>
        <v>1000000</v>
      </c>
      <c r="BE340" s="43">
        <f>IFERROR(__xludf.DUMMYFUNCTION("""COMPUTED_VALUE"""),0.0)</f>
        <v>0</v>
      </c>
      <c r="BF340" s="44">
        <f>IFERROR(__xludf.DUMMYFUNCTION("""COMPUTED_VALUE"""),1000000.0)</f>
        <v>1000000</v>
      </c>
      <c r="BG340" s="56"/>
      <c r="BH340" s="56"/>
      <c r="BI340" s="5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</row>
    <row r="341">
      <c r="A341" s="47">
        <f>IFERROR(__xludf.DUMMYFUNCTION("""COMPUTED_VALUE"""),340.0)</f>
        <v>340</v>
      </c>
      <c r="B341" s="48" t="str">
        <f>IFERROR(__xludf.DUMMYFUNCTION("""COMPUTED_VALUE"""),"ANGELINA KIBRIYAH SAFITRI")</f>
        <v>ANGELINA KIBRIYAH SAFITRI</v>
      </c>
      <c r="C341" s="49">
        <f>IFERROR(__xludf.DUMMYFUNCTION("""COMPUTED_VALUE"""),2.02407034E9)</f>
        <v>2024070340</v>
      </c>
      <c r="D341" s="48" t="str">
        <f>IFERROR(__xludf.DUMMYFUNCTION("""COMPUTED_VALUE"""),"M,UFAIZIN")</f>
        <v>M,UFAIZIN</v>
      </c>
      <c r="E341" s="48" t="str">
        <f>IFERROR(__xludf.DUMMYFUNCTION("""COMPUTED_VALUE"""),"WARDATUL KHUMAIROH")</f>
        <v>WARDATUL KHUMAIROH</v>
      </c>
      <c r="F341" s="48" t="str">
        <f>IFERROR(__xludf.DUMMYFUNCTION("""COMPUTED_VALUE"""),"KETAPANGLOR RT 004 RW 003 UJUNGPANGKAH GRESIK")</f>
        <v>KETAPANGLOR RT 004 RW 003 UJUNGPANGKAH GRESIK</v>
      </c>
      <c r="G341" s="50" t="str">
        <f>IFERROR(__xludf.DUMMYFUNCTION("""COMPUTED_VALUE"""),"MA-XII.11")</f>
        <v>MA-XII.11</v>
      </c>
      <c r="H341" s="47" t="str">
        <f>IFERROR(__xludf.DUMMYFUNCTION("""COMPUTED_VALUE"""),"E")</f>
        <v>E</v>
      </c>
      <c r="I341" s="51" t="str">
        <f>IFERROR(__xludf.DUMMYFUNCTION("""COMPUTED_VALUE"""),"E-3")</f>
        <v>E-3</v>
      </c>
      <c r="J341" s="51">
        <f>IFERROR(__xludf.DUMMYFUNCTION("""COMPUTED_VALUE"""),3.0)</f>
        <v>3</v>
      </c>
      <c r="K341" s="51" t="str">
        <f>IFERROR(__xludf.DUMMYFUNCTION("""COMPUTED_VALUE"""),"3 WUSTHO B PUTRI")</f>
        <v>3 WUSTHO B PUTRI</v>
      </c>
      <c r="L341" s="50" t="str">
        <f>IFERROR(__xludf.DUMMYFUNCTION("""COMPUTED_VALUE"""),"6285707549770")</f>
        <v>6285707549770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>
        <f>IFERROR(__xludf.DUMMYFUNCTION("""COMPUTED_VALUE"""),500000.0)</f>
        <v>500000</v>
      </c>
      <c r="AJ341" s="53">
        <f>IFERROR(__xludf.DUMMYFUNCTION("""COMPUTED_VALUE"""),500000.0)</f>
        <v>500000</v>
      </c>
      <c r="AK341" s="53">
        <f>IFERROR(__xludf.DUMMYFUNCTION("""COMPUTED_VALUE"""),500000.0)</f>
        <v>500000</v>
      </c>
      <c r="AL341" s="53">
        <f>IFERROR(__xludf.DUMMYFUNCTION("""COMPUTED_VALUE"""),500000.0)</f>
        <v>500000</v>
      </c>
      <c r="AM341" s="53">
        <f>IFERROR(__xludf.DUMMYFUNCTION("""COMPUTED_VALUE"""),500000.0)</f>
        <v>500000</v>
      </c>
      <c r="AN341" s="53">
        <f>IFERROR(__xludf.DUMMYFUNCTION("""COMPUTED_VALUE"""),500000.0)</f>
        <v>500000</v>
      </c>
      <c r="AO341" s="53"/>
      <c r="AP341" s="53">
        <f>IFERROR(__xludf.DUMMYFUNCTION("""COMPUTED_VALUE"""),500000.0)</f>
        <v>500000</v>
      </c>
      <c r="AQ341" s="53"/>
      <c r="AR341" s="53"/>
      <c r="AS341" s="54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IFERROR(__xludf.DUMMYFUNCTION("""COMPUTED_VALUE"""),3000000.0)</f>
        <v>3000000</v>
      </c>
      <c r="BD341" s="54">
        <f>IFERROR(__xludf.DUMMYFUNCTION("""COMPUTED_VALUE"""),500000.0)</f>
        <v>500000</v>
      </c>
      <c r="BE341" s="54">
        <f>IFERROR(__xludf.DUMMYFUNCTION("""COMPUTED_VALUE"""),0.0)</f>
        <v>0</v>
      </c>
      <c r="BF341" s="55">
        <f>IFERROR(__xludf.DUMMYFUNCTION("""COMPUTED_VALUE"""),3500000.0)</f>
        <v>3500000</v>
      </c>
      <c r="BG341" s="57"/>
      <c r="BH341" s="57"/>
      <c r="BI341" s="57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</row>
    <row r="342">
      <c r="A342" s="36">
        <f>IFERROR(__xludf.DUMMYFUNCTION("""COMPUTED_VALUE"""),341.0)</f>
        <v>341</v>
      </c>
      <c r="B342" s="37" t="str">
        <f>IFERROR(__xludf.DUMMYFUNCTION("""COMPUTED_VALUE"""),"AULIYAH SYIFA WINARNI")</f>
        <v>AULIYAH SYIFA WINARNI</v>
      </c>
      <c r="C342" s="38">
        <f>IFERROR(__xludf.DUMMYFUNCTION("""COMPUTED_VALUE"""),2.024070188E9)</f>
        <v>2024070188</v>
      </c>
      <c r="D342" s="37" t="str">
        <f>IFERROR(__xludf.DUMMYFUNCTION("""COMPUTED_VALUE"""),"ALY KUSWARDIANTONO")</f>
        <v>ALY KUSWARDIANTONO</v>
      </c>
      <c r="E342" s="37" t="str">
        <f>IFERROR(__xludf.DUMMYFUNCTION("""COMPUTED_VALUE"""),"RULLY SYAMSI WINARNI")</f>
        <v>RULLY SYAMSI WINARNI</v>
      </c>
      <c r="F342" s="37" t="str">
        <f>IFERROR(__xludf.DUMMYFUNCTION("""COMPUTED_VALUE"""),"JL. PEMUDA KLOOFKAMP GURABESI RT 001 RW 005 JAYAPURA UTARA JAYAPURA")</f>
        <v>JL. PEMUDA KLOOFKAMP GURABESI RT 001 RW 005 JAYAPURA UTARA JAYAPURA</v>
      </c>
      <c r="G342" s="39" t="str">
        <f>IFERROR(__xludf.DUMMYFUNCTION("""COMPUTED_VALUE"""),"MA-XII.5")</f>
        <v>MA-XII.5</v>
      </c>
      <c r="H342" s="36" t="str">
        <f>IFERROR(__xludf.DUMMYFUNCTION("""COMPUTED_VALUE"""),"E")</f>
        <v>E</v>
      </c>
      <c r="I342" s="40" t="str">
        <f>IFERROR(__xludf.DUMMYFUNCTION("""COMPUTED_VALUE"""),"E-3")</f>
        <v>E-3</v>
      </c>
      <c r="J342" s="40">
        <f>IFERROR(__xludf.DUMMYFUNCTION("""COMPUTED_VALUE"""),3.0)</f>
        <v>3</v>
      </c>
      <c r="K342" s="40" t="str">
        <f>IFERROR(__xludf.DUMMYFUNCTION("""COMPUTED_VALUE"""),"3 WUSTHO C PUTRI")</f>
        <v>3 WUSTHO C PUTRI</v>
      </c>
      <c r="L342" s="39" t="str">
        <f>IFERROR(__xludf.DUMMYFUNCTION("""COMPUTED_VALUE"""),"6282248415765")</f>
        <v>6282248415765</v>
      </c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3"/>
      <c r="AP342" s="42"/>
      <c r="AQ342" s="42"/>
      <c r="AR342" s="43"/>
      <c r="AS342" s="43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IFERROR(__xludf.DUMMYFUNCTION("""COMPUTED_VALUE"""),0.0)</f>
        <v>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IFERROR(__xludf.DUMMYFUNCTION("""COMPUTED_VALUE"""),0.0)</f>
        <v>0</v>
      </c>
      <c r="BG342" s="56"/>
      <c r="BH342" s="56"/>
      <c r="BI342" s="5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</row>
    <row r="343">
      <c r="A343" s="47">
        <f>IFERROR(__xludf.DUMMYFUNCTION("""COMPUTED_VALUE"""),342.0)</f>
        <v>342</v>
      </c>
      <c r="B343" s="48" t="str">
        <f>IFERROR(__xludf.DUMMYFUNCTION("""COMPUTED_VALUE"""),"DAVINA NANGSYA AZZAHRAH")</f>
        <v>DAVINA NANGSYA AZZAHRAH</v>
      </c>
      <c r="C343" s="49">
        <f>IFERROR(__xludf.DUMMYFUNCTION("""COMPUTED_VALUE"""),2.024070415E9)</f>
        <v>2024070415</v>
      </c>
      <c r="D343" s="48" t="str">
        <f>IFERROR(__xludf.DUMMYFUNCTION("""COMPUTED_VALUE"""),"ANANG")</f>
        <v>ANANG</v>
      </c>
      <c r="E343" s="48" t="str">
        <f>IFERROR(__xludf.DUMMYFUNCTION("""COMPUTED_VALUE"""),"SAFI`AH")</f>
        <v>SAFI`AH</v>
      </c>
      <c r="F343" s="48" t="str">
        <f>IFERROR(__xludf.DUMMYFUNCTION("""COMPUTED_VALUE"""),"RANDUBENER RT 13 RW 2 KEMBANGBAHU LAMONGAN")</f>
        <v>RANDUBENER RT 13 RW 2 KEMBANGBAHU LAMONGAN</v>
      </c>
      <c r="G343" s="50" t="str">
        <f>IFERROR(__xludf.DUMMYFUNCTION("""COMPUTED_VALUE"""),"MA-XII.2")</f>
        <v>MA-XII.2</v>
      </c>
      <c r="H343" s="47" t="str">
        <f>IFERROR(__xludf.DUMMYFUNCTION("""COMPUTED_VALUE"""),"E")</f>
        <v>E</v>
      </c>
      <c r="I343" s="51" t="str">
        <f>IFERROR(__xludf.DUMMYFUNCTION("""COMPUTED_VALUE"""),"E-3")</f>
        <v>E-3</v>
      </c>
      <c r="J343" s="51">
        <f>IFERROR(__xludf.DUMMYFUNCTION("""COMPUTED_VALUE"""),3.0)</f>
        <v>3</v>
      </c>
      <c r="K343" s="51" t="str">
        <f>IFERROR(__xludf.DUMMYFUNCTION("""COMPUTED_VALUE"""),"3 WUSTHO A PUTRI")</f>
        <v>3 WUSTHO A PUTRI</v>
      </c>
      <c r="L343" s="50" t="str">
        <f>IFERROR(__xludf.DUMMYFUNCTION("""COMPUTED_VALUE"""),"6289537096560")</f>
        <v>6289537096560</v>
      </c>
      <c r="M343" s="54"/>
      <c r="N343" s="53"/>
      <c r="O343" s="53"/>
      <c r="P343" s="53"/>
      <c r="Q343" s="53"/>
      <c r="R343" s="53"/>
      <c r="S343" s="53"/>
      <c r="T343" s="54"/>
      <c r="U343" s="54"/>
      <c r="V343" s="54"/>
      <c r="W343" s="54"/>
      <c r="X343" s="54"/>
      <c r="Y343" s="54"/>
      <c r="Z343" s="54"/>
      <c r="AA343" s="53">
        <f>IFERROR(__xludf.DUMMYFUNCTION("""COMPUTED_VALUE"""),350000.0)</f>
        <v>350000</v>
      </c>
      <c r="AB343" s="54"/>
      <c r="AC343" s="54"/>
      <c r="AD343" s="54"/>
      <c r="AE343" s="54"/>
      <c r="AF343" s="54"/>
      <c r="AG343" s="54">
        <f>IFERROR(__xludf.DUMMYFUNCTION("""COMPUTED_VALUE"""),270000.0)</f>
        <v>270000</v>
      </c>
      <c r="AH343" s="54">
        <f>IFERROR(__xludf.DUMMYFUNCTION("""COMPUTED_VALUE"""),270000.0)</f>
        <v>270000</v>
      </c>
      <c r="AI343" s="54">
        <f>IFERROR(__xludf.DUMMYFUNCTION("""COMPUTED_VALUE"""),270000.0)</f>
        <v>270000</v>
      </c>
      <c r="AJ343" s="54">
        <f>IFERROR(__xludf.DUMMYFUNCTION("""COMPUTED_VALUE"""),270000.0)</f>
        <v>270000</v>
      </c>
      <c r="AK343" s="54">
        <f>IFERROR(__xludf.DUMMYFUNCTION("""COMPUTED_VALUE"""),270000.0)</f>
        <v>270000</v>
      </c>
      <c r="AL343" s="54">
        <f>IFERROR(__xludf.DUMMYFUNCTION("""COMPUTED_VALUE"""),270000.0)</f>
        <v>270000</v>
      </c>
      <c r="AM343" s="54">
        <f>IFERROR(__xludf.DUMMYFUNCTION("""COMPUTED_VALUE"""),270000.0)</f>
        <v>270000</v>
      </c>
      <c r="AN343" s="54">
        <f>IFERROR(__xludf.DUMMYFUNCTION("""COMPUTED_VALUE"""),270000.0)</f>
        <v>270000</v>
      </c>
      <c r="AO343" s="53"/>
      <c r="AP343" s="54"/>
      <c r="AQ343" s="54"/>
      <c r="AR343" s="54"/>
      <c r="AS343" s="54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IFERROR(__xludf.DUMMYFUNCTION("""COMPUTED_VALUE"""),2160000.0)</f>
        <v>2160000</v>
      </c>
      <c r="BD343" s="54">
        <f>IFERROR(__xludf.DUMMYFUNCTION("""COMPUTED_VALUE"""),0.0)</f>
        <v>0</v>
      </c>
      <c r="BE343" s="54">
        <f>IFERROR(__xludf.DUMMYFUNCTION("""COMPUTED_VALUE"""),350000.0)</f>
        <v>350000</v>
      </c>
      <c r="BF343" s="55">
        <f>IFERROR(__xludf.DUMMYFUNCTION("""COMPUTED_VALUE"""),2510000.0)</f>
        <v>2510000</v>
      </c>
      <c r="BG343" s="57"/>
      <c r="BH343" s="57"/>
      <c r="BI343" s="57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</row>
    <row r="344">
      <c r="A344" s="36">
        <f>IFERROR(__xludf.DUMMYFUNCTION("""COMPUTED_VALUE"""),343.0)</f>
        <v>343</v>
      </c>
      <c r="B344" s="37" t="str">
        <f>IFERROR(__xludf.DUMMYFUNCTION("""COMPUTED_VALUE"""),"FANY MUFIDAH SARI")</f>
        <v>FANY MUFIDAH SARI</v>
      </c>
      <c r="C344" s="38">
        <f>IFERROR(__xludf.DUMMYFUNCTION("""COMPUTED_VALUE"""),2.024070329E9)</f>
        <v>2024070329</v>
      </c>
      <c r="D344" s="37" t="str">
        <f>IFERROR(__xludf.DUMMYFUNCTION("""COMPUTED_VALUE"""),"FACHRI KHUSAINI NUGYK")</f>
        <v>FACHRI KHUSAINI NUGYK</v>
      </c>
      <c r="E344" s="37" t="str">
        <f>IFERROR(__xludf.DUMMYFUNCTION("""COMPUTED_VALUE"""),"ROJIYAH")</f>
        <v>ROJIYAH</v>
      </c>
      <c r="F344" s="37" t="str">
        <f>IFERROR(__xludf.DUMMYFUNCTION("""COMPUTED_VALUE"""),"SAWO RT 013 RW 007 DUKUN GRESIK")</f>
        <v>SAWO RT 013 RW 007 DUKUN GRESIK</v>
      </c>
      <c r="G344" s="39" t="str">
        <f>IFERROR(__xludf.DUMMYFUNCTION("""COMPUTED_VALUE"""),"MA-XII.10")</f>
        <v>MA-XII.10</v>
      </c>
      <c r="H344" s="36" t="str">
        <f>IFERROR(__xludf.DUMMYFUNCTION("""COMPUTED_VALUE"""),"E")</f>
        <v>E</v>
      </c>
      <c r="I344" s="40" t="str">
        <f>IFERROR(__xludf.DUMMYFUNCTION("""COMPUTED_VALUE"""),"E-2")</f>
        <v>E-2</v>
      </c>
      <c r="J344" s="40">
        <f>IFERROR(__xludf.DUMMYFUNCTION("""COMPUTED_VALUE"""),3.0)</f>
        <v>3</v>
      </c>
      <c r="K344" s="40" t="str">
        <f>IFERROR(__xludf.DUMMYFUNCTION("""COMPUTED_VALUE"""),"3 WUSTHO A PUTRI")</f>
        <v>3 WUSTHO A PUTRI</v>
      </c>
      <c r="L344" s="39" t="str">
        <f>IFERROR(__xludf.DUMMYFUNCTION("""COMPUTED_VALUE"""),"6285731554886")</f>
        <v>6285731554886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>
        <f>IFERROR(__xludf.DUMMYFUNCTION("""COMPUTED_VALUE"""),500000.0)</f>
        <v>500000</v>
      </c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>
        <f>IFERROR(__xludf.DUMMYFUNCTION("""COMPUTED_VALUE"""),500000.0)</f>
        <v>500000</v>
      </c>
      <c r="AO344" s="42"/>
      <c r="AP344" s="42">
        <f>IFERROR(__xludf.DUMMYFUNCTION("""COMPUTED_VALUE"""),500000.0)</f>
        <v>500000</v>
      </c>
      <c r="AQ344" s="42"/>
      <c r="AR344" s="42"/>
      <c r="AS344" s="43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IFERROR(__xludf.DUMMYFUNCTION("""COMPUTED_VALUE"""),500000.0)</f>
        <v>500000</v>
      </c>
      <c r="BD344" s="43">
        <f>IFERROR(__xludf.DUMMYFUNCTION("""COMPUTED_VALUE"""),1000000.0)</f>
        <v>1000000</v>
      </c>
      <c r="BE344" s="43">
        <f>IFERROR(__xludf.DUMMYFUNCTION("""COMPUTED_VALUE"""),0.0)</f>
        <v>0</v>
      </c>
      <c r="BF344" s="44">
        <f>IFERROR(__xludf.DUMMYFUNCTION("""COMPUTED_VALUE"""),1500000.0)</f>
        <v>1500000</v>
      </c>
      <c r="BG344" s="56"/>
      <c r="BH344" s="56"/>
      <c r="BI344" s="5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</row>
    <row r="345">
      <c r="A345" s="47">
        <f>IFERROR(__xludf.DUMMYFUNCTION("""COMPUTED_VALUE"""),344.0)</f>
        <v>344</v>
      </c>
      <c r="B345" s="48" t="str">
        <f>IFERROR(__xludf.DUMMYFUNCTION("""COMPUTED_VALUE"""),"NILLA ADDINIA KHAFSOH")</f>
        <v>NILLA ADDINIA KHAFSOH</v>
      </c>
      <c r="C345" s="49">
        <f>IFERROR(__xludf.DUMMYFUNCTION("""COMPUTED_VALUE"""),2.024070195E9)</f>
        <v>2024070195</v>
      </c>
      <c r="D345" s="48" t="str">
        <f>IFERROR(__xludf.DUMMYFUNCTION("""COMPUTED_VALUE"""),"SAIFUL ARIF")</f>
        <v>SAIFUL ARIF</v>
      </c>
      <c r="E345" s="48" t="str">
        <f>IFERROR(__xludf.DUMMYFUNCTION("""COMPUTED_VALUE"""),"NUR HASANAH")</f>
        <v>NUR HASANAH</v>
      </c>
      <c r="F345" s="48" t="str">
        <f>IFERROR(__xludf.DUMMYFUNCTION("""COMPUTED_VALUE"""),"KETAPANG LOR RT 001 RW 002 UJUNGPANGKAH GRESIK")</f>
        <v>KETAPANG LOR RT 001 RW 002 UJUNGPANGKAH GRESIK</v>
      </c>
      <c r="G345" s="50" t="str">
        <f>IFERROR(__xludf.DUMMYFUNCTION("""COMPUTED_VALUE"""),"MA-XII.7")</f>
        <v>MA-XII.7</v>
      </c>
      <c r="H345" s="47" t="str">
        <f>IFERROR(__xludf.DUMMYFUNCTION("""COMPUTED_VALUE"""),"E")</f>
        <v>E</v>
      </c>
      <c r="I345" s="51" t="str">
        <f>IFERROR(__xludf.DUMMYFUNCTION("""COMPUTED_VALUE"""),"E-3")</f>
        <v>E-3</v>
      </c>
      <c r="J345" s="51">
        <f>IFERROR(__xludf.DUMMYFUNCTION("""COMPUTED_VALUE"""),3.0)</f>
        <v>3</v>
      </c>
      <c r="K345" s="51" t="str">
        <f>IFERROR(__xludf.DUMMYFUNCTION("""COMPUTED_VALUE"""),"3 WUSTHO C PUTRI")</f>
        <v>3 WUSTHO C PUTRI</v>
      </c>
      <c r="L345" s="50" t="str">
        <f>IFERROR(__xludf.DUMMYFUNCTION("""COMPUTED_VALUE"""),"6285813135311")</f>
        <v>6285813135311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>
        <f>IFERROR(__xludf.DUMMYFUNCTION("""COMPUTED_VALUE"""),500000.0)</f>
        <v>500000</v>
      </c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>
        <f>IFERROR(__xludf.DUMMYFUNCTION("""COMPUTED_VALUE"""),500000.0)</f>
        <v>500000</v>
      </c>
      <c r="AN345" s="53">
        <f>IFERROR(__xludf.DUMMYFUNCTION("""COMPUTED_VALUE"""),500000.0)</f>
        <v>500000</v>
      </c>
      <c r="AO345" s="53"/>
      <c r="AP345" s="53">
        <f>IFERROR(__xludf.DUMMYFUNCTION("""COMPUTED_VALUE"""),500000.0)</f>
        <v>500000</v>
      </c>
      <c r="AQ345" s="54"/>
      <c r="AR345" s="54"/>
      <c r="AS345" s="54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IFERROR(__xludf.DUMMYFUNCTION("""COMPUTED_VALUE"""),1000000.0)</f>
        <v>1000000</v>
      </c>
      <c r="BD345" s="54">
        <f>IFERROR(__xludf.DUMMYFUNCTION("""COMPUTED_VALUE"""),1000000.0)</f>
        <v>1000000</v>
      </c>
      <c r="BE345" s="54">
        <f>IFERROR(__xludf.DUMMYFUNCTION("""COMPUTED_VALUE"""),0.0)</f>
        <v>0</v>
      </c>
      <c r="BF345" s="55">
        <f>IFERROR(__xludf.DUMMYFUNCTION("""COMPUTED_VALUE"""),2000000.0)</f>
        <v>2000000</v>
      </c>
      <c r="BG345" s="57"/>
      <c r="BH345" s="57"/>
      <c r="BI345" s="57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</row>
    <row r="346">
      <c r="A346" s="36">
        <f>IFERROR(__xludf.DUMMYFUNCTION("""COMPUTED_VALUE"""),345.0)</f>
        <v>345</v>
      </c>
      <c r="B346" s="37" t="str">
        <f>IFERROR(__xludf.DUMMYFUNCTION("""COMPUTED_VALUE"""),"QUEENSHA KHAURA AFIQAH AL AZIFA")</f>
        <v>QUEENSHA KHAURA AFIQAH AL AZIFA</v>
      </c>
      <c r="C346" s="38">
        <f>IFERROR(__xludf.DUMMYFUNCTION("""COMPUTED_VALUE"""),2.024070647E9)</f>
        <v>2024070647</v>
      </c>
      <c r="D346" s="37" t="str">
        <f>IFERROR(__xludf.DUMMYFUNCTION("""COMPUTED_VALUE"""),"AHMAD AFIF FITROHA")</f>
        <v>AHMAD AFIF FITROHA</v>
      </c>
      <c r="E346" s="37" t="str">
        <f>IFERROR(__xludf.DUMMYFUNCTION("""COMPUTED_VALUE"""),"FARIHATUN NI`MAH")</f>
        <v>FARIHATUN NI`MAH</v>
      </c>
      <c r="F346" s="37" t="str">
        <f>IFERROR(__xludf.DUMMYFUNCTION("""COMPUTED_VALUE"""),"JABANG LOR SIDOMULYO RT 002 RW 006 SEMEN KEDIRI")</f>
        <v>JABANG LOR SIDOMULYO RT 002 RW 006 SEMEN KEDIRI</v>
      </c>
      <c r="G346" s="39" t="str">
        <f>IFERROR(__xludf.DUMMYFUNCTION("""COMPUTED_VALUE"""),"MTS-9 A")</f>
        <v>MTS-9 A</v>
      </c>
      <c r="H346" s="36" t="str">
        <f>IFERROR(__xludf.DUMMYFUNCTION("""COMPUTED_VALUE"""),"E")</f>
        <v>E</v>
      </c>
      <c r="I346" s="40" t="str">
        <f>IFERROR(__xludf.DUMMYFUNCTION("""COMPUTED_VALUE"""),"E-9")</f>
        <v>E-9</v>
      </c>
      <c r="J346" s="40">
        <f>IFERROR(__xludf.DUMMYFUNCTION("""COMPUTED_VALUE"""),3.0)</f>
        <v>3</v>
      </c>
      <c r="K346" s="40" t="str">
        <f>IFERROR(__xludf.DUMMYFUNCTION("""COMPUTED_VALUE"""),"3 ULA B PUTRI")</f>
        <v>3 ULA B PUTRI</v>
      </c>
      <c r="L346" s="39" t="str">
        <f>IFERROR(__xludf.DUMMYFUNCTION("""COMPUTED_VALUE"""),"628573050168")</f>
        <v>628573050168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>
        <f>IFERROR(__xludf.DUMMYFUNCTION("""COMPUTED_VALUE"""),500000.0)</f>
        <v>500000</v>
      </c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>
        <f>IFERROR(__xludf.DUMMYFUNCTION("""COMPUTED_VALUE"""),500000.0)</f>
        <v>500000</v>
      </c>
      <c r="AQ346" s="42"/>
      <c r="AR346" s="42"/>
      <c r="AS346" s="43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IFERROR(__xludf.DUMMYFUNCTION("""COMPUTED_VALUE"""),1000000.0)</f>
        <v>1000000</v>
      </c>
      <c r="BE346" s="43">
        <f>IFERROR(__xludf.DUMMYFUNCTION("""COMPUTED_VALUE"""),0.0)</f>
        <v>0</v>
      </c>
      <c r="BF346" s="44">
        <f>IFERROR(__xludf.DUMMYFUNCTION("""COMPUTED_VALUE"""),1000000.0)</f>
        <v>1000000</v>
      </c>
      <c r="BG346" s="56"/>
      <c r="BH346" s="56"/>
      <c r="BI346" s="5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</row>
    <row r="347">
      <c r="A347" s="47">
        <f>IFERROR(__xludf.DUMMYFUNCTION("""COMPUTED_VALUE"""),346.0)</f>
        <v>346</v>
      </c>
      <c r="B347" s="48" t="str">
        <f>IFERROR(__xludf.DUMMYFUNCTION("""COMPUTED_VALUE"""),"LALUNA NAYRA KAMILA")</f>
        <v>LALUNA NAYRA KAMILA</v>
      </c>
      <c r="C347" s="49">
        <f>IFERROR(__xludf.DUMMYFUNCTION("""COMPUTED_VALUE"""),2.025070425E9)</f>
        <v>2025070425</v>
      </c>
      <c r="D347" s="48" t="str">
        <f>IFERROR(__xludf.DUMMYFUNCTION("""COMPUTED_VALUE"""),"ANAS MA'SHUM")</f>
        <v>ANAS MA'SHUM</v>
      </c>
      <c r="E347" s="48" t="str">
        <f>IFERROR(__xludf.DUMMYFUNCTION("""COMPUTED_VALUE"""),"ISTIADATUR RIZA")</f>
        <v>ISTIADATUR RIZA</v>
      </c>
      <c r="F347" s="48" t="str">
        <f>IFERROR(__xludf.DUMMYFUNCTION("""COMPUTED_VALUE"""),"NGILANG RT 002 RW 001 KALEN KEDUNGPRING LAMONGAN")</f>
        <v>NGILANG RT 002 RW 001 KALEN KEDUNGPRING LAMONGAN</v>
      </c>
      <c r="G347" s="57" t="str">
        <f>IFERROR(__xludf.DUMMYFUNCTION("""COMPUTED_VALUE"""),"MA-XII.12")</f>
        <v>MA-XII.12</v>
      </c>
      <c r="H347" s="47" t="str">
        <f>IFERROR(__xludf.DUMMYFUNCTION("""COMPUTED_VALUE"""),"D")</f>
        <v>D</v>
      </c>
      <c r="I347" s="51" t="str">
        <f>IFERROR(__xludf.DUMMYFUNCTION("""COMPUTED_VALUE"""),"D-6")</f>
        <v>D-6</v>
      </c>
      <c r="J347" s="51">
        <f>IFERROR(__xludf.DUMMYFUNCTION("""COMPUTED_VALUE"""),3.0)</f>
        <v>3</v>
      </c>
      <c r="K347" s="51" t="str">
        <f>IFERROR(__xludf.DUMMYFUNCTION("""COMPUTED_VALUE"""),"3 WUSTHO C PUTRI")</f>
        <v>3 WUSTHO C PUTRI</v>
      </c>
      <c r="L347" s="50" t="str">
        <f>IFERROR(__xludf.DUMMYFUNCTION("""COMPUTED_VALUE"""),"6281331012600")</f>
        <v>6281331012600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4"/>
      <c r="AN347" s="54"/>
      <c r="AO347" s="54"/>
      <c r="AP347" s="53">
        <f>IFERROR(__xludf.DUMMYFUNCTION("""COMPUTED_VALUE"""),500000.0)</f>
        <v>500000</v>
      </c>
      <c r="AQ347" s="54"/>
      <c r="AR347" s="54"/>
      <c r="AS347" s="54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IFERROR(__xludf.DUMMYFUNCTION("""COMPUTED_VALUE"""),500000.0)</f>
        <v>500000</v>
      </c>
      <c r="BE347" s="54">
        <f>IFERROR(__xludf.DUMMYFUNCTION("""COMPUTED_VALUE"""),0.0)</f>
        <v>0</v>
      </c>
      <c r="BF347" s="55">
        <f>IFERROR(__xludf.DUMMYFUNCTION("""COMPUTED_VALUE"""),500000.0)</f>
        <v>500000</v>
      </c>
      <c r="BG347" s="57"/>
      <c r="BH347" s="57"/>
      <c r="BI347" s="57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</row>
    <row r="348">
      <c r="A348" s="36">
        <f>IFERROR(__xludf.DUMMYFUNCTION("""COMPUTED_VALUE"""),347.0)</f>
        <v>347</v>
      </c>
      <c r="B348" s="37" t="str">
        <f>IFERROR(__xludf.DUMMYFUNCTION("""COMPUTED_VALUE"""),"DEWI SHOFIYAH NUR HIMMATUSSALAFIYA")</f>
        <v>DEWI SHOFIYAH NUR HIMMATUSSALAFIYA</v>
      </c>
      <c r="C348" s="38">
        <f>IFERROR(__xludf.DUMMYFUNCTION("""COMPUTED_VALUE"""),2.024070416E9)</f>
        <v>2024070416</v>
      </c>
      <c r="D348" s="37" t="str">
        <f>IFERROR(__xludf.DUMMYFUNCTION("""COMPUTED_VALUE"""),"SAMSURI")</f>
        <v>SAMSURI</v>
      </c>
      <c r="E348" s="37" t="str">
        <f>IFERROR(__xludf.DUMMYFUNCTION("""COMPUTED_VALUE"""),"SUMIYAH")</f>
        <v>SUMIYAH</v>
      </c>
      <c r="F348" s="37" t="str">
        <f>IFERROR(__xludf.DUMMYFUNCTION("""COMPUTED_VALUE"""),"GLUMO RT 005 RW 001 JELAKCATUR KALITENGAH LAMONGAN")</f>
        <v>GLUMO RT 005 RW 001 JELAKCATUR KALITENGAH LAMONGAN</v>
      </c>
      <c r="G348" s="56" t="str">
        <f>IFERROR(__xludf.DUMMYFUNCTION("""COMPUTED_VALUE"""),"MA-XII.13")</f>
        <v>MA-XII.13</v>
      </c>
      <c r="H348" s="36" t="str">
        <f>IFERROR(__xludf.DUMMYFUNCTION("""COMPUTED_VALUE"""),"D")</f>
        <v>D</v>
      </c>
      <c r="I348" s="40" t="str">
        <f>IFERROR(__xludf.DUMMYFUNCTION("""COMPUTED_VALUE"""),"D-6")</f>
        <v>D-6</v>
      </c>
      <c r="J348" s="40">
        <f>IFERROR(__xludf.DUMMYFUNCTION("""COMPUTED_VALUE"""),3.0)</f>
        <v>3</v>
      </c>
      <c r="K348" s="40" t="str">
        <f>IFERROR(__xludf.DUMMYFUNCTION("""COMPUTED_VALUE"""),"3 MAK PUTRI")</f>
        <v>3 MAK PUTRI</v>
      </c>
      <c r="L348" s="39" t="str">
        <f>IFERROR(__xludf.DUMMYFUNCTION("""COMPUTED_VALUE"""),"6285792978952")</f>
        <v>6285792978952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3"/>
      <c r="AI348" s="43">
        <f>IFERROR(__xludf.DUMMYFUNCTION("""COMPUTED_VALUE"""),450000.0)</f>
        <v>450000</v>
      </c>
      <c r="AJ348" s="43">
        <f>IFERROR(__xludf.DUMMYFUNCTION("""COMPUTED_VALUE"""),450000.0)</f>
        <v>450000</v>
      </c>
      <c r="AK348" s="43">
        <f>IFERROR(__xludf.DUMMYFUNCTION("""COMPUTED_VALUE"""),450000.0)</f>
        <v>450000</v>
      </c>
      <c r="AL348" s="43">
        <f>IFERROR(__xludf.DUMMYFUNCTION("""COMPUTED_VALUE"""),450000.0)</f>
        <v>450000</v>
      </c>
      <c r="AM348" s="43">
        <f>IFERROR(__xludf.DUMMYFUNCTION("""COMPUTED_VALUE"""),450000.0)</f>
        <v>450000</v>
      </c>
      <c r="AN348" s="43">
        <f>IFERROR(__xludf.DUMMYFUNCTION("""COMPUTED_VALUE"""),450000.0)</f>
        <v>450000</v>
      </c>
      <c r="AO348" s="43"/>
      <c r="AP348" s="42"/>
      <c r="AQ348" s="43"/>
      <c r="AR348" s="43"/>
      <c r="AS348" s="43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IFERROR(__xludf.DUMMYFUNCTION("""COMPUTED_VALUE"""),2700000.0)</f>
        <v>2700000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IFERROR(__xludf.DUMMYFUNCTION("""COMPUTED_VALUE"""),2700000.0)</f>
        <v>2700000</v>
      </c>
      <c r="BG348" s="56"/>
      <c r="BH348" s="56"/>
      <c r="BI348" s="5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</row>
    <row r="349">
      <c r="A349" s="47">
        <f>IFERROR(__xludf.DUMMYFUNCTION("""COMPUTED_VALUE"""),348.0)</f>
        <v>348</v>
      </c>
      <c r="B349" s="48" t="str">
        <f>IFERROR(__xludf.DUMMYFUNCTION("""COMPUTED_VALUE"""),"DILLA AGUSTIAWATI PUTRI")</f>
        <v>DILLA AGUSTIAWATI PUTRI</v>
      </c>
      <c r="C349" s="49">
        <f>IFERROR(__xludf.DUMMYFUNCTION("""COMPUTED_VALUE"""),2.024070532E9)</f>
        <v>2024070532</v>
      </c>
      <c r="D349" s="48" t="str">
        <f>IFERROR(__xludf.DUMMYFUNCTION("""COMPUTED_VALUE"""),"ZUDI HARIYANTO")</f>
        <v>ZUDI HARIYANTO</v>
      </c>
      <c r="E349" s="48" t="str">
        <f>IFERROR(__xludf.DUMMYFUNCTION("""COMPUTED_VALUE"""),"IRA RAHMATUS SAADA")</f>
        <v>IRA RAHMATUS SAADA</v>
      </c>
      <c r="F349" s="48" t="str">
        <f>IFERROR(__xludf.DUMMYFUNCTION("""COMPUTED_VALUE"""),"SEPAT TAMBAKMENJANGAN RT 001 RW 007 SARIREJO LAMONGAN")</f>
        <v>SEPAT TAMBAKMENJANGAN RT 001 RW 007 SARIREJO LAMONGAN</v>
      </c>
      <c r="G349" s="50" t="str">
        <f>IFERROR(__xludf.DUMMYFUNCTION("""COMPUTED_VALUE"""),"MTS-9 D")</f>
        <v>MTS-9 D</v>
      </c>
      <c r="H349" s="47" t="str">
        <f>IFERROR(__xludf.DUMMYFUNCTION("""COMPUTED_VALUE"""),"C")</f>
        <v>C</v>
      </c>
      <c r="I349" s="51" t="str">
        <f>IFERROR(__xludf.DUMMYFUNCTION("""COMPUTED_VALUE"""),"C-13")</f>
        <v>C-13</v>
      </c>
      <c r="J349" s="51">
        <f>IFERROR(__xludf.DUMMYFUNCTION("""COMPUTED_VALUE"""),3.0)</f>
        <v>3</v>
      </c>
      <c r="K349" s="51" t="str">
        <f>IFERROR(__xludf.DUMMYFUNCTION("""COMPUTED_VALUE"""),"3 ULA C PUTRI")</f>
        <v>3 ULA C PUTRI</v>
      </c>
      <c r="L349" s="50" t="str">
        <f>IFERROR(__xludf.DUMMYFUNCTION("""COMPUTED_VALUE"""),"6285808407652")</f>
        <v>6285808407652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>
        <f>IFERROR(__xludf.DUMMYFUNCTION("""COMPUTED_VALUE"""),450000.0)</f>
        <v>450000</v>
      </c>
      <c r="AO349" s="53"/>
      <c r="AP349" s="53"/>
      <c r="AQ349" s="53"/>
      <c r="AR349" s="53"/>
      <c r="AS349" s="54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IFERROR(__xludf.DUMMYFUNCTION("""COMPUTED_VALUE"""),450000.0)</f>
        <v>450000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IFERROR(__xludf.DUMMYFUNCTION("""COMPUTED_VALUE"""),450000.0)</f>
        <v>450000</v>
      </c>
      <c r="BG349" s="57"/>
      <c r="BH349" s="57"/>
      <c r="BI349" s="57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</row>
    <row r="350">
      <c r="A350" s="36">
        <f>IFERROR(__xludf.DUMMYFUNCTION("""COMPUTED_VALUE"""),349.0)</f>
        <v>349</v>
      </c>
      <c r="B350" s="37" t="str">
        <f>IFERROR(__xludf.DUMMYFUNCTION("""COMPUTED_VALUE"""),"HANIK FARKHATUS SHOLIKHAH")</f>
        <v>HANIK FARKHATUS SHOLIKHAH</v>
      </c>
      <c r="C350" s="38">
        <f>IFERROR(__xludf.DUMMYFUNCTION("""COMPUTED_VALUE"""),2.024070547E9)</f>
        <v>2024070547</v>
      </c>
      <c r="D350" s="37" t="str">
        <f>IFERROR(__xludf.DUMMYFUNCTION("""COMPUTED_VALUE"""),"AUNUR ROFIK")</f>
        <v>AUNUR ROFIK</v>
      </c>
      <c r="E350" s="37" t="str">
        <f>IFERROR(__xludf.DUMMYFUNCTION("""COMPUTED_VALUE"""),"WIWIT")</f>
        <v>WIWIT</v>
      </c>
      <c r="F350" s="37" t="str">
        <f>IFERROR(__xludf.DUMMYFUNCTION("""COMPUTED_VALUE"""),"KARANGCANGKRING RT 006 RW 003 DUKUN GRESIK")</f>
        <v>KARANGCANGKRING RT 006 RW 003 DUKUN GRESIK</v>
      </c>
      <c r="G350" s="39" t="str">
        <f>IFERROR(__xludf.DUMMYFUNCTION("""COMPUTED_VALUE"""),"MTS-9 D")</f>
        <v>MTS-9 D</v>
      </c>
      <c r="H350" s="36" t="str">
        <f>IFERROR(__xludf.DUMMYFUNCTION("""COMPUTED_VALUE"""),"C")</f>
        <v>C</v>
      </c>
      <c r="I350" s="40" t="str">
        <f>IFERROR(__xludf.DUMMYFUNCTION("""COMPUTED_VALUE"""),"C-13")</f>
        <v>C-13</v>
      </c>
      <c r="J350" s="40">
        <f>IFERROR(__xludf.DUMMYFUNCTION("""COMPUTED_VALUE"""),3.0)</f>
        <v>3</v>
      </c>
      <c r="K350" s="40" t="str">
        <f>IFERROR(__xludf.DUMMYFUNCTION("""COMPUTED_VALUE"""),"3 ULA B PUTRI")</f>
        <v>3 ULA B PUTRI</v>
      </c>
      <c r="L350" s="39" t="str">
        <f>IFERROR(__xludf.DUMMYFUNCTION("""COMPUTED_VALUE"""),"6285731327129")</f>
        <v>6285731327129</v>
      </c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>
        <f>IFERROR(__xludf.DUMMYFUNCTION("""COMPUTED_VALUE"""),500000.0)</f>
        <v>500000</v>
      </c>
      <c r="AC350" s="42"/>
      <c r="AD350" s="42"/>
      <c r="AE350" s="42"/>
      <c r="AF350" s="42"/>
      <c r="AG350" s="42"/>
      <c r="AH350" s="42"/>
      <c r="AI350" s="43"/>
      <c r="AJ350" s="43"/>
      <c r="AK350" s="43">
        <f>IFERROR(__xludf.DUMMYFUNCTION("""COMPUTED_VALUE"""),450000.0)</f>
        <v>450000</v>
      </c>
      <c r="AL350" s="43">
        <f>IFERROR(__xludf.DUMMYFUNCTION("""COMPUTED_VALUE"""),450000.0)</f>
        <v>450000</v>
      </c>
      <c r="AM350" s="43">
        <f>IFERROR(__xludf.DUMMYFUNCTION("""COMPUTED_VALUE"""),450000.0)</f>
        <v>450000</v>
      </c>
      <c r="AN350" s="43">
        <f>IFERROR(__xludf.DUMMYFUNCTION("""COMPUTED_VALUE"""),450000.0)</f>
        <v>450000</v>
      </c>
      <c r="AO350" s="42"/>
      <c r="AP350" s="43">
        <f>IFERROR(__xludf.DUMMYFUNCTION("""COMPUTED_VALUE"""),500000.0)</f>
        <v>500000</v>
      </c>
      <c r="AQ350" s="43"/>
      <c r="AR350" s="43"/>
      <c r="AS350" s="43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IFERROR(__xludf.DUMMYFUNCTION("""COMPUTED_VALUE"""),1800000.0)</f>
        <v>1800000</v>
      </c>
      <c r="BD350" s="43">
        <f>IFERROR(__xludf.DUMMYFUNCTION("""COMPUTED_VALUE"""),1000000.0)</f>
        <v>1000000</v>
      </c>
      <c r="BE350" s="43">
        <f>IFERROR(__xludf.DUMMYFUNCTION("""COMPUTED_VALUE"""),0.0)</f>
        <v>0</v>
      </c>
      <c r="BF350" s="44">
        <f>IFERROR(__xludf.DUMMYFUNCTION("""COMPUTED_VALUE"""),2800000.0)</f>
        <v>2800000</v>
      </c>
      <c r="BG350" s="56"/>
      <c r="BH350" s="56"/>
      <c r="BI350" s="5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</row>
    <row r="351">
      <c r="A351" s="47">
        <f>IFERROR(__xludf.DUMMYFUNCTION("""COMPUTED_VALUE"""),350.0)</f>
        <v>350</v>
      </c>
      <c r="B351" s="48" t="str">
        <f>IFERROR(__xludf.DUMMYFUNCTION("""COMPUTED_VALUE"""),"FATIMAH")</f>
        <v>FATIMAH</v>
      </c>
      <c r="C351" s="49">
        <f>IFERROR(__xludf.DUMMYFUNCTION("""COMPUTED_VALUE"""),2.024070044E9)</f>
        <v>2024070044</v>
      </c>
      <c r="D351" s="48" t="str">
        <f>IFERROR(__xludf.DUMMYFUNCTION("""COMPUTED_VALUE"""),"H. USMAN")</f>
        <v>H. USMAN</v>
      </c>
      <c r="E351" s="48" t="str">
        <f>IFERROR(__xludf.DUMMYFUNCTION("""COMPUTED_VALUE"""),"KHOLIDAH")</f>
        <v>KHOLIDAH</v>
      </c>
      <c r="F351" s="48" t="str">
        <f>IFERROR(__xludf.DUMMYFUNCTION("""COMPUTED_VALUE"""),"WANAR RT 004 RW 001 PUCUK LAMONGAN")</f>
        <v>WANAR RT 004 RW 001 PUCUK LAMONGAN</v>
      </c>
      <c r="G351" s="49" t="str">
        <f>IFERROR(__xludf.DUMMYFUNCTION("""COMPUTED_VALUE"""),"MA-XII.2")</f>
        <v>MA-XII.2</v>
      </c>
      <c r="H351" s="47" t="str">
        <f>IFERROR(__xludf.DUMMYFUNCTION("""COMPUTED_VALUE"""),"E")</f>
        <v>E</v>
      </c>
      <c r="I351" s="51" t="str">
        <f>IFERROR(__xludf.DUMMYFUNCTION("""COMPUTED_VALUE"""),"E-2")</f>
        <v>E-2</v>
      </c>
      <c r="J351" s="51">
        <f>IFERROR(__xludf.DUMMYFUNCTION("""COMPUTED_VALUE"""),3.0)</f>
        <v>3</v>
      </c>
      <c r="K351" s="51" t="str">
        <f>IFERROR(__xludf.DUMMYFUNCTION("""COMPUTED_VALUE"""),"3 WUSTHO A PUTRI")</f>
        <v>3 WUSTHO A PUTRI</v>
      </c>
      <c r="L351" s="50" t="str">
        <f>IFERROR(__xludf.DUMMYFUNCTION("""COMPUTED_VALUE"""),"6289501850865")</f>
        <v>6289501850865</v>
      </c>
      <c r="M351" s="54"/>
      <c r="N351" s="53"/>
      <c r="O351" s="53"/>
      <c r="P351" s="53">
        <f>IFERROR(__xludf.DUMMYFUNCTION("""COMPUTED_VALUE"""),270000.0)</f>
        <v>270000</v>
      </c>
      <c r="Q351" s="53">
        <f>IFERROR(__xludf.DUMMYFUNCTION("""COMPUTED_VALUE"""),270000.0)</f>
        <v>270000</v>
      </c>
      <c r="R351" s="53">
        <f>IFERROR(__xludf.DUMMYFUNCTION("""COMPUTED_VALUE"""),270000.0)</f>
        <v>270000</v>
      </c>
      <c r="S351" s="53">
        <f>IFERROR(__xludf.DUMMYFUNCTION("""COMPUTED_VALUE"""),270000.0)</f>
        <v>270000</v>
      </c>
      <c r="T351" s="53">
        <f>IFERROR(__xludf.DUMMYFUNCTION("""COMPUTED_VALUE"""),270000.0)</f>
        <v>270000</v>
      </c>
      <c r="U351" s="53">
        <f>IFERROR(__xludf.DUMMYFUNCTION("""COMPUTED_VALUE"""),270000.0)</f>
        <v>270000</v>
      </c>
      <c r="V351" s="54">
        <f>IFERROR(__xludf.DUMMYFUNCTION("""COMPUTED_VALUE"""),270000.0)</f>
        <v>270000</v>
      </c>
      <c r="W351" s="54">
        <f>IFERROR(__xludf.DUMMYFUNCTION("""COMPUTED_VALUE"""),270000.0)</f>
        <v>270000</v>
      </c>
      <c r="X351" s="54">
        <f>IFERROR(__xludf.DUMMYFUNCTION("""COMPUTED_VALUE"""),270000.0)</f>
        <v>270000</v>
      </c>
      <c r="Y351" s="54">
        <f>IFERROR(__xludf.DUMMYFUNCTION("""COMPUTED_VALUE"""),270000.0)</f>
        <v>270000</v>
      </c>
      <c r="Z351" s="54">
        <f>IFERROR(__xludf.DUMMYFUNCTION("""COMPUTED_VALUE"""),270000.0)</f>
        <v>270000</v>
      </c>
      <c r="AA351" s="54">
        <f>IFERROR(__xludf.DUMMYFUNCTION("""COMPUTED_VALUE"""),350000.0)</f>
        <v>350000</v>
      </c>
      <c r="AB351" s="54"/>
      <c r="AC351" s="54">
        <f>IFERROR(__xludf.DUMMYFUNCTION("""COMPUTED_VALUE"""),270000.0)</f>
        <v>270000</v>
      </c>
      <c r="AD351" s="54">
        <f>IFERROR(__xludf.DUMMYFUNCTION("""COMPUTED_VALUE"""),270000.0)</f>
        <v>270000</v>
      </c>
      <c r="AE351" s="54">
        <f>IFERROR(__xludf.DUMMYFUNCTION("""COMPUTED_VALUE"""),270000.0)</f>
        <v>270000</v>
      </c>
      <c r="AF351" s="54">
        <f>IFERROR(__xludf.DUMMYFUNCTION("""COMPUTED_VALUE"""),270000.0)</f>
        <v>270000</v>
      </c>
      <c r="AG351" s="54">
        <f>IFERROR(__xludf.DUMMYFUNCTION("""COMPUTED_VALUE"""),270000.0)</f>
        <v>270000</v>
      </c>
      <c r="AH351" s="54">
        <f>IFERROR(__xludf.DUMMYFUNCTION("""COMPUTED_VALUE"""),270000.0)</f>
        <v>270000</v>
      </c>
      <c r="AI351" s="54">
        <f>IFERROR(__xludf.DUMMYFUNCTION("""COMPUTED_VALUE"""),270000.0)</f>
        <v>270000</v>
      </c>
      <c r="AJ351" s="54">
        <f>IFERROR(__xludf.DUMMYFUNCTION("""COMPUTED_VALUE"""),270000.0)</f>
        <v>270000</v>
      </c>
      <c r="AK351" s="54">
        <f>IFERROR(__xludf.DUMMYFUNCTION("""COMPUTED_VALUE"""),270000.0)</f>
        <v>270000</v>
      </c>
      <c r="AL351" s="54">
        <f>IFERROR(__xludf.DUMMYFUNCTION("""COMPUTED_VALUE"""),270000.0)</f>
        <v>270000</v>
      </c>
      <c r="AM351" s="54">
        <f>IFERROR(__xludf.DUMMYFUNCTION("""COMPUTED_VALUE"""),270000.0)</f>
        <v>270000</v>
      </c>
      <c r="AN351" s="54">
        <f>IFERROR(__xludf.DUMMYFUNCTION("""COMPUTED_VALUE"""),270000.0)</f>
        <v>270000</v>
      </c>
      <c r="AO351" s="54"/>
      <c r="AP351" s="54"/>
      <c r="AQ351" s="54"/>
      <c r="AR351" s="54"/>
      <c r="AS351" s="54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IFERROR(__xludf.DUMMYFUNCTION("""COMPUTED_VALUE"""),6210000.0)</f>
        <v>6210000</v>
      </c>
      <c r="BD351" s="54">
        <f>IFERROR(__xludf.DUMMYFUNCTION("""COMPUTED_VALUE"""),0.0)</f>
        <v>0</v>
      </c>
      <c r="BE351" s="54">
        <f>IFERROR(__xludf.DUMMYFUNCTION("""COMPUTED_VALUE"""),350000.0)</f>
        <v>350000</v>
      </c>
      <c r="BF351" s="55">
        <f>IFERROR(__xludf.DUMMYFUNCTION("""COMPUTED_VALUE"""),6560000.0)</f>
        <v>6560000</v>
      </c>
      <c r="BG351" s="57"/>
      <c r="BH351" s="57"/>
      <c r="BI351" s="57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</row>
    <row r="352">
      <c r="A352" s="36">
        <f>IFERROR(__xludf.DUMMYFUNCTION("""COMPUTED_VALUE"""),351.0)</f>
        <v>351</v>
      </c>
      <c r="B352" s="37" t="str">
        <f>IFERROR(__xludf.DUMMYFUNCTION("""COMPUTED_VALUE"""),"MUHAMMAD VICTOR NAJIB BAIHAQI")</f>
        <v>MUHAMMAD VICTOR NAJIB BAIHAQI</v>
      </c>
      <c r="C352" s="38">
        <f>IFERROR(__xludf.DUMMYFUNCTION("""COMPUTED_VALUE"""),2.024070217E9)</f>
        <v>2024070217</v>
      </c>
      <c r="D352" s="37" t="str">
        <f>IFERROR(__xludf.DUMMYFUNCTION("""COMPUTED_VALUE"""),"MOH. TAUFIQ")</f>
        <v>MOH. TAUFIQ</v>
      </c>
      <c r="E352" s="37" t="str">
        <f>IFERROR(__xludf.DUMMYFUNCTION("""COMPUTED_VALUE"""),"RENI FATMAWATI")</f>
        <v>RENI FATMAWATI</v>
      </c>
      <c r="F352" s="37" t="str">
        <f>IFERROR(__xludf.DUMMYFUNCTION("""COMPUTED_VALUE"""),"WEDENG SUKOREJO RT 002 RW 002 KARANGBINANGUN LAMONGAN")</f>
        <v>WEDENG SUKOREJO RT 002 RW 002 KARANGBINANGUN LAMONGAN</v>
      </c>
      <c r="G352" s="56" t="str">
        <f>IFERROR(__xludf.DUMMYFUNCTION("""COMPUTED_VALUE"""),"MA-XII.6")</f>
        <v>MA-XII.6</v>
      </c>
      <c r="H352" s="36" t="str">
        <f>IFERROR(__xludf.DUMMYFUNCTION("""COMPUTED_VALUE"""),"A")</f>
        <v>A</v>
      </c>
      <c r="I352" s="40" t="str">
        <f>IFERROR(__xludf.DUMMYFUNCTION("""COMPUTED_VALUE"""),"A-12")</f>
        <v>A-12</v>
      </c>
      <c r="J352" s="40">
        <f>IFERROR(__xludf.DUMMYFUNCTION("""COMPUTED_VALUE"""),3.0)</f>
        <v>3</v>
      </c>
      <c r="K352" s="40" t="str">
        <f>IFERROR(__xludf.DUMMYFUNCTION("""COMPUTED_VALUE"""),"3 WUSTHO PUTRA")</f>
        <v>3 WUSTHO PUTRA</v>
      </c>
      <c r="L352" s="39" t="str">
        <f>IFERROR(__xludf.DUMMYFUNCTION("""COMPUTED_VALUE"""),"6285646194740")</f>
        <v>6285646194740</v>
      </c>
      <c r="M352" s="42"/>
      <c r="N352" s="42"/>
      <c r="O352" s="42"/>
      <c r="P352" s="42"/>
      <c r="Q352" s="42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>
        <f>IFERROR(__xludf.DUMMYFUNCTION("""COMPUTED_VALUE"""),450000.0)</f>
        <v>450000</v>
      </c>
      <c r="AM352" s="43">
        <f>IFERROR(__xludf.DUMMYFUNCTION("""COMPUTED_VALUE"""),450000.0)</f>
        <v>450000</v>
      </c>
      <c r="AN352" s="43">
        <f>IFERROR(__xludf.DUMMYFUNCTION("""COMPUTED_VALUE"""),450000.0)</f>
        <v>450000</v>
      </c>
      <c r="AO352" s="43"/>
      <c r="AP352" s="42"/>
      <c r="AQ352" s="43"/>
      <c r="AR352" s="43"/>
      <c r="AS352" s="43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IFERROR(__xludf.DUMMYFUNCTION("""COMPUTED_VALUE"""),1350000.0)</f>
        <v>1350000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IFERROR(__xludf.DUMMYFUNCTION("""COMPUTED_VALUE"""),1350000.0)</f>
        <v>1350000</v>
      </c>
      <c r="BG352" s="56"/>
      <c r="BH352" s="56"/>
      <c r="BI352" s="5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</row>
    <row r="353">
      <c r="A353" s="47">
        <f>IFERROR(__xludf.DUMMYFUNCTION("""COMPUTED_VALUE"""),352.0)</f>
        <v>352</v>
      </c>
      <c r="B353" s="48" t="str">
        <f>IFERROR(__xludf.DUMMYFUNCTION("""COMPUTED_VALUE"""),"DZULFIKAR KEIMAL ALAWY")</f>
        <v>DZULFIKAR KEIMAL ALAWY</v>
      </c>
      <c r="C353" s="49">
        <f>IFERROR(__xludf.DUMMYFUNCTION("""COMPUTED_VALUE"""),2.025070661E9)</f>
        <v>2025070661</v>
      </c>
      <c r="D353" s="48" t="str">
        <f>IFERROR(__xludf.DUMMYFUNCTION("""COMPUTED_VALUE"""),"HUSNI ROIS")</f>
        <v>HUSNI ROIS</v>
      </c>
      <c r="E353" s="48" t="str">
        <f>IFERROR(__xludf.DUMMYFUNCTION("""COMPUTED_VALUE"""),"MAHFUDLOTIN NI`MAH")</f>
        <v>MAHFUDLOTIN NI`MAH</v>
      </c>
      <c r="F353" s="48" t="str">
        <f>IFERROR(__xludf.DUMMYFUNCTION("""COMPUTED_VALUE"""),"GEDONGKEDOAN RT 002 RW 001 DUKUN GRESIK")</f>
        <v>GEDONGKEDOAN RT 002 RW 001 DUKUN GRESIK</v>
      </c>
      <c r="G353" s="50" t="str">
        <f>IFERROR(__xludf.DUMMYFUNCTION("""COMPUTED_VALUE"""),"MTS-9 C")</f>
        <v>MTS-9 C</v>
      </c>
      <c r="H353" s="47" t="str">
        <f>IFERROR(__xludf.DUMMYFUNCTION("""COMPUTED_VALUE"""),"A")</f>
        <v>A</v>
      </c>
      <c r="I353" s="51" t="str">
        <f>IFERROR(__xludf.DUMMYFUNCTION("""COMPUTED_VALUE"""),"A-10")</f>
        <v>A-10</v>
      </c>
      <c r="J353" s="51">
        <f>IFERROR(__xludf.DUMMYFUNCTION("""COMPUTED_VALUE"""),3.0)</f>
        <v>3</v>
      </c>
      <c r="K353" s="51" t="str">
        <f>IFERROR(__xludf.DUMMYFUNCTION("""COMPUTED_VALUE"""),"3 ULA A PUTRA")</f>
        <v>3 ULA A PUTRA</v>
      </c>
      <c r="L353" s="50" t="str">
        <f>IFERROR(__xludf.DUMMYFUNCTION("""COMPUTED_VALUE"""),"6285738157018")</f>
        <v>6285738157018</v>
      </c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>
        <f>IFERROR(__xludf.DUMMYFUNCTION("""COMPUTED_VALUE"""),450000.0)</f>
        <v>450000</v>
      </c>
      <c r="AN353" s="53">
        <f>IFERROR(__xludf.DUMMYFUNCTION("""COMPUTED_VALUE"""),450000.0)</f>
        <v>450000</v>
      </c>
      <c r="AO353" s="54"/>
      <c r="AP353" s="53"/>
      <c r="AQ353" s="54"/>
      <c r="AR353" s="54"/>
      <c r="AS353" s="54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IFERROR(__xludf.DUMMYFUNCTION("""COMPUTED_VALUE"""),900000.0)</f>
        <v>900000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IFERROR(__xludf.DUMMYFUNCTION("""COMPUTED_VALUE"""),900000.0)</f>
        <v>900000</v>
      </c>
      <c r="BG353" s="57"/>
      <c r="BH353" s="57"/>
      <c r="BI353" s="57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</row>
    <row r="354">
      <c r="A354" s="36">
        <f>IFERROR(__xludf.DUMMYFUNCTION("""COMPUTED_VALUE"""),353.0)</f>
        <v>353</v>
      </c>
      <c r="B354" s="37" t="str">
        <f>IFERROR(__xludf.DUMMYFUNCTION("""COMPUTED_VALUE"""),"SINTA NURIYYAH")</f>
        <v>SINTA NURIYYAH</v>
      </c>
      <c r="C354" s="38">
        <f>IFERROR(__xludf.DUMMYFUNCTION("""COMPUTED_VALUE"""),2.024070182E9)</f>
        <v>2024070182</v>
      </c>
      <c r="D354" s="37"/>
      <c r="E354" s="37"/>
      <c r="F354" s="37"/>
      <c r="G354" s="39" t="str">
        <f>IFERROR(__xludf.DUMMYFUNCTION("""COMPUTED_VALUE"""),"MA-XII.7 ")</f>
        <v>MA-XII.7 </v>
      </c>
      <c r="H354" s="36" t="str">
        <f>IFERROR(__xludf.DUMMYFUNCTION("""COMPUTED_VALUE"""),"B")</f>
        <v>B</v>
      </c>
      <c r="I354" s="40" t="str">
        <f>IFERROR(__xludf.DUMMYFUNCTION("""COMPUTED_VALUE"""),"B-2")</f>
        <v>B-2</v>
      </c>
      <c r="J354" s="40">
        <f>IFERROR(__xludf.DUMMYFUNCTION("""COMPUTED_VALUE"""),3.0)</f>
        <v>3</v>
      </c>
      <c r="K354" s="40" t="str">
        <f>IFERROR(__xludf.DUMMYFUNCTION("""COMPUTED_VALUE"""),"")</f>
        <v/>
      </c>
      <c r="L354" s="39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 t="str">
        <f>IFERROR(__xludf.DUMMYFUNCTION("""COMPUTED_VALUE"""),"")</f>
        <v/>
      </c>
      <c r="AI354" s="42" t="str">
        <f>IFERROR(__xludf.DUMMYFUNCTION("""COMPUTED_VALUE"""),"")</f>
        <v/>
      </c>
      <c r="AJ354" s="42" t="str">
        <f>IFERROR(__xludf.DUMMYFUNCTION("""COMPUTED_VALUE"""),"")</f>
        <v/>
      </c>
      <c r="AK354" s="42" t="str">
        <f>IFERROR(__xludf.DUMMYFUNCTION("""COMPUTED_VALUE"""),"")</f>
        <v/>
      </c>
      <c r="AL354" s="42">
        <f>IFERROR(__xludf.DUMMYFUNCTION("""COMPUTED_VALUE"""),450000.0)</f>
        <v>450000</v>
      </c>
      <c r="AM354" s="42">
        <f>IFERROR(__xludf.DUMMYFUNCTION("""COMPUTED_VALUE"""),450000.0)</f>
        <v>450000</v>
      </c>
      <c r="AN354" s="42">
        <f>IFERROR(__xludf.DUMMYFUNCTION("""COMPUTED_VALUE"""),450000.0)</f>
        <v>450000</v>
      </c>
      <c r="AO354" s="42"/>
      <c r="AP354" s="42"/>
      <c r="AQ354" s="42"/>
      <c r="AR354" s="42"/>
      <c r="AS354" s="43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/>
      <c r="BD354" s="43"/>
      <c r="BE354" s="43"/>
      <c r="BF354" s="44"/>
      <c r="BG354" s="56"/>
      <c r="BH354" s="56"/>
      <c r="BI354" s="5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</row>
    <row r="355">
      <c r="A355" s="47">
        <f>IFERROR(__xludf.DUMMYFUNCTION("""COMPUTED_VALUE"""),354.0)</f>
        <v>354</v>
      </c>
      <c r="B355" s="48" t="str">
        <f>IFERROR(__xludf.DUMMYFUNCTION("""COMPUTED_VALUE"""),"SHEILA MARSHA ANDITA")</f>
        <v>SHEILA MARSHA ANDITA</v>
      </c>
      <c r="C355" s="49">
        <f>IFERROR(__xludf.DUMMYFUNCTION("""COMPUTED_VALUE"""),2.025070628E9)</f>
        <v>2025070628</v>
      </c>
      <c r="D355" s="48" t="str">
        <f>IFERROR(__xludf.DUMMYFUNCTION("""COMPUTED_VALUE"""),"SURATNO")</f>
        <v>SURATNO</v>
      </c>
      <c r="E355" s="48" t="str">
        <f>IFERROR(__xludf.DUMMYFUNCTION("""COMPUTED_VALUE"""),"PUTRI INDAH LESTARI")</f>
        <v>PUTRI INDAH LESTARI</v>
      </c>
      <c r="F355" s="48" t="str">
        <f>IFERROR(__xludf.DUMMYFUNCTION("""COMPUTED_VALUE"""),"PERUM NAJWA ASRI BLUNGKAN SENDANGREJO RT 007 RW 003 LAMONGAN LAMONGAN")</f>
        <v>PERUM NAJWA ASRI BLUNGKAN SENDANGREJO RT 007 RW 003 LAMONGAN LAMONGAN</v>
      </c>
      <c r="G355" s="50" t="str">
        <f>IFERROR(__xludf.DUMMYFUNCTION("""COMPUTED_VALUE"""),"MTS-9 D")</f>
        <v>MTS-9 D</v>
      </c>
      <c r="H355" s="47" t="str">
        <f>IFERROR(__xludf.DUMMYFUNCTION("""COMPUTED_VALUE"""),"D")</f>
        <v>D</v>
      </c>
      <c r="I355" s="51" t="str">
        <f>IFERROR(__xludf.DUMMYFUNCTION("""COMPUTED_VALUE"""),"D-2")</f>
        <v>D-2</v>
      </c>
      <c r="J355" s="51">
        <f>IFERROR(__xludf.DUMMYFUNCTION("""COMPUTED_VALUE"""),3.0)</f>
        <v>3</v>
      </c>
      <c r="K355" s="51" t="str">
        <f>IFERROR(__xludf.DUMMYFUNCTION("""COMPUTED_VALUE"""),"3 ULA C PUTRI")</f>
        <v>3 ULA C PUTRI</v>
      </c>
      <c r="L355" s="50" t="str">
        <f>IFERROR(__xludf.DUMMYFUNCTION("""COMPUTED_VALUE"""),"6285704642352")</f>
        <v>6285704642352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4"/>
      <c r="AS355" s="54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7"/>
      <c r="BH355" s="57"/>
      <c r="BI355" s="57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</row>
    <row r="356">
      <c r="A356" s="36">
        <f>IFERROR(__xludf.DUMMYFUNCTION("""COMPUTED_VALUE"""),355.0)</f>
        <v>355</v>
      </c>
      <c r="B356" s="37" t="str">
        <f>IFERROR(__xludf.DUMMYFUNCTION("""COMPUTED_VALUE"""),"ABDULLAH FAIZ")</f>
        <v>ABDULLAH FAIZ</v>
      </c>
      <c r="C356" s="38">
        <f>IFERROR(__xludf.DUMMYFUNCTION("""COMPUTED_VALUE"""),2.025070617E9)</f>
        <v>2025070617</v>
      </c>
      <c r="D356" s="37" t="str">
        <f>IFERROR(__xludf.DUMMYFUNCTION("""COMPUTED_VALUE"""),"ISWANTO")</f>
        <v>ISWANTO</v>
      </c>
      <c r="E356" s="37" t="str">
        <f>IFERROR(__xludf.DUMMYFUNCTION("""COMPUTED_VALUE"""),"NUR FARIDAH")</f>
        <v>NUR FARIDAH</v>
      </c>
      <c r="F356" s="37" t="str">
        <f>IFERROR(__xludf.DUMMYFUNCTION("""COMPUTED_VALUE"""),"GEDONGKEDOAN RT 001 RW 001 DUKUN GRESIK")</f>
        <v>GEDONGKEDOAN RT 001 RW 001 DUKUN GRESIK</v>
      </c>
      <c r="G356" s="38" t="str">
        <f>IFERROR(__xludf.DUMMYFUNCTION("""COMPUTED_VALUE"""),"MTS-9 B")</f>
        <v>MTS-9 B</v>
      </c>
      <c r="H356" s="36" t="str">
        <f>IFERROR(__xludf.DUMMYFUNCTION("""COMPUTED_VALUE"""),"A")</f>
        <v>A</v>
      </c>
      <c r="I356" s="40" t="str">
        <f>IFERROR(__xludf.DUMMYFUNCTION("""COMPUTED_VALUE"""),"A-8")</f>
        <v>A-8</v>
      </c>
      <c r="J356" s="40">
        <f>IFERROR(__xludf.DUMMYFUNCTION("""COMPUTED_VALUE"""),3.0)</f>
        <v>3</v>
      </c>
      <c r="K356" s="40" t="str">
        <f>IFERROR(__xludf.DUMMYFUNCTION("""COMPUTED_VALUE"""),"3 ULA A PUTRA")</f>
        <v>3 ULA A PUTRA</v>
      </c>
      <c r="L356" s="39" t="str">
        <f>IFERROR(__xludf.DUMMYFUNCTION("""COMPUTED_VALUE"""),"6281553874448")</f>
        <v>6281553874448</v>
      </c>
      <c r="M356" s="43"/>
      <c r="N356" s="42"/>
      <c r="O356" s="42"/>
      <c r="P356" s="42"/>
      <c r="Q356" s="42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>
        <f>IFERROR(__xludf.DUMMYFUNCTION("""COMPUTED_VALUE"""),500000.0)</f>
        <v>500000</v>
      </c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>
        <f>IFERROR(__xludf.DUMMYFUNCTION("""COMPUTED_VALUE"""),450000.0)</f>
        <v>450000</v>
      </c>
      <c r="AO356" s="43"/>
      <c r="AP356" s="43">
        <f>IFERROR(__xludf.DUMMYFUNCTION("""COMPUTED_VALUE"""),500000.0)</f>
        <v>500000</v>
      </c>
      <c r="AQ356" s="43"/>
      <c r="AR356" s="43"/>
      <c r="AS356" s="43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IFERROR(__xludf.DUMMYFUNCTION("""COMPUTED_VALUE"""),450000.0)</f>
        <v>450000</v>
      </c>
      <c r="BD356" s="43">
        <f>IFERROR(__xludf.DUMMYFUNCTION("""COMPUTED_VALUE"""),1000000.0)</f>
        <v>1000000</v>
      </c>
      <c r="BE356" s="43">
        <f>IFERROR(__xludf.DUMMYFUNCTION("""COMPUTED_VALUE"""),0.0)</f>
        <v>0</v>
      </c>
      <c r="BF356" s="44">
        <f>IFERROR(__xludf.DUMMYFUNCTION("""COMPUTED_VALUE"""),1450000.0)</f>
        <v>1450000</v>
      </c>
      <c r="BG356" s="56"/>
      <c r="BH356" s="56"/>
      <c r="BI356" s="5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</row>
    <row r="357">
      <c r="A357" s="47">
        <f>IFERROR(__xludf.DUMMYFUNCTION("""COMPUTED_VALUE"""),356.0)</f>
        <v>356</v>
      </c>
      <c r="B357" s="48" t="str">
        <f>IFERROR(__xludf.DUMMYFUNCTION("""COMPUTED_VALUE"""),"MUHAMMAD ZAKI ABIYASA")</f>
        <v>MUHAMMAD ZAKI ABIYASA</v>
      </c>
      <c r="C357" s="49">
        <f>IFERROR(__xludf.DUMMYFUNCTION("""COMPUTED_VALUE"""),2.02510068E9)</f>
        <v>2025100680</v>
      </c>
      <c r="D357" s="48" t="str">
        <f>IFERROR(__xludf.DUMMYFUNCTION("""COMPUTED_VALUE"""),"ZAINURONI")</f>
        <v>ZAINURONI</v>
      </c>
      <c r="E357" s="48" t="str">
        <f>IFERROR(__xludf.DUMMYFUNCTION("""COMPUTED_VALUE"""),"ELNA RUSMA WATI")</f>
        <v>ELNA RUSMA WATI</v>
      </c>
      <c r="F357" s="48" t="str">
        <f>IFERROR(__xludf.DUMMYFUNCTION("""COMPUTED_VALUE"""),"PUCUK RT 005 RW 001 PUCUK LAMONGAN")</f>
        <v>PUCUK RT 005 RW 001 PUCUK LAMONGAN</v>
      </c>
      <c r="G357" s="50" t="str">
        <f>IFERROR(__xludf.DUMMYFUNCTION("""COMPUTED_VALUE"""),"#N/A")</f>
        <v>#N/A</v>
      </c>
      <c r="H357" s="47" t="str">
        <f>IFERROR(__xludf.DUMMYFUNCTION("""COMPUTED_VALUE"""),"A")</f>
        <v>A</v>
      </c>
      <c r="I357" s="51" t="str">
        <f>IFERROR(__xludf.DUMMYFUNCTION("""COMPUTED_VALUE"""),"A-1")</f>
        <v>A-1</v>
      </c>
      <c r="J357" s="51">
        <f>IFERROR(__xludf.DUMMYFUNCTION("""COMPUTED_VALUE"""),3.0)</f>
        <v>3</v>
      </c>
      <c r="K357" s="51" t="str">
        <f>IFERROR(__xludf.DUMMYFUNCTION("""COMPUTED_VALUE"""),"3 ULA A PUTRA")</f>
        <v>3 ULA A PUTRA</v>
      </c>
      <c r="L357" s="50" t="str">
        <f>IFERROR(__xludf.DUMMYFUNCTION("""COMPUTED_VALUE"""),"6289513220988")</f>
        <v>6289513220988</v>
      </c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>
        <f>IFERROR(__xludf.DUMMYFUNCTION("""COMPUTED_VALUE"""),500000.0)</f>
        <v>500000</v>
      </c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>
        <f>IFERROR(__xludf.DUMMYFUNCTION("""COMPUTED_VALUE"""),450000.0)</f>
        <v>450000</v>
      </c>
      <c r="AO357" s="54"/>
      <c r="AP357" s="53">
        <f>IFERROR(__xludf.DUMMYFUNCTION("""COMPUTED_VALUE"""),500000.0)</f>
        <v>500000</v>
      </c>
      <c r="AQ357" s="54"/>
      <c r="AR357" s="54"/>
      <c r="AS357" s="54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IFERROR(__xludf.DUMMYFUNCTION("""COMPUTED_VALUE"""),450000.0)</f>
        <v>450000</v>
      </c>
      <c r="BD357" s="54">
        <f>IFERROR(__xludf.DUMMYFUNCTION("""COMPUTED_VALUE"""),1000000.0)</f>
        <v>1000000</v>
      </c>
      <c r="BE357" s="54">
        <f>IFERROR(__xludf.DUMMYFUNCTION("""COMPUTED_VALUE"""),0.0)</f>
        <v>0</v>
      </c>
      <c r="BF357" s="55">
        <f>IFERROR(__xludf.DUMMYFUNCTION("""COMPUTED_VALUE"""),1450000.0)</f>
        <v>1450000</v>
      </c>
      <c r="BG357" s="57"/>
      <c r="BH357" s="57"/>
      <c r="BI357" s="57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</row>
    <row r="358">
      <c r="A358" s="36">
        <f>IFERROR(__xludf.DUMMYFUNCTION("""COMPUTED_VALUE"""),357.0)</f>
        <v>357</v>
      </c>
      <c r="B358" s="37" t="str">
        <f>IFERROR(__xludf.DUMMYFUNCTION("""COMPUTED_VALUE"""),"ACH. ADITIYA YUGASWARA")</f>
        <v>ACH. ADITIYA YUGASWARA</v>
      </c>
      <c r="C358" s="38">
        <f>IFERROR(__xludf.DUMMYFUNCTION("""COMPUTED_VALUE"""),2.025110681E9)</f>
        <v>2025110681</v>
      </c>
      <c r="D358" s="37"/>
      <c r="E358" s="37"/>
      <c r="F358" s="37"/>
      <c r="G358" s="56" t="str">
        <f>IFERROR(__xludf.DUMMYFUNCTION("""COMPUTED_VALUE"""),"#N/A")</f>
        <v>#N/A</v>
      </c>
      <c r="H358" s="36" t="str">
        <f>IFERROR(__xludf.DUMMYFUNCTION("""COMPUTED_VALUE"""),"A")</f>
        <v>A</v>
      </c>
      <c r="I358" s="40" t="str">
        <f>IFERROR(__xludf.DUMMYFUNCTION("""COMPUTED_VALUE"""),"A-1")</f>
        <v>A-1</v>
      </c>
      <c r="J358" s="40">
        <f>IFERROR(__xludf.DUMMYFUNCTION("""COMPUTED_VALUE"""),3.0)</f>
        <v>3</v>
      </c>
      <c r="K358" s="40" t="str">
        <f>IFERROR(__xludf.DUMMYFUNCTION("""COMPUTED_VALUE"""),"3 ULA A PUTRA")</f>
        <v>3 ULA A PUTRA</v>
      </c>
      <c r="L358" s="39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 t="str">
        <f>IFERROR(__xludf.DUMMYFUNCTION("""COMPUTED_VALUE"""),"")</f>
        <v/>
      </c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3"/>
      <c r="AP358" s="42"/>
      <c r="AQ358" s="42"/>
      <c r="AR358" s="43"/>
      <c r="AS358" s="43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56"/>
      <c r="BH358" s="56"/>
      <c r="BI358" s="5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</row>
    <row r="359">
      <c r="A359" s="47" t="str">
        <f>IFERROR(__xludf.DUMMYFUNCTION("""COMPUTED_VALUE"""),"")</f>
        <v/>
      </c>
      <c r="B359" s="48"/>
      <c r="C359" s="49"/>
      <c r="D359" s="57"/>
      <c r="E359" s="57"/>
      <c r="F359" s="48"/>
      <c r="G359" s="57"/>
      <c r="H359" s="47"/>
      <c r="I359" s="51"/>
      <c r="J359" s="51"/>
      <c r="K359" s="51"/>
      <c r="L359" s="50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 t="str">
        <f>IFERROR(__xludf.DUMMYFUNCTION("""COMPUTED_VALUE"""),"")</f>
        <v/>
      </c>
      <c r="AI359" s="53" t="str">
        <f>IFERROR(__xludf.DUMMYFUNCTION("""COMPUTED_VALUE"""),"")</f>
        <v/>
      </c>
      <c r="AJ359" s="53" t="str">
        <f>IFERROR(__xludf.DUMMYFUNCTION("""COMPUTED_VALUE"""),"")</f>
        <v/>
      </c>
      <c r="AK359" s="53" t="str">
        <f>IFERROR(__xludf.DUMMYFUNCTION("""COMPUTED_VALUE"""),"")</f>
        <v/>
      </c>
      <c r="AL359" s="53" t="str">
        <f>IFERROR(__xludf.DUMMYFUNCTION("""COMPUTED_VALUE"""),"")</f>
        <v/>
      </c>
      <c r="AM359" s="53" t="str">
        <f>IFERROR(__xludf.DUMMYFUNCTION("""COMPUTED_VALUE"""),"")</f>
        <v/>
      </c>
      <c r="AN359" s="53" t="str">
        <f>IFERROR(__xludf.DUMMYFUNCTION("""COMPUTED_VALUE"""),"")</f>
        <v/>
      </c>
      <c r="AO359" s="54"/>
      <c r="AP359" s="53"/>
      <c r="AQ359" s="54"/>
      <c r="AR359" s="54"/>
      <c r="AS359" s="54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/>
      <c r="BD359" s="54"/>
      <c r="BE359" s="54"/>
      <c r="BF359" s="55"/>
      <c r="BG359" s="57"/>
      <c r="BH359" s="57"/>
      <c r="BI359" s="57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</row>
    <row r="360">
      <c r="A360" s="36" t="str">
        <f>IFERROR(__xludf.DUMMYFUNCTION("""COMPUTED_VALUE"""),"")</f>
        <v/>
      </c>
      <c r="B360" s="37"/>
      <c r="C360" s="38"/>
      <c r="D360" s="37"/>
      <c r="E360" s="37"/>
      <c r="F360" s="37"/>
      <c r="G360" s="38"/>
      <c r="H360" s="36"/>
      <c r="I360" s="42"/>
      <c r="J360" s="40"/>
      <c r="K360" s="40"/>
      <c r="L360" s="39"/>
      <c r="M360" s="43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3"/>
      <c r="AC360" s="42"/>
      <c r="AD360" s="42"/>
      <c r="AE360" s="42"/>
      <c r="AF360" s="42"/>
      <c r="AG360" s="42"/>
      <c r="AH360" s="42" t="str">
        <f>IFERROR(__xludf.DUMMYFUNCTION("""COMPUTED_VALUE"""),"")</f>
        <v/>
      </c>
      <c r="AI360" s="42" t="str">
        <f>IFERROR(__xludf.DUMMYFUNCTION("""COMPUTED_VALUE"""),"")</f>
        <v/>
      </c>
      <c r="AJ360" s="42" t="str">
        <f>IFERROR(__xludf.DUMMYFUNCTION("""COMPUTED_VALUE"""),"")</f>
        <v/>
      </c>
      <c r="AK360" s="42" t="str">
        <f>IFERROR(__xludf.DUMMYFUNCTION("""COMPUTED_VALUE"""),"")</f>
        <v/>
      </c>
      <c r="AL360" s="42" t="str">
        <f>IFERROR(__xludf.DUMMYFUNCTION("""COMPUTED_VALUE"""),"")</f>
        <v/>
      </c>
      <c r="AM360" s="42" t="str">
        <f>IFERROR(__xludf.DUMMYFUNCTION("""COMPUTED_VALUE"""),"")</f>
        <v/>
      </c>
      <c r="AN360" s="42" t="str">
        <f>IFERROR(__xludf.DUMMYFUNCTION("""COMPUTED_VALUE"""),"")</f>
        <v/>
      </c>
      <c r="AO360" s="43"/>
      <c r="AP360" s="43"/>
      <c r="AQ360" s="42"/>
      <c r="AR360" s="42"/>
      <c r="AS360" s="43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/>
      <c r="BD360" s="43"/>
      <c r="BE360" s="43"/>
      <c r="BF360" s="44"/>
      <c r="BG360" s="56"/>
      <c r="BH360" s="56"/>
      <c r="BI360" s="5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</row>
    <row r="361">
      <c r="A361" s="57" t="str">
        <f>IFERROR(__xludf.DUMMYFUNCTION("""COMPUTED_VALUE"""),"")</f>
        <v/>
      </c>
      <c r="B361" s="57"/>
      <c r="C361" s="57"/>
      <c r="D361" s="57"/>
      <c r="E361" s="57"/>
      <c r="F361" s="57"/>
      <c r="G361" s="57"/>
      <c r="H361" s="57"/>
      <c r="I361" s="53"/>
      <c r="J361" s="53"/>
      <c r="K361" s="53"/>
      <c r="L361" s="61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7"/>
      <c r="BG361" s="57"/>
      <c r="BH361" s="57"/>
      <c r="BI361" s="57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</row>
    <row r="362">
      <c r="A362" s="56" t="str">
        <f>IFERROR(__xludf.DUMMYFUNCTION("""COMPUTED_VALUE"""),"")</f>
        <v/>
      </c>
      <c r="B362" s="56"/>
      <c r="C362" s="56"/>
      <c r="D362" s="56"/>
      <c r="E362" s="56"/>
      <c r="F362" s="56"/>
      <c r="G362" s="56"/>
      <c r="H362" s="56"/>
      <c r="I362" s="42"/>
      <c r="J362" s="42"/>
      <c r="K362" s="42"/>
      <c r="L362" s="58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56"/>
      <c r="BG362" s="56"/>
      <c r="BH362" s="56"/>
      <c r="BI362" s="5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</row>
    <row r="363">
      <c r="A363" s="57" t="str">
        <f>IFERROR(__xludf.DUMMYFUNCTION("""COMPUTED_VALUE"""),"")</f>
        <v/>
      </c>
      <c r="B363" s="57"/>
      <c r="C363" s="57"/>
      <c r="D363" s="57"/>
      <c r="E363" s="57"/>
      <c r="F363" s="57"/>
      <c r="G363" s="57"/>
      <c r="H363" s="57"/>
      <c r="I363" s="53"/>
      <c r="J363" s="53"/>
      <c r="K363" s="53"/>
      <c r="L363" s="61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7"/>
      <c r="BG363" s="57"/>
      <c r="BH363" s="57"/>
      <c r="BI363" s="57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</row>
    <row r="364">
      <c r="A364" s="56" t="str">
        <f>IFERROR(__xludf.DUMMYFUNCTION("""COMPUTED_VALUE"""),"")</f>
        <v/>
      </c>
      <c r="B364" s="56"/>
      <c r="C364" s="56"/>
      <c r="D364" s="56"/>
      <c r="E364" s="56"/>
      <c r="F364" s="56"/>
      <c r="G364" s="56"/>
      <c r="H364" s="56"/>
      <c r="I364" s="42"/>
      <c r="J364" s="42"/>
      <c r="K364" s="42"/>
      <c r="L364" s="58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56"/>
      <c r="BG364" s="56"/>
      <c r="BH364" s="56"/>
      <c r="BI364" s="5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</row>
    <row r="365">
      <c r="A365" s="57" t="str">
        <f>IFERROR(__xludf.DUMMYFUNCTION("""COMPUTED_VALUE"""),"")</f>
        <v/>
      </c>
      <c r="B365" s="57"/>
      <c r="C365" s="57"/>
      <c r="D365" s="57"/>
      <c r="E365" s="57"/>
      <c r="F365" s="57"/>
      <c r="G365" s="57"/>
      <c r="H365" s="57"/>
      <c r="I365" s="53"/>
      <c r="J365" s="53"/>
      <c r="K365" s="53"/>
      <c r="L365" s="61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7"/>
      <c r="BG365" s="57"/>
      <c r="BH365" s="57"/>
      <c r="BI365" s="57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</row>
    <row r="366">
      <c r="A366" s="56" t="str">
        <f>IFERROR(__xludf.DUMMYFUNCTION("""COMPUTED_VALUE"""),"")</f>
        <v/>
      </c>
      <c r="B366" s="56"/>
      <c r="C366" s="56"/>
      <c r="D366" s="56"/>
      <c r="E366" s="56"/>
      <c r="F366" s="56"/>
      <c r="G366" s="56"/>
      <c r="H366" s="56"/>
      <c r="I366" s="42"/>
      <c r="J366" s="42"/>
      <c r="K366" s="42"/>
      <c r="L366" s="58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56"/>
      <c r="BG366" s="56"/>
      <c r="BH366" s="56"/>
      <c r="BI366" s="5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</row>
    <row r="367">
      <c r="A367" s="57" t="str">
        <f>IFERROR(__xludf.DUMMYFUNCTION("""COMPUTED_VALUE"""),"")</f>
        <v/>
      </c>
      <c r="B367" s="57"/>
      <c r="C367" s="57"/>
      <c r="D367" s="57"/>
      <c r="E367" s="57"/>
      <c r="F367" s="57"/>
      <c r="G367" s="57"/>
      <c r="H367" s="57"/>
      <c r="I367" s="53"/>
      <c r="J367" s="53"/>
      <c r="K367" s="53"/>
      <c r="L367" s="61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7"/>
      <c r="BG367" s="57"/>
      <c r="BH367" s="57"/>
      <c r="BI367" s="57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</row>
    <row r="368">
      <c r="A368" s="56" t="str">
        <f>IFERROR(__xludf.DUMMYFUNCTION("""COMPUTED_VALUE"""),"")</f>
        <v/>
      </c>
      <c r="B368" s="56"/>
      <c r="C368" s="56"/>
      <c r="D368" s="56"/>
      <c r="E368" s="56"/>
      <c r="F368" s="56"/>
      <c r="G368" s="56"/>
      <c r="H368" s="56"/>
      <c r="I368" s="42"/>
      <c r="J368" s="42"/>
      <c r="K368" s="42"/>
      <c r="L368" s="58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56"/>
      <c r="BG368" s="56"/>
      <c r="BH368" s="56"/>
      <c r="BI368" s="5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</row>
    <row r="369">
      <c r="A369" s="57" t="str">
        <f>IFERROR(__xludf.DUMMYFUNCTION("""COMPUTED_VALUE"""),"")</f>
        <v/>
      </c>
      <c r="B369" s="57"/>
      <c r="C369" s="57"/>
      <c r="D369" s="57"/>
      <c r="E369" s="57"/>
      <c r="F369" s="57"/>
      <c r="G369" s="57"/>
      <c r="H369" s="57"/>
      <c r="I369" s="53"/>
      <c r="J369" s="53"/>
      <c r="K369" s="53"/>
      <c r="L369" s="61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7"/>
      <c r="BG369" s="57"/>
      <c r="BH369" s="57"/>
      <c r="BI369" s="57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</row>
    <row r="370">
      <c r="A370" s="56" t="str">
        <f>IFERROR(__xludf.DUMMYFUNCTION("""COMPUTED_VALUE"""),"")</f>
        <v/>
      </c>
      <c r="B370" s="56"/>
      <c r="C370" s="56"/>
      <c r="D370" s="56"/>
      <c r="E370" s="56"/>
      <c r="F370" s="56"/>
      <c r="G370" s="56"/>
      <c r="H370" s="56"/>
      <c r="I370" s="42"/>
      <c r="J370" s="42"/>
      <c r="K370" s="42"/>
      <c r="L370" s="58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56"/>
      <c r="BG370" s="56"/>
      <c r="BH370" s="56"/>
      <c r="BI370" s="5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</row>
    <row r="371">
      <c r="A371" s="57" t="str">
        <f>IFERROR(__xludf.DUMMYFUNCTION("""COMPUTED_VALUE"""),"")</f>
        <v/>
      </c>
      <c r="B371" s="57"/>
      <c r="C371" s="57"/>
      <c r="D371" s="57"/>
      <c r="E371" s="57"/>
      <c r="F371" s="57"/>
      <c r="G371" s="57"/>
      <c r="H371" s="57"/>
      <c r="I371" s="53"/>
      <c r="J371" s="53"/>
      <c r="K371" s="53"/>
      <c r="L371" s="61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7"/>
      <c r="BG371" s="57"/>
      <c r="BH371" s="57"/>
      <c r="BI371" s="57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</row>
    <row r="372">
      <c r="A372" s="56" t="str">
        <f>IFERROR(__xludf.DUMMYFUNCTION("""COMPUTED_VALUE"""),"")</f>
        <v/>
      </c>
      <c r="B372" s="56"/>
      <c r="C372" s="56"/>
      <c r="D372" s="56"/>
      <c r="E372" s="56"/>
      <c r="F372" s="56"/>
      <c r="G372" s="56"/>
      <c r="H372" s="56"/>
      <c r="I372" s="42"/>
      <c r="J372" s="42"/>
      <c r="K372" s="42"/>
      <c r="L372" s="58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56"/>
      <c r="BG372" s="56"/>
      <c r="BH372" s="56"/>
      <c r="BI372" s="5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</row>
    <row r="373">
      <c r="A373" s="57" t="str">
        <f>IFERROR(__xludf.DUMMYFUNCTION("""COMPUTED_VALUE"""),"")</f>
        <v/>
      </c>
      <c r="B373" s="57"/>
      <c r="C373" s="57"/>
      <c r="D373" s="57"/>
      <c r="E373" s="57"/>
      <c r="F373" s="57"/>
      <c r="G373" s="57"/>
      <c r="H373" s="57"/>
      <c r="I373" s="53"/>
      <c r="J373" s="53"/>
      <c r="K373" s="53"/>
      <c r="L373" s="61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7"/>
      <c r="BG373" s="57"/>
      <c r="BH373" s="57"/>
      <c r="BI373" s="57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</row>
    <row r="374">
      <c r="A374" s="56" t="str">
        <f>IFERROR(__xludf.DUMMYFUNCTION("""COMPUTED_VALUE"""),"")</f>
        <v/>
      </c>
      <c r="B374" s="56"/>
      <c r="C374" s="56"/>
      <c r="D374" s="56"/>
      <c r="E374" s="56"/>
      <c r="F374" s="56"/>
      <c r="G374" s="56"/>
      <c r="H374" s="56"/>
      <c r="I374" s="42"/>
      <c r="J374" s="42"/>
      <c r="K374" s="42"/>
      <c r="L374" s="58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56"/>
      <c r="BG374" s="56"/>
      <c r="BH374" s="56"/>
      <c r="BI374" s="5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</row>
    <row r="375">
      <c r="A375" s="57" t="str">
        <f>IFERROR(__xludf.DUMMYFUNCTION("""COMPUTED_VALUE"""),"")</f>
        <v/>
      </c>
      <c r="B375" s="57"/>
      <c r="C375" s="57"/>
      <c r="D375" s="57"/>
      <c r="E375" s="57"/>
      <c r="F375" s="57"/>
      <c r="G375" s="57"/>
      <c r="H375" s="57"/>
      <c r="I375" s="53"/>
      <c r="J375" s="53"/>
      <c r="K375" s="53"/>
      <c r="L375" s="61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7"/>
      <c r="BG375" s="57"/>
      <c r="BH375" s="57"/>
      <c r="BI375" s="57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</row>
    <row r="376">
      <c r="A376" s="56" t="str">
        <f>IFERROR(__xludf.DUMMYFUNCTION("""COMPUTED_VALUE"""),"")</f>
        <v/>
      </c>
      <c r="B376" s="56"/>
      <c r="C376" s="56"/>
      <c r="D376" s="56"/>
      <c r="E376" s="56"/>
      <c r="F376" s="56"/>
      <c r="G376" s="56"/>
      <c r="H376" s="56"/>
      <c r="I376" s="42"/>
      <c r="J376" s="42"/>
      <c r="K376" s="42"/>
      <c r="L376" s="58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56"/>
      <c r="BG376" s="56"/>
      <c r="BH376" s="56"/>
      <c r="BI376" s="5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</row>
    <row r="377">
      <c r="A377" s="57" t="str">
        <f>IFERROR(__xludf.DUMMYFUNCTION("""COMPUTED_VALUE"""),"")</f>
        <v/>
      </c>
      <c r="B377" s="57"/>
      <c r="C377" s="57"/>
      <c r="D377" s="57"/>
      <c r="E377" s="57"/>
      <c r="F377" s="57"/>
      <c r="G377" s="57"/>
      <c r="H377" s="57"/>
      <c r="I377" s="53"/>
      <c r="J377" s="53"/>
      <c r="K377" s="53"/>
      <c r="L377" s="61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7"/>
      <c r="BG377" s="57"/>
      <c r="BH377" s="57"/>
      <c r="BI377" s="57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</row>
    <row r="378">
      <c r="A378" s="56" t="str">
        <f>IFERROR(__xludf.DUMMYFUNCTION("""COMPUTED_VALUE"""),"")</f>
        <v/>
      </c>
      <c r="B378" s="56"/>
      <c r="C378" s="56"/>
      <c r="D378" s="56"/>
      <c r="E378" s="56"/>
      <c r="F378" s="56"/>
      <c r="G378" s="56"/>
      <c r="H378" s="56"/>
      <c r="I378" s="42"/>
      <c r="J378" s="42"/>
      <c r="K378" s="42"/>
      <c r="L378" s="58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56"/>
      <c r="BG378" s="56"/>
      <c r="BH378" s="56"/>
      <c r="BI378" s="5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</row>
    <row r="379">
      <c r="A379" s="57" t="str">
        <f>IFERROR(__xludf.DUMMYFUNCTION("""COMPUTED_VALUE"""),"")</f>
        <v/>
      </c>
      <c r="B379" s="57"/>
      <c r="C379" s="57"/>
      <c r="D379" s="57"/>
      <c r="E379" s="57"/>
      <c r="F379" s="57"/>
      <c r="G379" s="57"/>
      <c r="H379" s="57"/>
      <c r="I379" s="53"/>
      <c r="J379" s="53"/>
      <c r="K379" s="53"/>
      <c r="L379" s="61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7"/>
      <c r="BG379" s="57"/>
      <c r="BH379" s="57"/>
      <c r="BI379" s="57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</row>
    <row r="380">
      <c r="A380" s="56" t="str">
        <f>IFERROR(__xludf.DUMMYFUNCTION("""COMPUTED_VALUE"""),"")</f>
        <v/>
      </c>
      <c r="B380" s="56"/>
      <c r="C380" s="56"/>
      <c r="D380" s="56"/>
      <c r="E380" s="56"/>
      <c r="F380" s="56"/>
      <c r="G380" s="56"/>
      <c r="H380" s="56"/>
      <c r="I380" s="42"/>
      <c r="J380" s="42"/>
      <c r="K380" s="42"/>
      <c r="L380" s="58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56"/>
      <c r="BG380" s="56"/>
      <c r="BH380" s="56"/>
      <c r="BI380" s="5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</row>
    <row r="381">
      <c r="A381" s="57" t="str">
        <f>IFERROR(__xludf.DUMMYFUNCTION("""COMPUTED_VALUE"""),"")</f>
        <v/>
      </c>
      <c r="B381" s="57"/>
      <c r="C381" s="57"/>
      <c r="D381" s="57"/>
      <c r="E381" s="57"/>
      <c r="F381" s="57"/>
      <c r="G381" s="57"/>
      <c r="H381" s="57"/>
      <c r="I381" s="53"/>
      <c r="J381" s="53"/>
      <c r="K381" s="53"/>
      <c r="L381" s="61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7"/>
      <c r="BG381" s="57"/>
      <c r="BH381" s="57"/>
      <c r="BI381" s="57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</row>
    <row r="382">
      <c r="A382" s="56" t="str">
        <f>IFERROR(__xludf.DUMMYFUNCTION("""COMPUTED_VALUE"""),"")</f>
        <v/>
      </c>
      <c r="B382" s="56"/>
      <c r="C382" s="56"/>
      <c r="D382" s="56"/>
      <c r="E382" s="56"/>
      <c r="F382" s="56"/>
      <c r="G382" s="56"/>
      <c r="H382" s="56"/>
      <c r="I382" s="42"/>
      <c r="J382" s="42"/>
      <c r="K382" s="42"/>
      <c r="L382" s="58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56"/>
      <c r="BG382" s="56"/>
      <c r="BH382" s="56"/>
      <c r="BI382" s="5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</row>
    <row r="383">
      <c r="A383" s="57" t="str">
        <f>IFERROR(__xludf.DUMMYFUNCTION("""COMPUTED_VALUE"""),"")</f>
        <v/>
      </c>
      <c r="B383" s="57"/>
      <c r="C383" s="57"/>
      <c r="D383" s="57"/>
      <c r="E383" s="57"/>
      <c r="F383" s="57"/>
      <c r="G383" s="57"/>
      <c r="H383" s="57"/>
      <c r="I383" s="53"/>
      <c r="J383" s="53"/>
      <c r="K383" s="53"/>
      <c r="L383" s="61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7"/>
      <c r="BG383" s="57"/>
      <c r="BH383" s="57"/>
      <c r="BI383" s="57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</row>
    <row r="384">
      <c r="A384" s="56" t="str">
        <f>IFERROR(__xludf.DUMMYFUNCTION("""COMPUTED_VALUE"""),"")</f>
        <v/>
      </c>
      <c r="B384" s="56"/>
      <c r="C384" s="56"/>
      <c r="D384" s="56"/>
      <c r="E384" s="56"/>
      <c r="F384" s="56"/>
      <c r="G384" s="56"/>
      <c r="H384" s="56"/>
      <c r="I384" s="42"/>
      <c r="J384" s="42"/>
      <c r="K384" s="42"/>
      <c r="L384" s="58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56"/>
      <c r="BG384" s="56"/>
      <c r="BH384" s="56"/>
      <c r="BI384" s="5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</row>
    <row r="385">
      <c r="A385" s="57" t="str">
        <f>IFERROR(__xludf.DUMMYFUNCTION("""COMPUTED_VALUE"""),"")</f>
        <v/>
      </c>
      <c r="B385" s="57"/>
      <c r="C385" s="57"/>
      <c r="D385" s="57"/>
      <c r="E385" s="57"/>
      <c r="F385" s="57"/>
      <c r="G385" s="57"/>
      <c r="H385" s="57"/>
      <c r="I385" s="53"/>
      <c r="J385" s="53"/>
      <c r="K385" s="53"/>
      <c r="L385" s="61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7"/>
      <c r="BG385" s="57"/>
      <c r="BH385" s="57"/>
      <c r="BI385" s="57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</row>
    <row r="386">
      <c r="A386" s="56" t="str">
        <f>IFERROR(__xludf.DUMMYFUNCTION("""COMPUTED_VALUE"""),"")</f>
        <v/>
      </c>
      <c r="B386" s="56"/>
      <c r="C386" s="56"/>
      <c r="D386" s="56"/>
      <c r="E386" s="56"/>
      <c r="F386" s="56"/>
      <c r="G386" s="56"/>
      <c r="H386" s="56"/>
      <c r="I386" s="42"/>
      <c r="J386" s="42"/>
      <c r="K386" s="42"/>
      <c r="L386" s="58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56"/>
      <c r="BG386" s="56"/>
      <c r="BH386" s="56"/>
      <c r="BI386" s="5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</row>
    <row r="387">
      <c r="A387" s="57" t="str">
        <f>IFERROR(__xludf.DUMMYFUNCTION("""COMPUTED_VALUE"""),"")</f>
        <v/>
      </c>
      <c r="B387" s="57"/>
      <c r="C387" s="57"/>
      <c r="D387" s="57"/>
      <c r="E387" s="57"/>
      <c r="F387" s="57"/>
      <c r="G387" s="57"/>
      <c r="H387" s="57"/>
      <c r="I387" s="53"/>
      <c r="J387" s="53"/>
      <c r="K387" s="53"/>
      <c r="L387" s="61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7"/>
      <c r="BG387" s="57"/>
      <c r="BH387" s="57"/>
      <c r="BI387" s="57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</row>
    <row r="388">
      <c r="A388" s="56" t="str">
        <f>IFERROR(__xludf.DUMMYFUNCTION("""COMPUTED_VALUE"""),"")</f>
        <v/>
      </c>
      <c r="B388" s="56"/>
      <c r="C388" s="56"/>
      <c r="D388" s="56"/>
      <c r="E388" s="56"/>
      <c r="F388" s="56"/>
      <c r="G388" s="56"/>
      <c r="H388" s="56"/>
      <c r="I388" s="42"/>
      <c r="J388" s="42"/>
      <c r="K388" s="42"/>
      <c r="L388" s="58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56"/>
      <c r="BG388" s="56"/>
      <c r="BH388" s="56"/>
      <c r="BI388" s="5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</row>
    <row r="389">
      <c r="A389" s="57" t="str">
        <f>IFERROR(__xludf.DUMMYFUNCTION("""COMPUTED_VALUE"""),"")</f>
        <v/>
      </c>
      <c r="B389" s="57"/>
      <c r="C389" s="57"/>
      <c r="D389" s="57"/>
      <c r="E389" s="57"/>
      <c r="F389" s="57"/>
      <c r="G389" s="57"/>
      <c r="H389" s="57"/>
      <c r="I389" s="53"/>
      <c r="J389" s="53"/>
      <c r="K389" s="53"/>
      <c r="L389" s="61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7"/>
      <c r="BG389" s="57"/>
      <c r="BH389" s="57"/>
      <c r="BI389" s="57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</row>
    <row r="390">
      <c r="A390" s="56" t="str">
        <f>IFERROR(__xludf.DUMMYFUNCTION("""COMPUTED_VALUE"""),"")</f>
        <v/>
      </c>
      <c r="B390" s="56"/>
      <c r="C390" s="56"/>
      <c r="D390" s="56"/>
      <c r="E390" s="56"/>
      <c r="F390" s="56"/>
      <c r="G390" s="56"/>
      <c r="H390" s="56"/>
      <c r="I390" s="42"/>
      <c r="J390" s="42"/>
      <c r="K390" s="42"/>
      <c r="L390" s="58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56"/>
      <c r="BG390" s="56"/>
      <c r="BH390" s="56"/>
      <c r="BI390" s="5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</row>
    <row r="391">
      <c r="A391" s="57" t="str">
        <f>IFERROR(__xludf.DUMMYFUNCTION("""COMPUTED_VALUE"""),"")</f>
        <v/>
      </c>
      <c r="B391" s="57"/>
      <c r="C391" s="57"/>
      <c r="D391" s="57"/>
      <c r="E391" s="57"/>
      <c r="F391" s="57"/>
      <c r="G391" s="57"/>
      <c r="H391" s="57"/>
      <c r="I391" s="53"/>
      <c r="J391" s="53"/>
      <c r="K391" s="53"/>
      <c r="L391" s="61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7"/>
      <c r="BG391" s="57"/>
      <c r="BH391" s="57"/>
      <c r="BI391" s="57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</row>
    <row r="392">
      <c r="A392" s="56" t="str">
        <f>IFERROR(__xludf.DUMMYFUNCTION("""COMPUTED_VALUE"""),"")</f>
        <v/>
      </c>
      <c r="B392" s="56"/>
      <c r="C392" s="56"/>
      <c r="D392" s="56"/>
      <c r="E392" s="56"/>
      <c r="F392" s="56"/>
      <c r="G392" s="56"/>
      <c r="H392" s="56"/>
      <c r="I392" s="42"/>
      <c r="J392" s="42"/>
      <c r="K392" s="42"/>
      <c r="L392" s="58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56"/>
      <c r="BG392" s="56"/>
      <c r="BH392" s="56"/>
      <c r="BI392" s="5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</row>
    <row r="393">
      <c r="A393" s="57" t="str">
        <f>IFERROR(__xludf.DUMMYFUNCTION("""COMPUTED_VALUE"""),"")</f>
        <v/>
      </c>
      <c r="B393" s="57"/>
      <c r="C393" s="57"/>
      <c r="D393" s="57"/>
      <c r="E393" s="57"/>
      <c r="F393" s="57"/>
      <c r="G393" s="57"/>
      <c r="H393" s="57"/>
      <c r="I393" s="53"/>
      <c r="J393" s="53"/>
      <c r="K393" s="53"/>
      <c r="L393" s="61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7"/>
      <c r="BG393" s="57"/>
      <c r="BH393" s="57"/>
      <c r="BI393" s="57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</row>
    <row r="394">
      <c r="A394" s="56" t="str">
        <f>IFERROR(__xludf.DUMMYFUNCTION("""COMPUTED_VALUE"""),"")</f>
        <v/>
      </c>
      <c r="B394" s="56"/>
      <c r="C394" s="56"/>
      <c r="D394" s="56"/>
      <c r="E394" s="56"/>
      <c r="F394" s="56"/>
      <c r="G394" s="56"/>
      <c r="H394" s="56"/>
      <c r="I394" s="42"/>
      <c r="J394" s="42"/>
      <c r="K394" s="42"/>
      <c r="L394" s="58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56"/>
      <c r="BG394" s="56"/>
      <c r="BH394" s="56"/>
      <c r="BI394" s="5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</row>
    <row r="395">
      <c r="A395" s="57" t="str">
        <f>IFERROR(__xludf.DUMMYFUNCTION("""COMPUTED_VALUE"""),"")</f>
        <v/>
      </c>
      <c r="B395" s="57"/>
      <c r="C395" s="57"/>
      <c r="D395" s="57"/>
      <c r="E395" s="57"/>
      <c r="F395" s="57"/>
      <c r="G395" s="57"/>
      <c r="H395" s="57"/>
      <c r="I395" s="53"/>
      <c r="J395" s="53"/>
      <c r="K395" s="53"/>
      <c r="L395" s="61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7"/>
      <c r="BG395" s="57"/>
      <c r="BH395" s="57"/>
      <c r="BI395" s="57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</row>
    <row r="396">
      <c r="A396" s="56" t="str">
        <f>IFERROR(__xludf.DUMMYFUNCTION("""COMPUTED_VALUE"""),"")</f>
        <v/>
      </c>
      <c r="B396" s="56"/>
      <c r="C396" s="56"/>
      <c r="D396" s="56"/>
      <c r="E396" s="56"/>
      <c r="F396" s="56"/>
      <c r="G396" s="56"/>
      <c r="H396" s="56"/>
      <c r="I396" s="42"/>
      <c r="J396" s="42"/>
      <c r="K396" s="42"/>
      <c r="L396" s="58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56"/>
      <c r="BG396" s="56"/>
      <c r="BH396" s="56"/>
      <c r="BI396" s="5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</row>
    <row r="397">
      <c r="A397" s="57" t="str">
        <f>IFERROR(__xludf.DUMMYFUNCTION("""COMPUTED_VALUE"""),"")</f>
        <v/>
      </c>
      <c r="B397" s="57"/>
      <c r="C397" s="57"/>
      <c r="D397" s="57"/>
      <c r="E397" s="57"/>
      <c r="F397" s="57"/>
      <c r="G397" s="57"/>
      <c r="H397" s="57"/>
      <c r="I397" s="53"/>
      <c r="J397" s="53"/>
      <c r="K397" s="53"/>
      <c r="L397" s="61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7"/>
      <c r="BG397" s="57"/>
      <c r="BH397" s="57"/>
      <c r="BI397" s="57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</row>
    <row r="398">
      <c r="A398" s="56" t="str">
        <f>IFERROR(__xludf.DUMMYFUNCTION("""COMPUTED_VALUE"""),"")</f>
        <v/>
      </c>
      <c r="B398" s="56"/>
      <c r="C398" s="56"/>
      <c r="D398" s="56"/>
      <c r="E398" s="56"/>
      <c r="F398" s="56"/>
      <c r="G398" s="56"/>
      <c r="H398" s="56"/>
      <c r="I398" s="42"/>
      <c r="J398" s="42"/>
      <c r="K398" s="42"/>
      <c r="L398" s="58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56"/>
      <c r="BG398" s="56"/>
      <c r="BH398" s="56"/>
      <c r="BI398" s="5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</row>
    <row r="399">
      <c r="A399" s="57" t="str">
        <f>IFERROR(__xludf.DUMMYFUNCTION("""COMPUTED_VALUE"""),"")</f>
        <v/>
      </c>
      <c r="B399" s="57"/>
      <c r="C399" s="57"/>
      <c r="D399" s="57"/>
      <c r="E399" s="57"/>
      <c r="F399" s="57"/>
      <c r="G399" s="57"/>
      <c r="H399" s="57"/>
      <c r="I399" s="53"/>
      <c r="J399" s="53"/>
      <c r="K399" s="53"/>
      <c r="L399" s="61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7"/>
      <c r="BG399" s="57"/>
      <c r="BH399" s="57"/>
      <c r="BI399" s="57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</row>
    <row r="400">
      <c r="A400" s="56" t="str">
        <f>IFERROR(__xludf.DUMMYFUNCTION("""COMPUTED_VALUE"""),"")</f>
        <v/>
      </c>
      <c r="B400" s="56"/>
      <c r="C400" s="56"/>
      <c r="D400" s="56"/>
      <c r="E400" s="56"/>
      <c r="F400" s="56"/>
      <c r="G400" s="56"/>
      <c r="H400" s="56"/>
      <c r="I400" s="42"/>
      <c r="J400" s="42"/>
      <c r="K400" s="42"/>
      <c r="L400" s="58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56"/>
      <c r="BG400" s="56"/>
      <c r="BH400" s="56"/>
      <c r="BI400" s="5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</row>
    <row r="401">
      <c r="A401" s="57" t="str">
        <f>IFERROR(__xludf.DUMMYFUNCTION("""COMPUTED_VALUE"""),"")</f>
        <v/>
      </c>
      <c r="B401" s="57"/>
      <c r="C401" s="57"/>
      <c r="D401" s="57"/>
      <c r="E401" s="57"/>
      <c r="F401" s="57"/>
      <c r="G401" s="57"/>
      <c r="H401" s="57"/>
      <c r="I401" s="53"/>
      <c r="J401" s="53"/>
      <c r="K401" s="53"/>
      <c r="L401" s="61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7"/>
      <c r="BG401" s="57"/>
      <c r="BH401" s="57"/>
      <c r="BI401" s="57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</row>
    <row r="402">
      <c r="A402" s="56" t="str">
        <f>IFERROR(__xludf.DUMMYFUNCTION("""COMPUTED_VALUE"""),"")</f>
        <v/>
      </c>
      <c r="B402" s="56"/>
      <c r="C402" s="56"/>
      <c r="D402" s="56"/>
      <c r="E402" s="56"/>
      <c r="F402" s="56"/>
      <c r="G402" s="56"/>
      <c r="H402" s="56"/>
      <c r="I402" s="42"/>
      <c r="J402" s="42"/>
      <c r="K402" s="42"/>
      <c r="L402" s="58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56"/>
      <c r="BG402" s="56"/>
      <c r="BH402" s="56"/>
      <c r="BI402" s="5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</row>
    <row r="403">
      <c r="A403" s="57" t="str">
        <f>IFERROR(__xludf.DUMMYFUNCTION("""COMPUTED_VALUE"""),"")</f>
        <v/>
      </c>
      <c r="B403" s="57"/>
      <c r="C403" s="57"/>
      <c r="D403" s="57"/>
      <c r="E403" s="57"/>
      <c r="F403" s="57"/>
      <c r="G403" s="57"/>
      <c r="H403" s="57"/>
      <c r="I403" s="53"/>
      <c r="J403" s="53"/>
      <c r="K403" s="53"/>
      <c r="L403" s="61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7"/>
      <c r="BG403" s="57"/>
      <c r="BH403" s="57"/>
      <c r="BI403" s="57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</row>
    <row r="404">
      <c r="A404" s="56" t="str">
        <f>IFERROR(__xludf.DUMMYFUNCTION("""COMPUTED_VALUE"""),"")</f>
        <v/>
      </c>
      <c r="B404" s="56"/>
      <c r="C404" s="56"/>
      <c r="D404" s="56"/>
      <c r="E404" s="56"/>
      <c r="F404" s="56"/>
      <c r="G404" s="56"/>
      <c r="H404" s="56"/>
      <c r="I404" s="42"/>
      <c r="J404" s="42"/>
      <c r="K404" s="42"/>
      <c r="L404" s="58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56"/>
      <c r="BG404" s="56"/>
      <c r="BH404" s="56"/>
      <c r="BI404" s="5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</row>
    <row r="405">
      <c r="A405" s="57" t="str">
        <f>IFERROR(__xludf.DUMMYFUNCTION("""COMPUTED_VALUE"""),"")</f>
        <v/>
      </c>
      <c r="B405" s="57"/>
      <c r="C405" s="57"/>
      <c r="D405" s="57"/>
      <c r="E405" s="57"/>
      <c r="F405" s="57"/>
      <c r="G405" s="57"/>
      <c r="H405" s="57"/>
      <c r="I405" s="53"/>
      <c r="J405" s="53"/>
      <c r="K405" s="53"/>
      <c r="L405" s="61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7"/>
      <c r="BG405" s="57"/>
      <c r="BH405" s="57"/>
      <c r="BI405" s="57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</row>
    <row r="406">
      <c r="A406" s="56" t="str">
        <f>IFERROR(__xludf.DUMMYFUNCTION("""COMPUTED_VALUE"""),"")</f>
        <v/>
      </c>
      <c r="B406" s="56"/>
      <c r="C406" s="56"/>
      <c r="D406" s="56"/>
      <c r="E406" s="56"/>
      <c r="F406" s="56"/>
      <c r="G406" s="56"/>
      <c r="H406" s="56"/>
      <c r="I406" s="42"/>
      <c r="J406" s="42"/>
      <c r="K406" s="42"/>
      <c r="L406" s="58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56"/>
      <c r="BG406" s="56"/>
      <c r="BH406" s="56"/>
      <c r="BI406" s="5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</row>
    <row r="407">
      <c r="A407" s="57" t="str">
        <f>IFERROR(__xludf.DUMMYFUNCTION("""COMPUTED_VALUE"""),"")</f>
        <v/>
      </c>
      <c r="B407" s="57"/>
      <c r="C407" s="57"/>
      <c r="D407" s="57"/>
      <c r="E407" s="57"/>
      <c r="F407" s="57"/>
      <c r="G407" s="57"/>
      <c r="H407" s="57"/>
      <c r="I407" s="53"/>
      <c r="J407" s="53"/>
      <c r="K407" s="53"/>
      <c r="L407" s="61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7"/>
      <c r="BG407" s="57"/>
      <c r="BH407" s="57"/>
      <c r="BI407" s="57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</row>
    <row r="408">
      <c r="A408" s="56" t="str">
        <f>IFERROR(__xludf.DUMMYFUNCTION("""COMPUTED_VALUE"""),"")</f>
        <v/>
      </c>
      <c r="B408" s="56"/>
      <c r="C408" s="56"/>
      <c r="D408" s="56"/>
      <c r="E408" s="56"/>
      <c r="F408" s="56"/>
      <c r="G408" s="56"/>
      <c r="H408" s="56"/>
      <c r="I408" s="42"/>
      <c r="J408" s="42"/>
      <c r="K408" s="42"/>
      <c r="L408" s="58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56"/>
      <c r="BG408" s="56"/>
      <c r="BH408" s="56"/>
      <c r="BI408" s="5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</row>
    <row r="409">
      <c r="A409" s="57" t="str">
        <f>IFERROR(__xludf.DUMMYFUNCTION("""COMPUTED_VALUE"""),"")</f>
        <v/>
      </c>
      <c r="B409" s="57"/>
      <c r="C409" s="57"/>
      <c r="D409" s="57"/>
      <c r="E409" s="57"/>
      <c r="F409" s="57"/>
      <c r="G409" s="57"/>
      <c r="H409" s="57"/>
      <c r="I409" s="53"/>
      <c r="J409" s="53"/>
      <c r="K409" s="53"/>
      <c r="L409" s="61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7"/>
      <c r="BG409" s="57"/>
      <c r="BH409" s="57"/>
      <c r="BI409" s="57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</row>
    <row r="410">
      <c r="A410" s="56" t="str">
        <f>IFERROR(__xludf.DUMMYFUNCTION("""COMPUTED_VALUE"""),"")</f>
        <v/>
      </c>
      <c r="B410" s="56"/>
      <c r="C410" s="56"/>
      <c r="D410" s="56"/>
      <c r="E410" s="56"/>
      <c r="F410" s="56"/>
      <c r="G410" s="56"/>
      <c r="H410" s="56"/>
      <c r="I410" s="42"/>
      <c r="J410" s="42"/>
      <c r="K410" s="42"/>
      <c r="L410" s="58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56"/>
      <c r="BG410" s="56"/>
      <c r="BH410" s="56"/>
      <c r="BI410" s="5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</row>
    <row r="411">
      <c r="A411" s="57" t="str">
        <f>IFERROR(__xludf.DUMMYFUNCTION("""COMPUTED_VALUE"""),"")</f>
        <v/>
      </c>
      <c r="B411" s="57"/>
      <c r="C411" s="57"/>
      <c r="D411" s="57"/>
      <c r="E411" s="57"/>
      <c r="F411" s="57"/>
      <c r="G411" s="57"/>
      <c r="H411" s="57"/>
      <c r="I411" s="53"/>
      <c r="J411" s="53"/>
      <c r="K411" s="53"/>
      <c r="L411" s="61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7"/>
      <c r="BG411" s="57"/>
      <c r="BH411" s="57"/>
      <c r="BI411" s="57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</row>
    <row r="412">
      <c r="A412" s="56" t="str">
        <f>IFERROR(__xludf.DUMMYFUNCTION("""COMPUTED_VALUE"""),"")</f>
        <v/>
      </c>
      <c r="B412" s="56"/>
      <c r="C412" s="56"/>
      <c r="D412" s="56"/>
      <c r="E412" s="56"/>
      <c r="F412" s="56"/>
      <c r="G412" s="56"/>
      <c r="H412" s="56"/>
      <c r="I412" s="42"/>
      <c r="J412" s="42"/>
      <c r="K412" s="42"/>
      <c r="L412" s="58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56"/>
      <c r="BG412" s="56"/>
      <c r="BH412" s="56"/>
      <c r="BI412" s="5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</row>
    <row r="413">
      <c r="A413" s="57" t="str">
        <f>IFERROR(__xludf.DUMMYFUNCTION("""COMPUTED_VALUE"""),"")</f>
        <v/>
      </c>
      <c r="B413" s="57"/>
      <c r="C413" s="57"/>
      <c r="D413" s="57"/>
      <c r="E413" s="57"/>
      <c r="F413" s="57"/>
      <c r="G413" s="57"/>
      <c r="H413" s="57"/>
      <c r="I413" s="53"/>
      <c r="J413" s="53"/>
      <c r="K413" s="53"/>
      <c r="L413" s="61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7"/>
      <c r="BG413" s="57"/>
      <c r="BH413" s="57"/>
      <c r="BI413" s="57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</row>
    <row r="414">
      <c r="A414" s="56" t="str">
        <f>IFERROR(__xludf.DUMMYFUNCTION("""COMPUTED_VALUE"""),"")</f>
        <v/>
      </c>
      <c r="B414" s="56"/>
      <c r="C414" s="56"/>
      <c r="D414" s="56"/>
      <c r="E414" s="56"/>
      <c r="F414" s="56"/>
      <c r="G414" s="56"/>
      <c r="H414" s="56"/>
      <c r="I414" s="42"/>
      <c r="J414" s="42"/>
      <c r="K414" s="42"/>
      <c r="L414" s="58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56"/>
      <c r="BG414" s="56"/>
      <c r="BH414" s="56"/>
      <c r="BI414" s="5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</row>
    <row r="415">
      <c r="A415" s="57" t="str">
        <f>IFERROR(__xludf.DUMMYFUNCTION("""COMPUTED_VALUE"""),"")</f>
        <v/>
      </c>
      <c r="B415" s="57"/>
      <c r="C415" s="57"/>
      <c r="D415" s="57"/>
      <c r="E415" s="57"/>
      <c r="F415" s="57"/>
      <c r="G415" s="57"/>
      <c r="H415" s="57"/>
      <c r="I415" s="53"/>
      <c r="J415" s="53"/>
      <c r="K415" s="53"/>
      <c r="L415" s="61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7"/>
      <c r="BG415" s="57"/>
      <c r="BH415" s="57"/>
      <c r="BI415" s="57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</row>
    <row r="416">
      <c r="A416" s="56" t="str">
        <f>IFERROR(__xludf.DUMMYFUNCTION("""COMPUTED_VALUE"""),"")</f>
        <v/>
      </c>
      <c r="B416" s="56"/>
      <c r="C416" s="56"/>
      <c r="D416" s="56"/>
      <c r="E416" s="56"/>
      <c r="F416" s="56"/>
      <c r="G416" s="56"/>
      <c r="H416" s="56"/>
      <c r="I416" s="42"/>
      <c r="J416" s="42"/>
      <c r="K416" s="42"/>
      <c r="L416" s="58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56"/>
      <c r="BG416" s="56"/>
      <c r="BH416" s="56"/>
      <c r="BI416" s="5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</row>
    <row r="417">
      <c r="A417" s="57" t="str">
        <f>IFERROR(__xludf.DUMMYFUNCTION("""COMPUTED_VALUE"""),"")</f>
        <v/>
      </c>
      <c r="B417" s="57"/>
      <c r="C417" s="57"/>
      <c r="D417" s="57"/>
      <c r="E417" s="57"/>
      <c r="F417" s="57"/>
      <c r="G417" s="57"/>
      <c r="H417" s="57"/>
      <c r="I417" s="53"/>
      <c r="J417" s="53"/>
      <c r="K417" s="53"/>
      <c r="L417" s="61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7"/>
      <c r="BG417" s="57"/>
      <c r="BH417" s="57"/>
      <c r="BI417" s="57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</row>
    <row r="418">
      <c r="A418" s="56" t="str">
        <f>IFERROR(__xludf.DUMMYFUNCTION("""COMPUTED_VALUE"""),"")</f>
        <v/>
      </c>
      <c r="B418" s="56"/>
      <c r="C418" s="56"/>
      <c r="D418" s="56"/>
      <c r="E418" s="56"/>
      <c r="F418" s="56"/>
      <c r="G418" s="56"/>
      <c r="H418" s="56"/>
      <c r="I418" s="42"/>
      <c r="J418" s="42"/>
      <c r="K418" s="42"/>
      <c r="L418" s="58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56"/>
      <c r="BG418" s="56"/>
      <c r="BH418" s="56"/>
      <c r="BI418" s="5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</row>
    <row r="419">
      <c r="A419" s="57" t="str">
        <f>IFERROR(__xludf.DUMMYFUNCTION("""COMPUTED_VALUE"""),"")</f>
        <v/>
      </c>
      <c r="B419" s="57"/>
      <c r="C419" s="57"/>
      <c r="D419" s="57"/>
      <c r="E419" s="57"/>
      <c r="F419" s="57"/>
      <c r="G419" s="57"/>
      <c r="H419" s="57"/>
      <c r="I419" s="53"/>
      <c r="J419" s="53"/>
      <c r="K419" s="53"/>
      <c r="L419" s="61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7"/>
      <c r="BG419" s="57"/>
      <c r="BH419" s="57"/>
      <c r="BI419" s="57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</row>
    <row r="420">
      <c r="A420" s="56" t="str">
        <f>IFERROR(__xludf.DUMMYFUNCTION("""COMPUTED_VALUE"""),"")</f>
        <v/>
      </c>
      <c r="B420" s="56"/>
      <c r="C420" s="56"/>
      <c r="D420" s="56"/>
      <c r="E420" s="56"/>
      <c r="F420" s="56"/>
      <c r="G420" s="56"/>
      <c r="H420" s="56"/>
      <c r="I420" s="42"/>
      <c r="J420" s="42"/>
      <c r="K420" s="42"/>
      <c r="L420" s="58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56"/>
      <c r="BG420" s="56"/>
      <c r="BH420" s="56"/>
      <c r="BI420" s="5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</row>
    <row r="421">
      <c r="A421" s="57" t="str">
        <f>IFERROR(__xludf.DUMMYFUNCTION("""COMPUTED_VALUE"""),"")</f>
        <v/>
      </c>
      <c r="B421" s="57"/>
      <c r="C421" s="57"/>
      <c r="D421" s="57"/>
      <c r="E421" s="57"/>
      <c r="F421" s="57"/>
      <c r="G421" s="57"/>
      <c r="H421" s="57"/>
      <c r="I421" s="53"/>
      <c r="J421" s="53"/>
      <c r="K421" s="53"/>
      <c r="L421" s="61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7"/>
      <c r="BG421" s="57"/>
      <c r="BH421" s="57"/>
      <c r="BI421" s="57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</row>
    <row r="422">
      <c r="A422" s="56" t="str">
        <f>IFERROR(__xludf.DUMMYFUNCTION("""COMPUTED_VALUE"""),"")</f>
        <v/>
      </c>
      <c r="B422" s="56"/>
      <c r="C422" s="56"/>
      <c r="D422" s="56"/>
      <c r="E422" s="56"/>
      <c r="F422" s="56"/>
      <c r="G422" s="56"/>
      <c r="H422" s="56"/>
      <c r="I422" s="42"/>
      <c r="J422" s="42"/>
      <c r="K422" s="42"/>
      <c r="L422" s="58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56"/>
      <c r="BG422" s="56"/>
      <c r="BH422" s="56"/>
      <c r="BI422" s="5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</row>
    <row r="423">
      <c r="A423" s="57" t="str">
        <f>IFERROR(__xludf.DUMMYFUNCTION("""COMPUTED_VALUE"""),"")</f>
        <v/>
      </c>
      <c r="B423" s="57"/>
      <c r="C423" s="57"/>
      <c r="D423" s="57"/>
      <c r="E423" s="57"/>
      <c r="F423" s="57"/>
      <c r="G423" s="57"/>
      <c r="H423" s="57"/>
      <c r="I423" s="53"/>
      <c r="J423" s="53"/>
      <c r="K423" s="53"/>
      <c r="L423" s="61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7"/>
      <c r="BG423" s="57"/>
      <c r="BH423" s="57"/>
      <c r="BI423" s="57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</row>
    <row r="424">
      <c r="A424" s="56" t="str">
        <f>IFERROR(__xludf.DUMMYFUNCTION("""COMPUTED_VALUE"""),"")</f>
        <v/>
      </c>
      <c r="B424" s="56"/>
      <c r="C424" s="56"/>
      <c r="D424" s="56"/>
      <c r="E424" s="56"/>
      <c r="F424" s="56"/>
      <c r="G424" s="56"/>
      <c r="H424" s="56"/>
      <c r="I424" s="42"/>
      <c r="J424" s="42"/>
      <c r="K424" s="42"/>
      <c r="L424" s="58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56"/>
      <c r="BG424" s="56"/>
      <c r="BH424" s="56"/>
      <c r="BI424" s="5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</row>
    <row r="425">
      <c r="A425" s="57" t="str">
        <f>IFERROR(__xludf.DUMMYFUNCTION("""COMPUTED_VALUE"""),"")</f>
        <v/>
      </c>
      <c r="B425" s="57"/>
      <c r="C425" s="57"/>
      <c r="D425" s="57"/>
      <c r="E425" s="57"/>
      <c r="F425" s="57"/>
      <c r="G425" s="57"/>
      <c r="H425" s="57"/>
      <c r="I425" s="53"/>
      <c r="J425" s="53"/>
      <c r="K425" s="53"/>
      <c r="L425" s="61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7"/>
      <c r="BG425" s="57"/>
      <c r="BH425" s="57"/>
      <c r="BI425" s="57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</row>
    <row r="426">
      <c r="A426" s="56" t="str">
        <f>IFERROR(__xludf.DUMMYFUNCTION("""COMPUTED_VALUE"""),"")</f>
        <v/>
      </c>
      <c r="B426" s="56"/>
      <c r="C426" s="56"/>
      <c r="D426" s="56"/>
      <c r="E426" s="56"/>
      <c r="F426" s="56"/>
      <c r="G426" s="56"/>
      <c r="H426" s="56"/>
      <c r="I426" s="42"/>
      <c r="J426" s="42"/>
      <c r="K426" s="42"/>
      <c r="L426" s="58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56"/>
      <c r="BG426" s="56"/>
      <c r="BH426" s="56"/>
      <c r="BI426" s="5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</row>
    <row r="427">
      <c r="A427" s="57" t="str">
        <f>IFERROR(__xludf.DUMMYFUNCTION("""COMPUTED_VALUE"""),"")</f>
        <v/>
      </c>
      <c r="B427" s="57"/>
      <c r="C427" s="57"/>
      <c r="D427" s="57"/>
      <c r="E427" s="57"/>
      <c r="F427" s="57"/>
      <c r="G427" s="57"/>
      <c r="H427" s="57"/>
      <c r="I427" s="53"/>
      <c r="J427" s="53"/>
      <c r="K427" s="53"/>
      <c r="L427" s="61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7"/>
      <c r="BG427" s="57"/>
      <c r="BH427" s="57"/>
      <c r="BI427" s="57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</row>
    <row r="428">
      <c r="A428" s="56" t="str">
        <f>IFERROR(__xludf.DUMMYFUNCTION("""COMPUTED_VALUE"""),"")</f>
        <v/>
      </c>
      <c r="B428" s="56"/>
      <c r="C428" s="56"/>
      <c r="D428" s="56"/>
      <c r="E428" s="56"/>
      <c r="F428" s="56"/>
      <c r="G428" s="56"/>
      <c r="H428" s="56"/>
      <c r="I428" s="42"/>
      <c r="J428" s="42"/>
      <c r="K428" s="42"/>
      <c r="L428" s="58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56"/>
      <c r="BG428" s="56"/>
      <c r="BH428" s="56"/>
      <c r="BI428" s="5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</row>
    <row r="429">
      <c r="A429" s="57" t="str">
        <f>IFERROR(__xludf.DUMMYFUNCTION("""COMPUTED_VALUE"""),"")</f>
        <v/>
      </c>
      <c r="B429" s="57"/>
      <c r="C429" s="57"/>
      <c r="D429" s="57"/>
      <c r="E429" s="57"/>
      <c r="F429" s="57"/>
      <c r="G429" s="57"/>
      <c r="H429" s="57"/>
      <c r="I429" s="53"/>
      <c r="J429" s="53"/>
      <c r="K429" s="53"/>
      <c r="L429" s="61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7"/>
      <c r="BG429" s="57"/>
      <c r="BH429" s="57"/>
      <c r="BI429" s="57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56"/>
      <c r="BG430" s="56"/>
      <c r="BH430" s="56"/>
      <c r="BI430" s="5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7"/>
      <c r="BG431" s="57"/>
      <c r="BH431" s="57"/>
      <c r="BI431" s="57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56"/>
      <c r="BG432" s="56"/>
      <c r="BH432" s="56"/>
      <c r="BI432" s="5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7"/>
      <c r="BG433" s="57"/>
      <c r="BH433" s="57"/>
      <c r="BI433" s="57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56"/>
      <c r="BG434" s="56"/>
      <c r="BH434" s="56"/>
      <c r="BI434" s="5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7"/>
      <c r="BG435" s="57"/>
      <c r="BH435" s="57"/>
      <c r="BI435" s="57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56"/>
      <c r="BG436" s="56"/>
      <c r="BH436" s="56"/>
      <c r="BI436" s="5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7"/>
      <c r="BG437" s="57"/>
      <c r="BH437" s="57"/>
      <c r="BI437" s="57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56"/>
      <c r="BG438" s="56"/>
      <c r="BH438" s="56"/>
      <c r="BI438" s="5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7"/>
      <c r="BG439" s="57"/>
      <c r="BH439" s="57"/>
      <c r="BI439" s="57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56"/>
      <c r="BG440" s="56"/>
      <c r="BH440" s="56"/>
      <c r="BI440" s="5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7"/>
      <c r="BG441" s="57"/>
      <c r="BH441" s="57"/>
      <c r="BI441" s="57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56"/>
      <c r="BG442" s="56"/>
      <c r="BH442" s="56"/>
      <c r="BI442" s="5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7"/>
      <c r="BG443" s="57"/>
      <c r="BH443" s="57"/>
      <c r="BI443" s="57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56"/>
      <c r="BG444" s="56"/>
      <c r="BH444" s="56"/>
      <c r="BI444" s="5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</row>
    <row r="708">
      <c r="A708" s="46" t="str">
        <f>IFERROR(__xludf.DUMMYFUNCTION("""COMPUTED_VALUE"""),"")</f>
        <v/>
      </c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</row>
    <row r="709">
      <c r="A709" s="46" t="str">
        <f>IFERROR(__xludf.DUMMYFUNCTION("""COMPUTED_VALUE"""),"")</f>
        <v/>
      </c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</row>
    <row r="710">
      <c r="A710" s="46" t="str">
        <f>IFERROR(__xludf.DUMMYFUNCTION("""COMPUTED_VALUE"""),"")</f>
        <v/>
      </c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</row>
    <row r="711">
      <c r="A711" s="46" t="str">
        <f>IFERROR(__xludf.DUMMYFUNCTION("""COMPUTED_VALUE"""),"")</f>
        <v/>
      </c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</row>
    <row r="712">
      <c r="A712" s="46" t="str">
        <f>IFERROR(__xludf.DUMMYFUNCTION("""COMPUTED_VALUE"""),"")</f>
        <v/>
      </c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</row>
    <row r="713">
      <c r="A713" s="46" t="str">
        <f>IFERROR(__xludf.DUMMYFUNCTION("""COMPUTED_VALUE"""),"")</f>
        <v/>
      </c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</row>
    <row r="714">
      <c r="A714" s="46" t="str">
        <f>IFERROR(__xludf.DUMMYFUNCTION("""COMPUTED_VALUE"""),"")</f>
        <v/>
      </c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</row>
    <row r="715">
      <c r="A715" s="46" t="str">
        <f>IFERROR(__xludf.DUMMYFUNCTION("""COMPUTED_VALUE"""),"")</f>
        <v/>
      </c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</row>
    <row r="716">
      <c r="A716" s="46" t="str">
        <f>IFERROR(__xludf.DUMMYFUNCTION("""COMPUTED_VALUE"""),"")</f>
        <v/>
      </c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</row>
    <row r="717">
      <c r="A717" s="46" t="str">
        <f>IFERROR(__xludf.DUMMYFUNCTION("""COMPUTED_VALUE"""),"")</f>
        <v/>
      </c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</row>
    <row r="718">
      <c r="A718" s="46" t="str">
        <f>IFERROR(__xludf.DUMMYFUNCTION("""COMPUTED_VALUE"""),"")</f>
        <v/>
      </c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</row>
    <row r="719">
      <c r="A719" s="46" t="str">
        <f>IFERROR(__xludf.DUMMYFUNCTION("""COMPUTED_VALUE"""),"")</f>
        <v/>
      </c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</row>
    <row r="720">
      <c r="A720" s="46" t="str">
        <f>IFERROR(__xludf.DUMMYFUNCTION("""COMPUTED_VALUE"""),"")</f>
        <v/>
      </c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</row>
    <row r="721">
      <c r="A721" s="46" t="str">
        <f>IFERROR(__xludf.DUMMYFUNCTION("""COMPUTED_VALUE"""),"")</f>
        <v/>
      </c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</row>
    <row r="722">
      <c r="A722" s="46" t="str">
        <f>IFERROR(__xludf.DUMMYFUNCTION("""COMPUTED_VALUE"""),"")</f>
        <v/>
      </c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</row>
    <row r="723">
      <c r="A723" s="46" t="str">
        <f>IFERROR(__xludf.DUMMYFUNCTION("""COMPUTED_VALUE"""),"")</f>
        <v/>
      </c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</row>
    <row r="724">
      <c r="A724" s="46" t="str">
        <f>IFERROR(__xludf.DUMMYFUNCTION("""COMPUTED_VALUE"""),"")</f>
        <v/>
      </c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</row>
    <row r="725">
      <c r="A725" s="46" t="str">
        <f>IFERROR(__xludf.DUMMYFUNCTION("""COMPUTED_VALUE"""),"")</f>
        <v/>
      </c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</row>
    <row r="726">
      <c r="A726" s="46" t="str">
        <f>IFERROR(__xludf.DUMMYFUNCTION("""COMPUTED_VALUE"""),"")</f>
        <v/>
      </c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</row>
    <row r="727">
      <c r="A727" s="46" t="str">
        <f>IFERROR(__xludf.DUMMYFUNCTION("""COMPUTED_VALUE"""),"")</f>
        <v/>
      </c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62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  <c r="CA1000" s="46"/>
      <c r="CB1000" s="46"/>
      <c r="CC1000" s="46"/>
      <c r="CD1000" s="46"/>
      <c r="CE1000" s="46"/>
      <c r="CF1000" s="46"/>
      <c r="CG1000" s="46"/>
      <c r="CH1000" s="46"/>
      <c r="CI1000" s="46"/>
      <c r="CJ1000" s="4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2" width="35.0"/>
    <col customWidth="1" min="3" max="3" width="10.38"/>
    <col customWidth="1" min="4" max="4" width="7.25"/>
    <col customWidth="1" min="5" max="5" width="6.38"/>
    <col customWidth="1" min="6" max="6" width="7.13"/>
    <col customWidth="1" min="7" max="7" width="18.0"/>
    <col customWidth="1" min="8" max="8" width="32.63"/>
    <col customWidth="1" min="9" max="9" width="26.5"/>
    <col customWidth="1" min="10" max="10" width="93.38"/>
    <col customWidth="1" min="11" max="11" width="15.0"/>
    <col customWidth="1" min="12" max="12" width="9.38"/>
    <col customWidth="1" min="13" max="13" width="8.5"/>
    <col customWidth="1" min="14" max="14" width="12.75"/>
    <col customWidth="1" min="15" max="15" width="11.5"/>
  </cols>
  <sheetData>
    <row r="1" ht="40.5" customHeight="1">
      <c r="A1" s="7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>
      <c r="A2" s="72">
        <f t="shared" ref="A2:A402" si="1">IF(B2="","",ROW(A2)-1)</f>
        <v>1</v>
      </c>
      <c r="B2" s="73" t="str">
        <f>IFERROR(__xludf.DUMMYFUNCTION("SORT(QUERY({import1!B2:BI1000;import2!B2:BI1000;import3!B2:BI1000},""Select Col1,Col2,Col7,Col8,Col9,Col10,Col3,Col4,Col5,Col11,Col54,Col55,Col56,Col57,Col58,Col59,Col60 Where Col7 = 'E' "",""""),4,1)"),"AL IMROTUL KUSNIA")</f>
        <v>AL IMROTUL KUSNIA</v>
      </c>
      <c r="C2" s="74">
        <f>IFERROR(__xludf.DUMMYFUNCTION("""COMPUTED_VALUE"""),2.024070483E9)</f>
        <v>2024070483</v>
      </c>
      <c r="D2" s="72" t="str">
        <f>IFERROR(__xludf.DUMMYFUNCTION("""COMPUTED_VALUE"""),"E")</f>
        <v>E</v>
      </c>
      <c r="E2" s="72" t="str">
        <f>IFERROR(__xludf.DUMMYFUNCTION("""COMPUTED_VALUE"""),"E-2")</f>
        <v>E-2</v>
      </c>
      <c r="F2" s="75">
        <f>IFERROR(__xludf.DUMMYFUNCTION("""COMPUTED_VALUE"""),3.0)</f>
        <v>3</v>
      </c>
      <c r="G2" s="46" t="str">
        <f>IFERROR(__xludf.DUMMYFUNCTION("""COMPUTED_VALUE"""),"3 ULA C PUTRI")</f>
        <v>3 ULA C PUTRI</v>
      </c>
      <c r="H2" s="46" t="str">
        <f>IFERROR(__xludf.DUMMYFUNCTION("""COMPUTED_VALUE"""),"AFIFUDIN")</f>
        <v>AFIFUDIN</v>
      </c>
      <c r="I2" s="46" t="str">
        <f>IFERROR(__xludf.DUMMYFUNCTION("""COMPUTED_VALUE"""),"ROSYIDAH")</f>
        <v>ROSYIDAH</v>
      </c>
      <c r="J2" s="46" t="str">
        <f>IFERROR(__xludf.DUMMYFUNCTION("""COMPUTED_VALUE"""),"NGAYUNG RT 007 RW 002 MADURAN LAMONGAN")</f>
        <v>NGAYUNG RT 007 RW 002 MADURAN LAMONGAN</v>
      </c>
      <c r="K2" s="76" t="str">
        <f>IFERROR(__xludf.DUMMYFUNCTION("""COMPUTED_VALUE"""),"6282330812041")</f>
        <v>6282330812041</v>
      </c>
      <c r="L2" s="77">
        <f>IFERROR(__xludf.DUMMYFUNCTION("""COMPUTED_VALUE"""),2000000.0)</f>
        <v>2000000</v>
      </c>
      <c r="M2" s="77">
        <f>IFERROR(__xludf.DUMMYFUNCTION("""COMPUTED_VALUE"""),0.0)</f>
        <v>0</v>
      </c>
      <c r="N2" s="77">
        <f>IFERROR(__xludf.DUMMYFUNCTION("""COMPUTED_VALUE"""),0.0)</f>
        <v>0</v>
      </c>
      <c r="O2" s="77">
        <f>IFERROR(__xludf.DUMMYFUNCTION("""COMPUTED_VALUE"""),2000000.0)</f>
        <v>2000000</v>
      </c>
      <c r="P2" s="46"/>
      <c r="Q2" s="46"/>
      <c r="R2" s="46"/>
      <c r="S2" s="46"/>
      <c r="T2" s="46"/>
      <c r="U2" s="46"/>
      <c r="V2" s="46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>
        <f t="shared" ref="BJ2:BJ139" si="2">_xlfn.RANK.EQ(O2,$O$2:$O$389,0)+COUNTIF($O$2:O2,O2)-1</f>
        <v>11</v>
      </c>
    </row>
    <row r="3">
      <c r="A3" s="72">
        <f t="shared" si="1"/>
        <v>2</v>
      </c>
      <c r="B3" s="46" t="str">
        <f>IFERROR(__xludf.DUMMYFUNCTION("""COMPUTED_VALUE"""),"ANUGRAH RAFIKHA DEWANI")</f>
        <v>ANUGRAH RAFIKHA DEWANI</v>
      </c>
      <c r="C3" s="74">
        <f>IFERROR(__xludf.DUMMYFUNCTION("""COMPUTED_VALUE"""),2.024070618E9)</f>
        <v>2024070618</v>
      </c>
      <c r="D3" s="72" t="str">
        <f>IFERROR(__xludf.DUMMYFUNCTION("""COMPUTED_VALUE"""),"E")</f>
        <v>E</v>
      </c>
      <c r="E3" s="72" t="str">
        <f>IFERROR(__xludf.DUMMYFUNCTION("""COMPUTED_VALUE"""),"E-2")</f>
        <v>E-2</v>
      </c>
      <c r="F3" s="75">
        <f>IFERROR(__xludf.DUMMYFUNCTION("""COMPUTED_VALUE"""),3.0)</f>
        <v>3</v>
      </c>
      <c r="G3" s="46" t="str">
        <f>IFERROR(__xludf.DUMMYFUNCTION("""COMPUTED_VALUE"""),"3 ULA C PUTRI")</f>
        <v>3 ULA C PUTRI</v>
      </c>
      <c r="H3" s="46" t="str">
        <f>IFERROR(__xludf.DUMMYFUNCTION("""COMPUTED_VALUE"""),"AINUR ROFIQ")</f>
        <v>AINUR ROFIQ</v>
      </c>
      <c r="I3" s="46" t="str">
        <f>IFERROR(__xludf.DUMMYFUNCTION("""COMPUTED_VALUE"""),"MUNAFI'AH")</f>
        <v>MUNAFI'AH</v>
      </c>
      <c r="J3" s="46" t="str">
        <f>IFERROR(__xludf.DUMMYFUNCTION("""COMPUTED_VALUE"""),"BUNGKAWAK TEJOASRI RT 003 RW 004 LAREN LAMONGAN")</f>
        <v>BUNGKAWAK TEJOASRI RT 003 RW 004 LAREN LAMONGAN</v>
      </c>
      <c r="K3" s="76" t="str">
        <f>IFERROR(__xludf.DUMMYFUNCTION("""COMPUTED_VALUE"""),"6281311516716")</f>
        <v>6281311516716</v>
      </c>
      <c r="L3" s="77">
        <f>IFERROR(__xludf.DUMMYFUNCTION("""COMPUTED_VALUE"""),1000000.0)</f>
        <v>1000000</v>
      </c>
      <c r="M3" s="77">
        <f>IFERROR(__xludf.DUMMYFUNCTION("""COMPUTED_VALUE"""),500000.0)</f>
        <v>500000</v>
      </c>
      <c r="N3" s="77">
        <f>IFERROR(__xludf.DUMMYFUNCTION("""COMPUTED_VALUE"""),0.0)</f>
        <v>0</v>
      </c>
      <c r="O3" s="77">
        <f>IFERROR(__xludf.DUMMYFUNCTION("""COMPUTED_VALUE"""),1500000.0)</f>
        <v>1500000</v>
      </c>
      <c r="P3" s="46"/>
      <c r="Q3" s="46"/>
      <c r="R3" s="46"/>
      <c r="S3" s="46"/>
      <c r="T3" s="46"/>
      <c r="U3" s="46"/>
      <c r="V3" s="46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>
        <f t="shared" si="2"/>
        <v>15</v>
      </c>
    </row>
    <row r="4">
      <c r="A4" s="72">
        <f t="shared" si="1"/>
        <v>3</v>
      </c>
      <c r="B4" s="46" t="str">
        <f>IFERROR(__xludf.DUMMYFUNCTION("""COMPUTED_VALUE"""),"AZURO SABILA FAZZA MAULIDAH")</f>
        <v>AZURO SABILA FAZZA MAULIDAH</v>
      </c>
      <c r="C4" s="74">
        <f>IFERROR(__xludf.DUMMYFUNCTION("""COMPUTED_VALUE"""),2.024070573E9)</f>
        <v>2024070573</v>
      </c>
      <c r="D4" s="72" t="str">
        <f>IFERROR(__xludf.DUMMYFUNCTION("""COMPUTED_VALUE"""),"E")</f>
        <v>E</v>
      </c>
      <c r="E4" s="72" t="str">
        <f>IFERROR(__xludf.DUMMYFUNCTION("""COMPUTED_VALUE"""),"E-2")</f>
        <v>E-2</v>
      </c>
      <c r="F4" s="75">
        <f>IFERROR(__xludf.DUMMYFUNCTION("""COMPUTED_VALUE"""),3.0)</f>
        <v>3</v>
      </c>
      <c r="G4" s="46" t="str">
        <f>IFERROR(__xludf.DUMMYFUNCTION("""COMPUTED_VALUE"""),"3 ULA C PUTRI")</f>
        <v>3 ULA C PUTRI</v>
      </c>
      <c r="H4" s="46" t="str">
        <f>IFERROR(__xludf.DUMMYFUNCTION("""COMPUTED_VALUE"""),"KARTONO")</f>
        <v>KARTONO</v>
      </c>
      <c r="I4" s="46" t="str">
        <f>IFERROR(__xludf.DUMMYFUNCTION("""COMPUTED_VALUE"""),"ZUZUN LAILUFAR")</f>
        <v>ZUZUN LAILUFAR</v>
      </c>
      <c r="J4" s="46" t="str">
        <f>IFERROR(__xludf.DUMMYFUNCTION("""COMPUTED_VALUE"""),"GERMAN RT 001 RW 002 SUGIO LAMONGAN")</f>
        <v>GERMAN RT 001 RW 002 SUGIO LAMONGAN</v>
      </c>
      <c r="K4" s="76" t="str">
        <f>IFERROR(__xludf.DUMMYFUNCTION("""COMPUTED_VALUE"""),"6285707564507")</f>
        <v>6285707564507</v>
      </c>
      <c r="L4" s="77">
        <f>IFERROR(__xludf.DUMMYFUNCTION("""COMPUTED_VALUE"""),2000000.0)</f>
        <v>2000000</v>
      </c>
      <c r="M4" s="77">
        <f>IFERROR(__xludf.DUMMYFUNCTION("""COMPUTED_VALUE"""),1000000.0)</f>
        <v>1000000</v>
      </c>
      <c r="N4" s="77">
        <f>IFERROR(__xludf.DUMMYFUNCTION("""COMPUTED_VALUE"""),0.0)</f>
        <v>0</v>
      </c>
      <c r="O4" s="77">
        <f>IFERROR(__xludf.DUMMYFUNCTION("""COMPUTED_VALUE"""),3000000.0)</f>
        <v>3000000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74">
        <f t="shared" si="2"/>
        <v>6</v>
      </c>
    </row>
    <row r="5">
      <c r="A5" s="72">
        <f t="shared" si="1"/>
        <v>4</v>
      </c>
      <c r="B5" s="46" t="str">
        <f>IFERROR(__xludf.DUMMYFUNCTION("""COMPUTED_VALUE"""),"BATRISYIA ALFILZAH")</f>
        <v>BATRISYIA ALFILZAH</v>
      </c>
      <c r="C5" s="74">
        <f>IFERROR(__xludf.DUMMYFUNCTION("""COMPUTED_VALUE"""),2.024070634E9)</f>
        <v>2024070634</v>
      </c>
      <c r="D5" s="72" t="str">
        <f>IFERROR(__xludf.DUMMYFUNCTION("""COMPUTED_VALUE"""),"E")</f>
        <v>E</v>
      </c>
      <c r="E5" s="72" t="str">
        <f>IFERROR(__xludf.DUMMYFUNCTION("""COMPUTED_VALUE"""),"E-2")</f>
        <v>E-2</v>
      </c>
      <c r="F5" s="75">
        <f>IFERROR(__xludf.DUMMYFUNCTION("""COMPUTED_VALUE"""),3.0)</f>
        <v>3</v>
      </c>
      <c r="G5" s="46" t="str">
        <f>IFERROR(__xludf.DUMMYFUNCTION("""COMPUTED_VALUE"""),"3 ULA A PUTRI")</f>
        <v>3 ULA A PUTRI</v>
      </c>
      <c r="H5" s="46" t="str">
        <f>IFERROR(__xludf.DUMMYFUNCTION("""COMPUTED_VALUE"""),"SUYATIN")</f>
        <v>SUYATIN</v>
      </c>
      <c r="I5" s="46" t="str">
        <f>IFERROR(__xludf.DUMMYFUNCTION("""COMPUTED_VALUE"""),"LILIS")</f>
        <v>LILIS</v>
      </c>
      <c r="J5" s="46" t="str">
        <f>IFERROR(__xludf.DUMMYFUNCTION("""COMPUTED_VALUE"""),"KAWISTOLEGI RT 001 RW 001 KARANGGENENG LAMONGAN")</f>
        <v>KAWISTOLEGI RT 001 RW 001 KARANGGENENG LAMONGAN</v>
      </c>
      <c r="K5" s="76" t="str">
        <f>IFERROR(__xludf.DUMMYFUNCTION("""COMPUTED_VALUE"""),"62895801050384")</f>
        <v>62895801050384</v>
      </c>
      <c r="L5" s="77">
        <f>IFERROR(__xludf.DUMMYFUNCTION("""COMPUTED_VALUE"""),500000.0)</f>
        <v>500000</v>
      </c>
      <c r="M5" s="77">
        <f>IFERROR(__xludf.DUMMYFUNCTION("""COMPUTED_VALUE"""),0.0)</f>
        <v>0</v>
      </c>
      <c r="N5" s="77">
        <f>IFERROR(__xludf.DUMMYFUNCTION("""COMPUTED_VALUE"""),0.0)</f>
        <v>0</v>
      </c>
      <c r="O5" s="77">
        <f>IFERROR(__xludf.DUMMYFUNCTION("""COMPUTED_VALUE"""),500000.0)</f>
        <v>500000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74">
        <f t="shared" si="2"/>
        <v>46</v>
      </c>
    </row>
    <row r="6">
      <c r="A6" s="72">
        <f t="shared" si="1"/>
        <v>5</v>
      </c>
      <c r="B6" s="46" t="str">
        <f>IFERROR(__xludf.DUMMYFUNCTION("""COMPUTED_VALUE"""),"DAVINA RATNANDITA")</f>
        <v>DAVINA RATNANDITA</v>
      </c>
      <c r="C6" s="74">
        <f>IFERROR(__xludf.DUMMYFUNCTION("""COMPUTED_VALUE"""),2.024070445E9)</f>
        <v>2024070445</v>
      </c>
      <c r="D6" s="72" t="str">
        <f>IFERROR(__xludf.DUMMYFUNCTION("""COMPUTED_VALUE"""),"E")</f>
        <v>E</v>
      </c>
      <c r="E6" s="72" t="str">
        <f>IFERROR(__xludf.DUMMYFUNCTION("""COMPUTED_VALUE"""),"E-2")</f>
        <v>E-2</v>
      </c>
      <c r="F6" s="75">
        <f>IFERROR(__xludf.DUMMYFUNCTION("""COMPUTED_VALUE"""),3.0)</f>
        <v>3</v>
      </c>
      <c r="G6" s="46" t="str">
        <f>IFERROR(__xludf.DUMMYFUNCTION("""COMPUTED_VALUE"""),"3 ULA A PUTRI")</f>
        <v>3 ULA A PUTRI</v>
      </c>
      <c r="H6" s="46" t="str">
        <f>IFERROR(__xludf.DUMMYFUNCTION("""COMPUTED_VALUE"""),"SYUKRI")</f>
        <v>SYUKRI</v>
      </c>
      <c r="I6" s="46" t="str">
        <f>IFERROR(__xludf.DUMMYFUNCTION("""COMPUTED_VALUE"""),"SUWATUN")</f>
        <v>SUWATUN</v>
      </c>
      <c r="J6" s="46" t="str">
        <f>IFERROR(__xludf.DUMMYFUNCTION("""COMPUTED_VALUE"""),"TEMBOK PENDOWOLIMO RT 002 RW 003 KARANGBINANGUN LAMONGAN")</f>
        <v>TEMBOK PENDOWOLIMO RT 002 RW 003 KARANGBINANGUN LAMONGAN</v>
      </c>
      <c r="K6" s="76" t="str">
        <f>IFERROR(__xludf.DUMMYFUNCTION("""COMPUTED_VALUE"""),"6282131864843")</f>
        <v>6282131864843</v>
      </c>
      <c r="L6" s="77">
        <f>IFERROR(__xludf.DUMMYFUNCTION("""COMPUTED_VALUE"""),0.0)</f>
        <v>0</v>
      </c>
      <c r="M6" s="77">
        <f>IFERROR(__xludf.DUMMYFUNCTION("""COMPUTED_VALUE"""),1000000.0)</f>
        <v>1000000</v>
      </c>
      <c r="N6" s="77">
        <f>IFERROR(__xludf.DUMMYFUNCTION("""COMPUTED_VALUE"""),0.0)</f>
        <v>0</v>
      </c>
      <c r="O6" s="77">
        <f>IFERROR(__xludf.DUMMYFUNCTION("""COMPUTED_VALUE"""),1000000.0)</f>
        <v>1000000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74">
        <f t="shared" si="2"/>
        <v>23</v>
      </c>
    </row>
    <row r="7">
      <c r="A7" s="72">
        <f t="shared" si="1"/>
        <v>6</v>
      </c>
      <c r="B7" s="46" t="str">
        <f>IFERROR(__xludf.DUMMYFUNCTION("""COMPUTED_VALUE"""),"FAIQOTUR RIFDAH AL ABIDAH")</f>
        <v>FAIQOTUR RIFDAH AL ABIDAH</v>
      </c>
      <c r="C7" s="74">
        <f>IFERROR(__xludf.DUMMYFUNCTION("""COMPUTED_VALUE"""),2.024070487E9)</f>
        <v>2024070487</v>
      </c>
      <c r="D7" s="72" t="str">
        <f>IFERROR(__xludf.DUMMYFUNCTION("""COMPUTED_VALUE"""),"E")</f>
        <v>E</v>
      </c>
      <c r="E7" s="72" t="str">
        <f>IFERROR(__xludf.DUMMYFUNCTION("""COMPUTED_VALUE"""),"E-2")</f>
        <v>E-2</v>
      </c>
      <c r="F7" s="75">
        <f>IFERROR(__xludf.DUMMYFUNCTION("""COMPUTED_VALUE"""),3.0)</f>
        <v>3</v>
      </c>
      <c r="G7" s="46" t="str">
        <f>IFERROR(__xludf.DUMMYFUNCTION("""COMPUTED_VALUE"""),"3 ULA B PUTRI")</f>
        <v>3 ULA B PUTRI</v>
      </c>
      <c r="H7" s="46" t="str">
        <f>IFERROR(__xludf.DUMMYFUNCTION("""COMPUTED_VALUE"""),"KHOIRUL ANAM")</f>
        <v>KHOIRUL ANAM</v>
      </c>
      <c r="I7" s="46" t="str">
        <f>IFERROR(__xludf.DUMMYFUNCTION("""COMPUTED_VALUE"""),"CHAMIMAH")</f>
        <v>CHAMIMAH</v>
      </c>
      <c r="J7" s="46" t="str">
        <f>IFERROR(__xludf.DUMMYFUNCTION("""COMPUTED_VALUE"""),"PLOSOSETRO RT 008 RW 002 PUCUK LAMONGAN")</f>
        <v>PLOSOSETRO RT 008 RW 002 PUCUK LAMONGAN</v>
      </c>
      <c r="K7" s="76" t="str">
        <f>IFERROR(__xludf.DUMMYFUNCTION("""COMPUTED_VALUE"""),"6285791612653")</f>
        <v>6285791612653</v>
      </c>
      <c r="L7" s="77">
        <f>IFERROR(__xludf.DUMMYFUNCTION("""COMPUTED_VALUE"""),0.0)</f>
        <v>0</v>
      </c>
      <c r="M7" s="77">
        <f>IFERROR(__xludf.DUMMYFUNCTION("""COMPUTED_VALUE"""),500000.0)</f>
        <v>500000</v>
      </c>
      <c r="N7" s="77">
        <f>IFERROR(__xludf.DUMMYFUNCTION("""COMPUTED_VALUE"""),0.0)</f>
        <v>0</v>
      </c>
      <c r="O7" s="77">
        <f>IFERROR(__xludf.DUMMYFUNCTION("""COMPUTED_VALUE"""),500000.0)</f>
        <v>500000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74">
        <f t="shared" si="2"/>
        <v>47</v>
      </c>
    </row>
    <row r="8">
      <c r="A8" s="72">
        <f t="shared" si="1"/>
        <v>7</v>
      </c>
      <c r="B8" s="46" t="str">
        <f>IFERROR(__xludf.DUMMYFUNCTION("""COMPUTED_VALUE"""),"KHARISYAH NADYATUR ROHMAH")</f>
        <v>KHARISYAH NADYATUR ROHMAH</v>
      </c>
      <c r="C8" s="74">
        <f>IFERROR(__xludf.DUMMYFUNCTION("""COMPUTED_VALUE"""),2.024070635E9)</f>
        <v>2024070635</v>
      </c>
      <c r="D8" s="72" t="str">
        <f>IFERROR(__xludf.DUMMYFUNCTION("""COMPUTED_VALUE"""),"E")</f>
        <v>E</v>
      </c>
      <c r="E8" s="72" t="str">
        <f>IFERROR(__xludf.DUMMYFUNCTION("""COMPUTED_VALUE"""),"E-2")</f>
        <v>E-2</v>
      </c>
      <c r="F8" s="75">
        <f>IFERROR(__xludf.DUMMYFUNCTION("""COMPUTED_VALUE"""),3.0)</f>
        <v>3</v>
      </c>
      <c r="G8" s="46" t="str">
        <f>IFERROR(__xludf.DUMMYFUNCTION("""COMPUTED_VALUE"""),"3 ULA C PUTRI")</f>
        <v>3 ULA C PUTRI</v>
      </c>
      <c r="H8" s="46" t="str">
        <f>IFERROR(__xludf.DUMMYFUNCTION("""COMPUTED_VALUE"""),"LILIS MAHRUSIN")</f>
        <v>LILIS MAHRUSIN</v>
      </c>
      <c r="I8" s="46" t="str">
        <f>IFERROR(__xludf.DUMMYFUNCTION("""COMPUTED_VALUE"""),"NUR AZIZAH ROHMAH")</f>
        <v>NUR AZIZAH ROHMAH</v>
      </c>
      <c r="J8" s="46" t="str">
        <f>IFERROR(__xludf.DUMMYFUNCTION("""COMPUTED_VALUE"""),"DADUNGAN RT 002 RW 004 KALITENGAH LAMONGAN")</f>
        <v>DADUNGAN RT 002 RW 004 KALITENGAH LAMONGAN</v>
      </c>
      <c r="K8" s="76" t="str">
        <f>IFERROR(__xludf.DUMMYFUNCTION("""COMPUTED_VALUE"""),"6285649089570")</f>
        <v>6285649089570</v>
      </c>
      <c r="L8" s="77">
        <f>IFERROR(__xludf.DUMMYFUNCTION("""COMPUTED_VALUE"""),3000000.0)</f>
        <v>3000000</v>
      </c>
      <c r="M8" s="77">
        <f>IFERROR(__xludf.DUMMYFUNCTION("""COMPUTED_VALUE"""),0.0)</f>
        <v>0</v>
      </c>
      <c r="N8" s="77">
        <f>IFERROR(__xludf.DUMMYFUNCTION("""COMPUTED_VALUE"""),0.0)</f>
        <v>0</v>
      </c>
      <c r="O8" s="77">
        <f>IFERROR(__xludf.DUMMYFUNCTION("""COMPUTED_VALUE"""),3000000.0)</f>
        <v>3000000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74">
        <f t="shared" si="2"/>
        <v>7</v>
      </c>
    </row>
    <row r="9">
      <c r="A9" s="72">
        <f t="shared" si="1"/>
        <v>8</v>
      </c>
      <c r="B9" s="46" t="str">
        <f>IFERROR(__xludf.DUMMYFUNCTION("""COMPUTED_VALUE"""),"KHULIATUL MILLAH ELVIANA")</f>
        <v>KHULIATUL MILLAH ELVIANA</v>
      </c>
      <c r="C9" s="74">
        <f>IFERROR(__xludf.DUMMYFUNCTION("""COMPUTED_VALUE"""),2.024070499E9)</f>
        <v>2024070499</v>
      </c>
      <c r="D9" s="72" t="str">
        <f>IFERROR(__xludf.DUMMYFUNCTION("""COMPUTED_VALUE"""),"E")</f>
        <v>E</v>
      </c>
      <c r="E9" s="72" t="str">
        <f>IFERROR(__xludf.DUMMYFUNCTION("""COMPUTED_VALUE"""),"E-2")</f>
        <v>E-2</v>
      </c>
      <c r="F9" s="75">
        <f>IFERROR(__xludf.DUMMYFUNCTION("""COMPUTED_VALUE"""),3.0)</f>
        <v>3</v>
      </c>
      <c r="G9" s="46" t="str">
        <f>IFERROR(__xludf.DUMMYFUNCTION("""COMPUTED_VALUE"""),"3 ULA C PUTRI")</f>
        <v>3 ULA C PUTRI</v>
      </c>
      <c r="H9" s="46" t="str">
        <f>IFERROR(__xludf.DUMMYFUNCTION("""COMPUTED_VALUE"""),"ATTOILLAH")</f>
        <v>ATTOILLAH</v>
      </c>
      <c r="I9" s="46" t="str">
        <f>IFERROR(__xludf.DUMMYFUNCTION("""COMPUTED_VALUE"""),"ZAIDATUL FARIDAH")</f>
        <v>ZAIDATUL FARIDAH</v>
      </c>
      <c r="J9" s="46" t="str">
        <f>IFERROR(__xludf.DUMMYFUNCTION("""COMPUTED_VALUE"""),"PLOSOSETRO RT 004 RW 001 PUCUK LAMONGAN")</f>
        <v>PLOSOSETRO RT 004 RW 001 PUCUK LAMONGAN</v>
      </c>
      <c r="K9" s="76" t="str">
        <f>IFERROR(__xludf.DUMMYFUNCTION("""COMPUTED_VALUE"""),"628523337011")</f>
        <v>628523337011</v>
      </c>
      <c r="L9" s="77">
        <f>IFERROR(__xludf.DUMMYFUNCTION("""COMPUTED_VALUE"""),0.0)</f>
        <v>0</v>
      </c>
      <c r="M9" s="77">
        <f>IFERROR(__xludf.DUMMYFUNCTION("""COMPUTED_VALUE"""),0.0)</f>
        <v>0</v>
      </c>
      <c r="N9" s="77">
        <f>IFERROR(__xludf.DUMMYFUNCTION("""COMPUTED_VALUE"""),0.0)</f>
        <v>0</v>
      </c>
      <c r="O9" s="77">
        <f>IFERROR(__xludf.DUMMYFUNCTION("""COMPUTED_VALUE"""),0.0)</f>
        <v>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74">
        <f t="shared" si="2"/>
        <v>59</v>
      </c>
    </row>
    <row r="10">
      <c r="A10" s="72">
        <f t="shared" si="1"/>
        <v>9</v>
      </c>
      <c r="B10" s="46" t="str">
        <f>IFERROR(__xludf.DUMMYFUNCTION("""COMPUTED_VALUE"""),"NIRMA LAILATUL AIDA")</f>
        <v>NIRMA LAILATUL AIDA</v>
      </c>
      <c r="C10" s="74">
        <f>IFERROR(__xludf.DUMMYFUNCTION("""COMPUTED_VALUE"""),2.024070541E9)</f>
        <v>2024070541</v>
      </c>
      <c r="D10" s="72" t="str">
        <f>IFERROR(__xludf.DUMMYFUNCTION("""COMPUTED_VALUE"""),"E")</f>
        <v>E</v>
      </c>
      <c r="E10" s="72" t="str">
        <f>IFERROR(__xludf.DUMMYFUNCTION("""COMPUTED_VALUE"""),"E-2")</f>
        <v>E-2</v>
      </c>
      <c r="F10" s="75">
        <f>IFERROR(__xludf.DUMMYFUNCTION("""COMPUTED_VALUE"""),3.0)</f>
        <v>3</v>
      </c>
      <c r="G10" s="46" t="str">
        <f>IFERROR(__xludf.DUMMYFUNCTION("""COMPUTED_VALUE"""),"3 ULA A PUTRI")</f>
        <v>3 ULA A PUTRI</v>
      </c>
      <c r="H10" s="46" t="str">
        <f>IFERROR(__xludf.DUMMYFUNCTION("""COMPUTED_VALUE"""),"MAS ASPANDI")</f>
        <v>MAS ASPANDI</v>
      </c>
      <c r="I10" s="46" t="str">
        <f>IFERROR(__xludf.DUMMYFUNCTION("""COMPUTED_VALUE"""),"SITI RIFATIN")</f>
        <v>SITI RIFATIN</v>
      </c>
      <c r="J10" s="46" t="str">
        <f>IFERROR(__xludf.DUMMYFUNCTION("""COMPUTED_VALUE"""),"DAGAN RT 005 RW 001 SOLOKURO LAMONGAN")</f>
        <v>DAGAN RT 005 RW 001 SOLOKURO LAMONGAN</v>
      </c>
      <c r="K10" s="76" t="str">
        <f>IFERROR(__xludf.DUMMYFUNCTION("""COMPUTED_VALUE"""),"6285855714013")</f>
        <v>6285855714013</v>
      </c>
      <c r="L10" s="77">
        <f>IFERROR(__xludf.DUMMYFUNCTION("""COMPUTED_VALUE"""),0.0)</f>
        <v>0</v>
      </c>
      <c r="M10" s="77">
        <f>IFERROR(__xludf.DUMMYFUNCTION("""COMPUTED_VALUE"""),1000000.0)</f>
        <v>1000000</v>
      </c>
      <c r="N10" s="77">
        <f>IFERROR(__xludf.DUMMYFUNCTION("""COMPUTED_VALUE"""),0.0)</f>
        <v>0</v>
      </c>
      <c r="O10" s="77">
        <f>IFERROR(__xludf.DUMMYFUNCTION("""COMPUTED_VALUE"""),1000000.0)</f>
        <v>1000000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74">
        <f t="shared" si="2"/>
        <v>24</v>
      </c>
    </row>
    <row r="11">
      <c r="A11" s="72">
        <f t="shared" si="1"/>
        <v>10</v>
      </c>
      <c r="B11" s="46" t="str">
        <f>IFERROR(__xludf.DUMMYFUNCTION("""COMPUTED_VALUE"""),"NUR AWWALIN AFIDATUSSOFA")</f>
        <v>NUR AWWALIN AFIDATUSSOFA</v>
      </c>
      <c r="C11" s="74">
        <f>IFERROR(__xludf.DUMMYFUNCTION("""COMPUTED_VALUE"""),2.024070518E9)</f>
        <v>2024070518</v>
      </c>
      <c r="D11" s="72" t="str">
        <f>IFERROR(__xludf.DUMMYFUNCTION("""COMPUTED_VALUE"""),"E")</f>
        <v>E</v>
      </c>
      <c r="E11" s="72" t="str">
        <f>IFERROR(__xludf.DUMMYFUNCTION("""COMPUTED_VALUE"""),"E-2")</f>
        <v>E-2</v>
      </c>
      <c r="F11" s="75">
        <f>IFERROR(__xludf.DUMMYFUNCTION("""COMPUTED_VALUE"""),3.0)</f>
        <v>3</v>
      </c>
      <c r="G11" s="46" t="str">
        <f>IFERROR(__xludf.DUMMYFUNCTION("""COMPUTED_VALUE"""),"3 ULA B PUTRI")</f>
        <v>3 ULA B PUTRI</v>
      </c>
      <c r="H11" s="46" t="str">
        <f>IFERROR(__xludf.DUMMYFUNCTION("""COMPUTED_VALUE"""),"MUHAMMAD NURHADI")</f>
        <v>MUHAMMAD NURHADI</v>
      </c>
      <c r="I11" s="46" t="str">
        <f>IFERROR(__xludf.DUMMYFUNCTION("""COMPUTED_VALUE"""),"MUALIYAH")</f>
        <v>MUALIYAH</v>
      </c>
      <c r="J11" s="46" t="str">
        <f>IFERROR(__xludf.DUMMYFUNCTION("""COMPUTED_VALUE"""),"SUNAN AMPEL LATUKAN RT 003 RW 001 KARANGGENENG LAMONGAN")</f>
        <v>SUNAN AMPEL LATUKAN RT 003 RW 001 KARANGGENENG LAMONGAN</v>
      </c>
      <c r="K11" s="76" t="str">
        <f>IFERROR(__xludf.DUMMYFUNCTION("""COMPUTED_VALUE"""),"6285746646918")</f>
        <v>6285746646918</v>
      </c>
      <c r="L11" s="77">
        <f>IFERROR(__xludf.DUMMYFUNCTION("""COMPUTED_VALUE"""),0.0)</f>
        <v>0</v>
      </c>
      <c r="M11" s="77">
        <f>IFERROR(__xludf.DUMMYFUNCTION("""COMPUTED_VALUE"""),500000.0)</f>
        <v>500000</v>
      </c>
      <c r="N11" s="77">
        <f>IFERROR(__xludf.DUMMYFUNCTION("""COMPUTED_VALUE"""),0.0)</f>
        <v>0</v>
      </c>
      <c r="O11" s="77">
        <f>IFERROR(__xludf.DUMMYFUNCTION("""COMPUTED_VALUE"""),500000.0)</f>
        <v>500000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74">
        <f t="shared" si="2"/>
        <v>48</v>
      </c>
    </row>
    <row r="12">
      <c r="A12" s="72">
        <f t="shared" si="1"/>
        <v>11</v>
      </c>
      <c r="B12" s="46" t="str">
        <f>IFERROR(__xludf.DUMMYFUNCTION("""COMPUTED_VALUE"""),"NUR FAZA KAMILA")</f>
        <v>NUR FAZA KAMILA</v>
      </c>
      <c r="C12" s="74">
        <f>IFERROR(__xludf.DUMMYFUNCTION("""COMPUTED_VALUE"""),2.024070467E9)</f>
        <v>2024070467</v>
      </c>
      <c r="D12" s="72" t="str">
        <f>IFERROR(__xludf.DUMMYFUNCTION("""COMPUTED_VALUE"""),"E")</f>
        <v>E</v>
      </c>
      <c r="E12" s="72" t="str">
        <f>IFERROR(__xludf.DUMMYFUNCTION("""COMPUTED_VALUE"""),"E-2")</f>
        <v>E-2</v>
      </c>
      <c r="F12" s="75">
        <f>IFERROR(__xludf.DUMMYFUNCTION("""COMPUTED_VALUE"""),3.0)</f>
        <v>3</v>
      </c>
      <c r="G12" s="46" t="str">
        <f>IFERROR(__xludf.DUMMYFUNCTION("""COMPUTED_VALUE"""),"3 ULA C PUTRI")</f>
        <v>3 ULA C PUTRI</v>
      </c>
      <c r="H12" s="46" t="str">
        <f>IFERROR(__xludf.DUMMYFUNCTION("""COMPUTED_VALUE"""),"AH. ZAINI")</f>
        <v>AH. ZAINI</v>
      </c>
      <c r="I12" s="46" t="str">
        <f>IFERROR(__xludf.DUMMYFUNCTION("""COMPUTED_VALUE"""),"IFFAH FIRDAUSI NUZULA")</f>
        <v>IFFAH FIRDAUSI NUZULA</v>
      </c>
      <c r="J12" s="46" t="str">
        <f>IFERROR(__xludf.DUMMYFUNCTION("""COMPUTED_VALUE"""),"KEMLAGIGEDE RT 012 RW 003 TURI LAMONGAN")</f>
        <v>KEMLAGIGEDE RT 012 RW 003 TURI LAMONGAN</v>
      </c>
      <c r="K12" s="76" t="str">
        <f>IFERROR(__xludf.DUMMYFUNCTION("""COMPUTED_VALUE"""),"6285855700260")</f>
        <v>6285855700260</v>
      </c>
      <c r="L12" s="77">
        <f>IFERROR(__xludf.DUMMYFUNCTION("""COMPUTED_VALUE"""),500000.0)</f>
        <v>500000</v>
      </c>
      <c r="M12" s="77">
        <f>IFERROR(__xludf.DUMMYFUNCTION("""COMPUTED_VALUE"""),1000000.0)</f>
        <v>1000000</v>
      </c>
      <c r="N12" s="77">
        <f>IFERROR(__xludf.DUMMYFUNCTION("""COMPUTED_VALUE"""),0.0)</f>
        <v>0</v>
      </c>
      <c r="O12" s="77">
        <f>IFERROR(__xludf.DUMMYFUNCTION("""COMPUTED_VALUE"""),1500000.0)</f>
        <v>1500000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74">
        <f t="shared" si="2"/>
        <v>16</v>
      </c>
    </row>
    <row r="13">
      <c r="A13" s="72">
        <f t="shared" si="1"/>
        <v>12</v>
      </c>
      <c r="B13" s="46" t="str">
        <f>IFERROR(__xludf.DUMMYFUNCTION("""COMPUTED_VALUE"""),"USWAH EL FAHRUSAZZAM ZAMI")</f>
        <v>USWAH EL FAHRUSAZZAM ZAMI</v>
      </c>
      <c r="C13" s="74">
        <f>IFERROR(__xludf.DUMMYFUNCTION("""COMPUTED_VALUE"""),2.024070574E9)</f>
        <v>2024070574</v>
      </c>
      <c r="D13" s="72" t="str">
        <f>IFERROR(__xludf.DUMMYFUNCTION("""COMPUTED_VALUE"""),"E")</f>
        <v>E</v>
      </c>
      <c r="E13" s="72" t="str">
        <f>IFERROR(__xludf.DUMMYFUNCTION("""COMPUTED_VALUE"""),"E-2")</f>
        <v>E-2</v>
      </c>
      <c r="F13" s="75">
        <f>IFERROR(__xludf.DUMMYFUNCTION("""COMPUTED_VALUE"""),3.0)</f>
        <v>3</v>
      </c>
      <c r="G13" s="46" t="str">
        <f>IFERROR(__xludf.DUMMYFUNCTION("""COMPUTED_VALUE"""),"3 ULA C PUTRI")</f>
        <v>3 ULA C PUTRI</v>
      </c>
      <c r="H13" s="46" t="str">
        <f>IFERROR(__xludf.DUMMYFUNCTION("""COMPUTED_VALUE"""),"SUNAR")</f>
        <v>SUNAR</v>
      </c>
      <c r="I13" s="46" t="str">
        <f>IFERROR(__xludf.DUMMYFUNCTION("""COMPUTED_VALUE"""),"SUMINAH")</f>
        <v>SUMINAH</v>
      </c>
      <c r="J13" s="46" t="str">
        <f>IFERROR(__xludf.DUMMYFUNCTION("""COMPUTED_VALUE"""),"GERMAN RT 001 RW 003 SUGIO LAMONGAN")</f>
        <v>GERMAN RT 001 RW 003 SUGIO LAMONGAN</v>
      </c>
      <c r="K13" s="76" t="str">
        <f>IFERROR(__xludf.DUMMYFUNCTION("""COMPUTED_VALUE"""),"6285854674616")</f>
        <v>6285854674616</v>
      </c>
      <c r="L13" s="77">
        <f>IFERROR(__xludf.DUMMYFUNCTION("""COMPUTED_VALUE"""),3500000.0)</f>
        <v>3500000</v>
      </c>
      <c r="M13" s="77">
        <f>IFERROR(__xludf.DUMMYFUNCTION("""COMPUTED_VALUE"""),1000000.0)</f>
        <v>1000000</v>
      </c>
      <c r="N13" s="77">
        <f>IFERROR(__xludf.DUMMYFUNCTION("""COMPUTED_VALUE"""),350000.0)</f>
        <v>350000</v>
      </c>
      <c r="O13" s="77">
        <f>IFERROR(__xludf.DUMMYFUNCTION("""COMPUTED_VALUE"""),4850000.0)</f>
        <v>4850000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74">
        <f t="shared" si="2"/>
        <v>3</v>
      </c>
    </row>
    <row r="14">
      <c r="A14" s="72">
        <f t="shared" si="1"/>
        <v>13</v>
      </c>
      <c r="B14" s="46" t="str">
        <f>IFERROR(__xludf.DUMMYFUNCTION("""COMPUTED_VALUE"""),"ZAHROTUS TSANI NAJWA")</f>
        <v>ZAHROTUS TSANI NAJWA</v>
      </c>
      <c r="C14" s="74">
        <f>IFERROR(__xludf.DUMMYFUNCTION("""COMPUTED_VALUE"""),2.024070657E9)</f>
        <v>2024070657</v>
      </c>
      <c r="D14" s="72" t="str">
        <f>IFERROR(__xludf.DUMMYFUNCTION("""COMPUTED_VALUE"""),"E")</f>
        <v>E</v>
      </c>
      <c r="E14" s="72" t="str">
        <f>IFERROR(__xludf.DUMMYFUNCTION("""COMPUTED_VALUE"""),"E-2")</f>
        <v>E-2</v>
      </c>
      <c r="F14" s="75">
        <f>IFERROR(__xludf.DUMMYFUNCTION("""COMPUTED_VALUE"""),3.0)</f>
        <v>3</v>
      </c>
      <c r="G14" s="46" t="str">
        <f>IFERROR(__xludf.DUMMYFUNCTION("""COMPUTED_VALUE"""),"3 ULA A PUTRI")</f>
        <v>3 ULA A PUTRI</v>
      </c>
      <c r="H14" s="46" t="str">
        <f>IFERROR(__xludf.DUMMYFUNCTION("""COMPUTED_VALUE"""),"NUR AFIF")</f>
        <v>NUR AFIF</v>
      </c>
      <c r="I14" s="46" t="str">
        <f>IFERROR(__xludf.DUMMYFUNCTION("""COMPUTED_VALUE"""),"SITI KHOTIMAH")</f>
        <v>SITI KHOTIMAH</v>
      </c>
      <c r="J14" s="46" t="str">
        <f>IFERROR(__xludf.DUMMYFUNCTION("""COMPUTED_VALUE"""),"SUMURBER RT 020 RW 007 PANCENG GRESIK")</f>
        <v>SUMURBER RT 020 RW 007 PANCENG GRESIK</v>
      </c>
      <c r="K14" s="76" t="str">
        <f>IFERROR(__xludf.DUMMYFUNCTION("""COMPUTED_VALUE"""),"6285707549890")</f>
        <v>6285707549890</v>
      </c>
      <c r="L14" s="77">
        <f>IFERROR(__xludf.DUMMYFUNCTION("""COMPUTED_VALUE"""),500000.0)</f>
        <v>500000</v>
      </c>
      <c r="M14" s="77">
        <f>IFERROR(__xludf.DUMMYFUNCTION("""COMPUTED_VALUE"""),1000000.0)</f>
        <v>1000000</v>
      </c>
      <c r="N14" s="77">
        <f>IFERROR(__xludf.DUMMYFUNCTION("""COMPUTED_VALUE"""),0.0)</f>
        <v>0</v>
      </c>
      <c r="O14" s="77">
        <f>IFERROR(__xludf.DUMMYFUNCTION("""COMPUTED_VALUE"""),1500000.0)</f>
        <v>1500000</v>
      </c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74">
        <f t="shared" si="2"/>
        <v>17</v>
      </c>
    </row>
    <row r="15">
      <c r="A15" s="72">
        <f t="shared" si="1"/>
        <v>14</v>
      </c>
      <c r="B15" s="46" t="str">
        <f>IFERROR(__xludf.DUMMYFUNCTION("""COMPUTED_VALUE"""),"FANY MUFIDAH SARI")</f>
        <v>FANY MUFIDAH SARI</v>
      </c>
      <c r="C15" s="74">
        <f>IFERROR(__xludf.DUMMYFUNCTION("""COMPUTED_VALUE"""),2.024070329E9)</f>
        <v>2024070329</v>
      </c>
      <c r="D15" s="72" t="str">
        <f>IFERROR(__xludf.DUMMYFUNCTION("""COMPUTED_VALUE"""),"E")</f>
        <v>E</v>
      </c>
      <c r="E15" s="72" t="str">
        <f>IFERROR(__xludf.DUMMYFUNCTION("""COMPUTED_VALUE"""),"E-2")</f>
        <v>E-2</v>
      </c>
      <c r="F15" s="75">
        <f>IFERROR(__xludf.DUMMYFUNCTION("""COMPUTED_VALUE"""),3.0)</f>
        <v>3</v>
      </c>
      <c r="G15" s="46" t="str">
        <f>IFERROR(__xludf.DUMMYFUNCTION("""COMPUTED_VALUE"""),"3 WUSTHO A PUTRI")</f>
        <v>3 WUSTHO A PUTRI</v>
      </c>
      <c r="H15" s="46" t="str">
        <f>IFERROR(__xludf.DUMMYFUNCTION("""COMPUTED_VALUE"""),"FACHRI KHUSAINI NUGYK")</f>
        <v>FACHRI KHUSAINI NUGYK</v>
      </c>
      <c r="I15" s="46" t="str">
        <f>IFERROR(__xludf.DUMMYFUNCTION("""COMPUTED_VALUE"""),"ROJIYAH")</f>
        <v>ROJIYAH</v>
      </c>
      <c r="J15" s="46" t="str">
        <f>IFERROR(__xludf.DUMMYFUNCTION("""COMPUTED_VALUE"""),"SAWO RT 013 RW 007 DUKUN GRESIK")</f>
        <v>SAWO RT 013 RW 007 DUKUN GRESIK</v>
      </c>
      <c r="K15" s="76" t="str">
        <f>IFERROR(__xludf.DUMMYFUNCTION("""COMPUTED_VALUE"""),"6285731554886")</f>
        <v>6285731554886</v>
      </c>
      <c r="L15" s="77">
        <f>IFERROR(__xludf.DUMMYFUNCTION("""COMPUTED_VALUE"""),500000.0)</f>
        <v>500000</v>
      </c>
      <c r="M15" s="77">
        <f>IFERROR(__xludf.DUMMYFUNCTION("""COMPUTED_VALUE"""),1000000.0)</f>
        <v>1000000</v>
      </c>
      <c r="N15" s="77">
        <f>IFERROR(__xludf.DUMMYFUNCTION("""COMPUTED_VALUE"""),0.0)</f>
        <v>0</v>
      </c>
      <c r="O15" s="77">
        <f>IFERROR(__xludf.DUMMYFUNCTION("""COMPUTED_VALUE"""),1500000.0)</f>
        <v>1500000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74">
        <f t="shared" si="2"/>
        <v>18</v>
      </c>
    </row>
    <row r="16">
      <c r="A16" s="72">
        <f t="shared" si="1"/>
        <v>15</v>
      </c>
      <c r="B16" s="46" t="str">
        <f>IFERROR(__xludf.DUMMYFUNCTION("""COMPUTED_VALUE"""),"FATIMAH")</f>
        <v>FATIMAH</v>
      </c>
      <c r="C16" s="74">
        <f>IFERROR(__xludf.DUMMYFUNCTION("""COMPUTED_VALUE"""),2.024070044E9)</f>
        <v>2024070044</v>
      </c>
      <c r="D16" s="72" t="str">
        <f>IFERROR(__xludf.DUMMYFUNCTION("""COMPUTED_VALUE"""),"E")</f>
        <v>E</v>
      </c>
      <c r="E16" s="72" t="str">
        <f>IFERROR(__xludf.DUMMYFUNCTION("""COMPUTED_VALUE"""),"E-2")</f>
        <v>E-2</v>
      </c>
      <c r="F16" s="75">
        <f>IFERROR(__xludf.DUMMYFUNCTION("""COMPUTED_VALUE"""),3.0)</f>
        <v>3</v>
      </c>
      <c r="G16" s="46" t="str">
        <f>IFERROR(__xludf.DUMMYFUNCTION("""COMPUTED_VALUE"""),"3 WUSTHO A PUTRI")</f>
        <v>3 WUSTHO A PUTRI</v>
      </c>
      <c r="H16" s="46" t="str">
        <f>IFERROR(__xludf.DUMMYFUNCTION("""COMPUTED_VALUE"""),"H. USMAN")</f>
        <v>H. USMAN</v>
      </c>
      <c r="I16" s="46" t="str">
        <f>IFERROR(__xludf.DUMMYFUNCTION("""COMPUTED_VALUE"""),"KHOLIDAH")</f>
        <v>KHOLIDAH</v>
      </c>
      <c r="J16" s="46" t="str">
        <f>IFERROR(__xludf.DUMMYFUNCTION("""COMPUTED_VALUE"""),"WANAR RT 004 RW 001 PUCUK LAMONGAN")</f>
        <v>WANAR RT 004 RW 001 PUCUK LAMONGAN</v>
      </c>
      <c r="K16" s="76" t="str">
        <f>IFERROR(__xludf.DUMMYFUNCTION("""COMPUTED_VALUE"""),"6289501850865")</f>
        <v>6289501850865</v>
      </c>
      <c r="L16" s="77">
        <f>IFERROR(__xludf.DUMMYFUNCTION("""COMPUTED_VALUE"""),6210000.0)</f>
        <v>6210000</v>
      </c>
      <c r="M16" s="77">
        <f>IFERROR(__xludf.DUMMYFUNCTION("""COMPUTED_VALUE"""),0.0)</f>
        <v>0</v>
      </c>
      <c r="N16" s="77">
        <f>IFERROR(__xludf.DUMMYFUNCTION("""COMPUTED_VALUE"""),350000.0)</f>
        <v>350000</v>
      </c>
      <c r="O16" s="77">
        <f>IFERROR(__xludf.DUMMYFUNCTION("""COMPUTED_VALUE"""),6560000.0)</f>
        <v>6560000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74">
        <f t="shared" si="2"/>
        <v>2</v>
      </c>
    </row>
    <row r="17">
      <c r="A17" s="72">
        <f t="shared" si="1"/>
        <v>16</v>
      </c>
      <c r="B17" s="46" t="str">
        <f>IFERROR(__xludf.DUMMYFUNCTION("""COMPUTED_VALUE"""),"ATINA AZKAL FUADAH")</f>
        <v>ATINA AZKAL FUADAH</v>
      </c>
      <c r="C17" s="74">
        <f>IFERROR(__xludf.DUMMYFUNCTION("""COMPUTED_VALUE"""),2.024070474E9)</f>
        <v>2024070474</v>
      </c>
      <c r="D17" s="72" t="str">
        <f>IFERROR(__xludf.DUMMYFUNCTION("""COMPUTED_VALUE"""),"E")</f>
        <v>E</v>
      </c>
      <c r="E17" s="72" t="str">
        <f>IFERROR(__xludf.DUMMYFUNCTION("""COMPUTED_VALUE"""),"E-3")</f>
        <v>E-3</v>
      </c>
      <c r="F17" s="75">
        <f>IFERROR(__xludf.DUMMYFUNCTION("""COMPUTED_VALUE"""),3.0)</f>
        <v>3</v>
      </c>
      <c r="G17" s="46" t="str">
        <f>IFERROR(__xludf.DUMMYFUNCTION("""COMPUTED_VALUE"""),"3 ULA B PUTRI")</f>
        <v>3 ULA B PUTRI</v>
      </c>
      <c r="H17" s="46" t="str">
        <f>IFERROR(__xludf.DUMMYFUNCTION("""COMPUTED_VALUE"""),"SHOFIYUDDIN")</f>
        <v>SHOFIYUDDIN</v>
      </c>
      <c r="I17" s="46" t="str">
        <f>IFERROR(__xludf.DUMMYFUNCTION("""COMPUTED_VALUE"""),"KHAULA ANIS")</f>
        <v>KHAULA ANIS</v>
      </c>
      <c r="J17" s="46" t="str">
        <f>IFERROR(__xludf.DUMMYFUNCTION("""COMPUTED_VALUE"""),"NGAYUNG RT 006 RW 002 MADURAN LAMONGAN")</f>
        <v>NGAYUNG RT 006 RW 002 MADURAN LAMONGAN</v>
      </c>
      <c r="K17" s="76" t="str">
        <f>IFERROR(__xludf.DUMMYFUNCTION("""COMPUTED_VALUE"""),"6281554492983")</f>
        <v>6281554492983</v>
      </c>
      <c r="L17" s="77">
        <f>IFERROR(__xludf.DUMMYFUNCTION("""COMPUTED_VALUE"""),500000.0)</f>
        <v>500000</v>
      </c>
      <c r="M17" s="77">
        <f>IFERROR(__xludf.DUMMYFUNCTION("""COMPUTED_VALUE"""),0.0)</f>
        <v>0</v>
      </c>
      <c r="N17" s="77">
        <f>IFERROR(__xludf.DUMMYFUNCTION("""COMPUTED_VALUE"""),0.0)</f>
        <v>0</v>
      </c>
      <c r="O17" s="77">
        <f>IFERROR(__xludf.DUMMYFUNCTION("""COMPUTED_VALUE"""),500000.0)</f>
        <v>500000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74">
        <f t="shared" si="2"/>
        <v>49</v>
      </c>
    </row>
    <row r="18">
      <c r="A18" s="72">
        <f t="shared" si="1"/>
        <v>17</v>
      </c>
      <c r="B18" s="46" t="str">
        <f>IFERROR(__xludf.DUMMYFUNCTION("""COMPUTED_VALUE"""),"ERIN MAULIDIAH")</f>
        <v>ERIN MAULIDIAH</v>
      </c>
      <c r="C18" s="74">
        <f>IFERROR(__xludf.DUMMYFUNCTION("""COMPUTED_VALUE"""),2.024070475E9)</f>
        <v>2024070475</v>
      </c>
      <c r="D18" s="72" t="str">
        <f>IFERROR(__xludf.DUMMYFUNCTION("""COMPUTED_VALUE"""),"E")</f>
        <v>E</v>
      </c>
      <c r="E18" s="72" t="str">
        <f>IFERROR(__xludf.DUMMYFUNCTION("""COMPUTED_VALUE"""),"E-3")</f>
        <v>E-3</v>
      </c>
      <c r="F18" s="75">
        <f>IFERROR(__xludf.DUMMYFUNCTION("""COMPUTED_VALUE"""),3.0)</f>
        <v>3</v>
      </c>
      <c r="G18" s="46" t="str">
        <f>IFERROR(__xludf.DUMMYFUNCTION("""COMPUTED_VALUE"""),"3 ULA B PUTRI")</f>
        <v>3 ULA B PUTRI</v>
      </c>
      <c r="H18" s="46" t="str">
        <f>IFERROR(__xludf.DUMMYFUNCTION("""COMPUTED_VALUE"""),"MUSTAKIM")</f>
        <v>MUSTAKIM</v>
      </c>
      <c r="I18" s="46" t="str">
        <f>IFERROR(__xludf.DUMMYFUNCTION("""COMPUTED_VALUE"""),"ASMAUS SHOFIYANAH")</f>
        <v>ASMAUS SHOFIYANAH</v>
      </c>
      <c r="J18" s="46" t="str">
        <f>IFERROR(__xludf.DUMMYFUNCTION("""COMPUTED_VALUE"""),"NGAYUNG RT 005 RW 002 MADURAN LAMONGAN")</f>
        <v>NGAYUNG RT 005 RW 002 MADURAN LAMONGAN</v>
      </c>
      <c r="K18" s="76" t="str">
        <f>IFERROR(__xludf.DUMMYFUNCTION("""COMPUTED_VALUE"""),"6282233810314")</f>
        <v>6282233810314</v>
      </c>
      <c r="L18" s="77">
        <f>IFERROR(__xludf.DUMMYFUNCTION("""COMPUTED_VALUE"""),0.0)</f>
        <v>0</v>
      </c>
      <c r="M18" s="77">
        <f>IFERROR(__xludf.DUMMYFUNCTION("""COMPUTED_VALUE"""),500000.0)</f>
        <v>500000</v>
      </c>
      <c r="N18" s="77">
        <f>IFERROR(__xludf.DUMMYFUNCTION("""COMPUTED_VALUE"""),0.0)</f>
        <v>0</v>
      </c>
      <c r="O18" s="77">
        <f>IFERROR(__xludf.DUMMYFUNCTION("""COMPUTED_VALUE"""),500000.0)</f>
        <v>500000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74">
        <f t="shared" si="2"/>
        <v>50</v>
      </c>
    </row>
    <row r="19">
      <c r="A19" s="72">
        <f t="shared" si="1"/>
        <v>18</v>
      </c>
      <c r="B19" s="46" t="str">
        <f>IFERROR(__xludf.DUMMYFUNCTION("""COMPUTED_VALUE"""),"FITHRIYATUL MAULIDAH")</f>
        <v>FITHRIYATUL MAULIDAH</v>
      </c>
      <c r="C19" s="74">
        <f>IFERROR(__xludf.DUMMYFUNCTION("""COMPUTED_VALUE"""),2.024070546E9)</f>
        <v>2024070546</v>
      </c>
      <c r="D19" s="72" t="str">
        <f>IFERROR(__xludf.DUMMYFUNCTION("""COMPUTED_VALUE"""),"E")</f>
        <v>E</v>
      </c>
      <c r="E19" s="72" t="str">
        <f>IFERROR(__xludf.DUMMYFUNCTION("""COMPUTED_VALUE"""),"E-3")</f>
        <v>E-3</v>
      </c>
      <c r="F19" s="75">
        <f>IFERROR(__xludf.DUMMYFUNCTION("""COMPUTED_VALUE"""),3.0)</f>
        <v>3</v>
      </c>
      <c r="G19" s="46" t="str">
        <f>IFERROR(__xludf.DUMMYFUNCTION("""COMPUTED_VALUE"""),"3 ULA B PUTRI")</f>
        <v>3 ULA B PUTRI</v>
      </c>
      <c r="H19" s="46" t="str">
        <f>IFERROR(__xludf.DUMMYFUNCTION("""COMPUTED_VALUE"""),"ABDUL ROHIM")</f>
        <v>ABDUL ROHIM</v>
      </c>
      <c r="I19" s="46" t="str">
        <f>IFERROR(__xludf.DUMMYFUNCTION("""COMPUTED_VALUE"""),"MAHWIYAH")</f>
        <v>MAHWIYAH</v>
      </c>
      <c r="J19" s="46" t="str">
        <f>IFERROR(__xludf.DUMMYFUNCTION("""COMPUTED_VALUE"""),"KALIREJO RT 003 RW 002 DUKUN GRESIK")</f>
        <v>KALIREJO RT 003 RW 002 DUKUN GRESIK</v>
      </c>
      <c r="K19" s="76" t="str">
        <f>IFERROR(__xludf.DUMMYFUNCTION("""COMPUTED_VALUE"""),"6282257167881")</f>
        <v>6282257167881</v>
      </c>
      <c r="L19" s="77">
        <f>IFERROR(__xludf.DUMMYFUNCTION("""COMPUTED_VALUE"""),0.0)</f>
        <v>0</v>
      </c>
      <c r="M19" s="77">
        <f>IFERROR(__xludf.DUMMYFUNCTION("""COMPUTED_VALUE"""),0.0)</f>
        <v>0</v>
      </c>
      <c r="N19" s="77">
        <f>IFERROR(__xludf.DUMMYFUNCTION("""COMPUTED_VALUE"""),0.0)</f>
        <v>0</v>
      </c>
      <c r="O19" s="77">
        <f>IFERROR(__xludf.DUMMYFUNCTION("""COMPUTED_VALUE"""),0.0)</f>
        <v>0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74">
        <f t="shared" si="2"/>
        <v>60</v>
      </c>
    </row>
    <row r="20">
      <c r="A20" s="72">
        <f t="shared" si="1"/>
        <v>19</v>
      </c>
      <c r="B20" s="46" t="str">
        <f>IFERROR(__xludf.DUMMYFUNCTION("""COMPUTED_VALUE"""),"HABIBAH AQILAH RAMADHONI")</f>
        <v>HABIBAH AQILAH RAMADHONI</v>
      </c>
      <c r="C20" s="74">
        <f>IFERROR(__xludf.DUMMYFUNCTION("""COMPUTED_VALUE"""),2.024070459E9)</f>
        <v>2024070459</v>
      </c>
      <c r="D20" s="72" t="str">
        <f>IFERROR(__xludf.DUMMYFUNCTION("""COMPUTED_VALUE"""),"E")</f>
        <v>E</v>
      </c>
      <c r="E20" s="72" t="str">
        <f>IFERROR(__xludf.DUMMYFUNCTION("""COMPUTED_VALUE"""),"E-3")</f>
        <v>E-3</v>
      </c>
      <c r="F20" s="75">
        <f>IFERROR(__xludf.DUMMYFUNCTION("""COMPUTED_VALUE"""),3.0)</f>
        <v>3</v>
      </c>
      <c r="G20" s="46" t="str">
        <f>IFERROR(__xludf.DUMMYFUNCTION("""COMPUTED_VALUE"""),"3 ULA C PUTRI")</f>
        <v>3 ULA C PUTRI</v>
      </c>
      <c r="H20" s="46" t="str">
        <f>IFERROR(__xludf.DUMMYFUNCTION("""COMPUTED_VALUE"""),"MOH. HABIBUL QOSIM")</f>
        <v>MOH. HABIBUL QOSIM</v>
      </c>
      <c r="I20" s="46" t="str">
        <f>IFERROR(__xludf.DUMMYFUNCTION("""COMPUTED_VALUE"""),"KHOLIFATUS SA'DIYAH")</f>
        <v>KHOLIFATUS SA'DIYAH</v>
      </c>
      <c r="J20" s="46" t="str">
        <f>IFERROR(__xludf.DUMMYFUNCTION("""COMPUTED_VALUE"""),"PENGANGSALAN RT 002 RW 002 KALITENGAH LAMONGAN")</f>
        <v>PENGANGSALAN RT 002 RW 002 KALITENGAH LAMONGAN</v>
      </c>
      <c r="K20" s="76" t="str">
        <f>IFERROR(__xludf.DUMMYFUNCTION("""COMPUTED_VALUE"""),"6285732806511")</f>
        <v>6285732806511</v>
      </c>
      <c r="L20" s="77">
        <f>IFERROR(__xludf.DUMMYFUNCTION("""COMPUTED_VALUE"""),0.0)</f>
        <v>0</v>
      </c>
      <c r="M20" s="77">
        <f>IFERROR(__xludf.DUMMYFUNCTION("""COMPUTED_VALUE"""),0.0)</f>
        <v>0</v>
      </c>
      <c r="N20" s="77">
        <f>IFERROR(__xludf.DUMMYFUNCTION("""COMPUTED_VALUE"""),0.0)</f>
        <v>0</v>
      </c>
      <c r="O20" s="77">
        <f>IFERROR(__xludf.DUMMYFUNCTION("""COMPUTED_VALUE"""),0.0)</f>
        <v>0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74">
        <f t="shared" si="2"/>
        <v>61</v>
      </c>
    </row>
    <row r="21">
      <c r="A21" s="72">
        <f t="shared" si="1"/>
        <v>20</v>
      </c>
      <c r="B21" s="46" t="str">
        <f>IFERROR(__xludf.DUMMYFUNCTION("""COMPUTED_VALUE"""),"ILHAFAH ARYA NOVRYANI")</f>
        <v>ILHAFAH ARYA NOVRYANI</v>
      </c>
      <c r="C21" s="74">
        <f>IFERROR(__xludf.DUMMYFUNCTION("""COMPUTED_VALUE"""),2.024070617E9)</f>
        <v>2024070617</v>
      </c>
      <c r="D21" s="72" t="str">
        <f>IFERROR(__xludf.DUMMYFUNCTION("""COMPUTED_VALUE"""),"E")</f>
        <v>E</v>
      </c>
      <c r="E21" s="72" t="str">
        <f>IFERROR(__xludf.DUMMYFUNCTION("""COMPUTED_VALUE"""),"E-3")</f>
        <v>E-3</v>
      </c>
      <c r="F21" s="75">
        <f>IFERROR(__xludf.DUMMYFUNCTION("""COMPUTED_VALUE"""),3.0)</f>
        <v>3</v>
      </c>
      <c r="G21" s="46" t="str">
        <f>IFERROR(__xludf.DUMMYFUNCTION("""COMPUTED_VALUE"""),"3 ULA B PUTRI")</f>
        <v>3 ULA B PUTRI</v>
      </c>
      <c r="H21" s="46" t="str">
        <f>IFERROR(__xludf.DUMMYFUNCTION("""COMPUTED_VALUE"""),"KARIONO")</f>
        <v>KARIONO</v>
      </c>
      <c r="I21" s="46" t="str">
        <f>IFERROR(__xludf.DUMMYFUNCTION("""COMPUTED_VALUE"""),"NGATMIATUN")</f>
        <v>NGATMIATUN</v>
      </c>
      <c r="J21" s="46" t="str">
        <f>IFERROR(__xludf.DUMMYFUNCTION("""COMPUTED_VALUE"""),"TEJOASRI RT 003 RW 005 LAREN LAMONGAN")</f>
        <v>TEJOASRI RT 003 RW 005 LAREN LAMONGAN</v>
      </c>
      <c r="K21" s="76" t="str">
        <f>IFERROR(__xludf.DUMMYFUNCTION("""COMPUTED_VALUE"""),"6285735467317")</f>
        <v>6285735467317</v>
      </c>
      <c r="L21" s="77">
        <f>IFERROR(__xludf.DUMMYFUNCTION("""COMPUTED_VALUE"""),1500000.0)</f>
        <v>1500000</v>
      </c>
      <c r="M21" s="77">
        <f>IFERROR(__xludf.DUMMYFUNCTION("""COMPUTED_VALUE"""),1000000.0)</f>
        <v>1000000</v>
      </c>
      <c r="N21" s="77">
        <f>IFERROR(__xludf.DUMMYFUNCTION("""COMPUTED_VALUE"""),0.0)</f>
        <v>0</v>
      </c>
      <c r="O21" s="77">
        <f>IFERROR(__xludf.DUMMYFUNCTION("""COMPUTED_VALUE"""),2500000.0)</f>
        <v>2500000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74">
        <f t="shared" si="2"/>
        <v>10</v>
      </c>
    </row>
    <row r="22">
      <c r="A22" s="72">
        <f t="shared" si="1"/>
        <v>21</v>
      </c>
      <c r="B22" s="46" t="str">
        <f>IFERROR(__xludf.DUMMYFUNCTION("""COMPUTED_VALUE"""),"KEYSHA BRILLYAN FEBIANA")</f>
        <v>KEYSHA BRILLYAN FEBIANA</v>
      </c>
      <c r="C22" s="74">
        <f>IFERROR(__xludf.DUMMYFUNCTION("""COMPUTED_VALUE"""),2.024070513E9)</f>
        <v>2024070513</v>
      </c>
      <c r="D22" s="72" t="str">
        <f>IFERROR(__xludf.DUMMYFUNCTION("""COMPUTED_VALUE"""),"E")</f>
        <v>E</v>
      </c>
      <c r="E22" s="72" t="str">
        <f>IFERROR(__xludf.DUMMYFUNCTION("""COMPUTED_VALUE"""),"E-3")</f>
        <v>E-3</v>
      </c>
      <c r="F22" s="75">
        <f>IFERROR(__xludf.DUMMYFUNCTION("""COMPUTED_VALUE"""),3.0)</f>
        <v>3</v>
      </c>
      <c r="G22" s="46" t="str">
        <f>IFERROR(__xludf.DUMMYFUNCTION("""COMPUTED_VALUE"""),"3 ULA C PUTRI")</f>
        <v>3 ULA C PUTRI</v>
      </c>
      <c r="H22" s="46" t="str">
        <f>IFERROR(__xludf.DUMMYFUNCTION("""COMPUTED_VALUE"""),"SUDJITO")</f>
        <v>SUDJITO</v>
      </c>
      <c r="I22" s="46" t="str">
        <f>IFERROR(__xludf.DUMMYFUNCTION("""COMPUTED_VALUE"""),"SISKA APRILIA")</f>
        <v>SISKA APRILIA</v>
      </c>
      <c r="J22" s="46" t="str">
        <f>IFERROR(__xludf.DUMMYFUNCTION("""COMPUTED_VALUE"""),"PENGANGSALAN RT 001 RW 001 KALITENGAH LAMONGAN")</f>
        <v>PENGANGSALAN RT 001 RW 001 KALITENGAH LAMONGAN</v>
      </c>
      <c r="K22" s="76" t="str">
        <f>IFERROR(__xludf.DUMMYFUNCTION("""COMPUTED_VALUE"""),"628564039966")</f>
        <v>628564039966</v>
      </c>
      <c r="L22" s="77">
        <f>IFERROR(__xludf.DUMMYFUNCTION("""COMPUTED_VALUE"""),0.0)</f>
        <v>0</v>
      </c>
      <c r="M22" s="77">
        <f>IFERROR(__xludf.DUMMYFUNCTION("""COMPUTED_VALUE"""),500000.0)</f>
        <v>500000</v>
      </c>
      <c r="N22" s="77">
        <f>IFERROR(__xludf.DUMMYFUNCTION("""COMPUTED_VALUE"""),0.0)</f>
        <v>0</v>
      </c>
      <c r="O22" s="77">
        <f>IFERROR(__xludf.DUMMYFUNCTION("""COMPUTED_VALUE"""),500000.0)</f>
        <v>500000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74">
        <f t="shared" si="2"/>
        <v>51</v>
      </c>
    </row>
    <row r="23">
      <c r="A23" s="72">
        <f t="shared" si="1"/>
        <v>22</v>
      </c>
      <c r="B23" s="46" t="str">
        <f>IFERROR(__xludf.DUMMYFUNCTION("""COMPUTED_VALUE"""),"KHANSA ZARINA MISBACH")</f>
        <v>KHANSA ZARINA MISBACH</v>
      </c>
      <c r="C23" s="74">
        <f>IFERROR(__xludf.DUMMYFUNCTION("""COMPUTED_VALUE"""),2.024070585E9)</f>
        <v>2024070585</v>
      </c>
      <c r="D23" s="72" t="str">
        <f>IFERROR(__xludf.DUMMYFUNCTION("""COMPUTED_VALUE"""),"E")</f>
        <v>E</v>
      </c>
      <c r="E23" s="72" t="str">
        <f>IFERROR(__xludf.DUMMYFUNCTION("""COMPUTED_VALUE"""),"E-3")</f>
        <v>E-3</v>
      </c>
      <c r="F23" s="75">
        <f>IFERROR(__xludf.DUMMYFUNCTION("""COMPUTED_VALUE"""),3.0)</f>
        <v>3</v>
      </c>
      <c r="G23" s="46" t="str">
        <f>IFERROR(__xludf.DUMMYFUNCTION("""COMPUTED_VALUE"""),"3 ULA A PUTRI")</f>
        <v>3 ULA A PUTRI</v>
      </c>
      <c r="H23" s="46" t="str">
        <f>IFERROR(__xludf.DUMMYFUNCTION("""COMPUTED_VALUE"""),"MISBAKUL MUNIR")</f>
        <v>MISBAKUL MUNIR</v>
      </c>
      <c r="I23" s="46" t="str">
        <f>IFERROR(__xludf.DUMMYFUNCTION("""COMPUTED_VALUE"""),"MASLIHATIN")</f>
        <v>MASLIHATIN</v>
      </c>
      <c r="J23" s="46" t="str">
        <f>IFERROR(__xludf.DUMMYFUNCTION("""COMPUTED_VALUE"""),"BANGERAN RT 003 RW 002 DUKUN GRESIK")</f>
        <v>BANGERAN RT 003 RW 002 DUKUN GRESIK</v>
      </c>
      <c r="K23" s="76" t="str">
        <f>IFERROR(__xludf.DUMMYFUNCTION("""COMPUTED_VALUE"""),"6285784480833")</f>
        <v>6285784480833</v>
      </c>
      <c r="L23" s="77">
        <f>IFERROR(__xludf.DUMMYFUNCTION("""COMPUTED_VALUE"""),0.0)</f>
        <v>0</v>
      </c>
      <c r="M23" s="77">
        <f>IFERROR(__xludf.DUMMYFUNCTION("""COMPUTED_VALUE"""),1000000.0)</f>
        <v>1000000</v>
      </c>
      <c r="N23" s="77">
        <f>IFERROR(__xludf.DUMMYFUNCTION("""COMPUTED_VALUE"""),0.0)</f>
        <v>0</v>
      </c>
      <c r="O23" s="77">
        <f>IFERROR(__xludf.DUMMYFUNCTION("""COMPUTED_VALUE"""),1000000.0)</f>
        <v>1000000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74">
        <f t="shared" si="2"/>
        <v>25</v>
      </c>
    </row>
    <row r="24">
      <c r="A24" s="72">
        <f t="shared" si="1"/>
        <v>23</v>
      </c>
      <c r="B24" s="46" t="str">
        <f>IFERROR(__xludf.DUMMYFUNCTION("""COMPUTED_VALUE"""),"NA`ILAH SINTA NURIYYAH")</f>
        <v>NA`ILAH SINTA NURIYYAH</v>
      </c>
      <c r="C24" s="74">
        <f>IFERROR(__xludf.DUMMYFUNCTION("""COMPUTED_VALUE"""),2.024070581E9)</f>
        <v>2024070581</v>
      </c>
      <c r="D24" s="72" t="str">
        <f>IFERROR(__xludf.DUMMYFUNCTION("""COMPUTED_VALUE"""),"E")</f>
        <v>E</v>
      </c>
      <c r="E24" s="72" t="str">
        <f>IFERROR(__xludf.DUMMYFUNCTION("""COMPUTED_VALUE"""),"E-3")</f>
        <v>E-3</v>
      </c>
      <c r="F24" s="75">
        <f>IFERROR(__xludf.DUMMYFUNCTION("""COMPUTED_VALUE"""),3.0)</f>
        <v>3</v>
      </c>
      <c r="G24" s="46" t="str">
        <f>IFERROR(__xludf.DUMMYFUNCTION("""COMPUTED_VALUE"""),"3 ULA B PUTRI")</f>
        <v>3 ULA B PUTRI</v>
      </c>
      <c r="H24" s="46" t="str">
        <f>IFERROR(__xludf.DUMMYFUNCTION("""COMPUTED_VALUE"""),"MOH. AFIF MN.")</f>
        <v>MOH. AFIF MN.</v>
      </c>
      <c r="I24" s="46" t="str">
        <f>IFERROR(__xludf.DUMMYFUNCTION("""COMPUTED_VALUE"""),"SITI SHOFIYAH")</f>
        <v>SITI SHOFIYAH</v>
      </c>
      <c r="J24" s="46" t="str">
        <f>IFERROR(__xludf.DUMMYFUNCTION("""COMPUTED_VALUE"""),"SUNAN MURIA LATUKAN RT 002 RW 001 KARANGGENENG LAMONGAN")</f>
        <v>SUNAN MURIA LATUKAN RT 002 RW 001 KARANGGENENG LAMONGAN</v>
      </c>
      <c r="K24" s="76" t="str">
        <f>IFERROR(__xludf.DUMMYFUNCTION("""COMPUTED_VALUE"""),"6283135957352")</f>
        <v>6283135957352</v>
      </c>
      <c r="L24" s="77">
        <f>IFERROR(__xludf.DUMMYFUNCTION("""COMPUTED_VALUE"""),0.0)</f>
        <v>0</v>
      </c>
      <c r="M24" s="77">
        <f>IFERROR(__xludf.DUMMYFUNCTION("""COMPUTED_VALUE"""),0.0)</f>
        <v>0</v>
      </c>
      <c r="N24" s="77">
        <f>IFERROR(__xludf.DUMMYFUNCTION("""COMPUTED_VALUE"""),0.0)</f>
        <v>0</v>
      </c>
      <c r="O24" s="77">
        <f>IFERROR(__xludf.DUMMYFUNCTION("""COMPUTED_VALUE"""),0.0)</f>
        <v>0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74">
        <f t="shared" si="2"/>
        <v>62</v>
      </c>
    </row>
    <row r="25">
      <c r="A25" s="72">
        <f t="shared" si="1"/>
        <v>24</v>
      </c>
      <c r="B25" s="46" t="str">
        <f>IFERROR(__xludf.DUMMYFUNCTION("""COMPUTED_VALUE"""),"NAALAT SYAFA`ATUL UDHMA")</f>
        <v>NAALAT SYAFA`ATUL UDHMA</v>
      </c>
      <c r="C25" s="74">
        <f>IFERROR(__xludf.DUMMYFUNCTION("""COMPUTED_VALUE"""),2.024070604E9)</f>
        <v>2024070604</v>
      </c>
      <c r="D25" s="72" t="str">
        <f>IFERROR(__xludf.DUMMYFUNCTION("""COMPUTED_VALUE"""),"E")</f>
        <v>E</v>
      </c>
      <c r="E25" s="72" t="str">
        <f>IFERROR(__xludf.DUMMYFUNCTION("""COMPUTED_VALUE"""),"E-3")</f>
        <v>E-3</v>
      </c>
      <c r="F25" s="75">
        <f>IFERROR(__xludf.DUMMYFUNCTION("""COMPUTED_VALUE"""),3.0)</f>
        <v>3</v>
      </c>
      <c r="G25" s="46" t="str">
        <f>IFERROR(__xludf.DUMMYFUNCTION("""COMPUTED_VALUE"""),"3 ULA A PUTRI")</f>
        <v>3 ULA A PUTRI</v>
      </c>
      <c r="H25" s="46" t="str">
        <f>IFERROR(__xludf.DUMMYFUNCTION("""COMPUTED_VALUE"""),"MUHAMMAD YUSUF JUMHURI")</f>
        <v>MUHAMMAD YUSUF JUMHURI</v>
      </c>
      <c r="I25" s="46" t="str">
        <f>IFERROR(__xludf.DUMMYFUNCTION("""COMPUTED_VALUE"""),"MAFTUHATUL AFLAHAH")</f>
        <v>MAFTUHATUL AFLAHAH</v>
      </c>
      <c r="J25" s="46" t="str">
        <f>IFERROR(__xludf.DUMMYFUNCTION("""COMPUTED_VALUE"""),"BANGERAN RT 006 RW 002 DUKUN GRESIK")</f>
        <v>BANGERAN RT 006 RW 002 DUKUN GRESIK</v>
      </c>
      <c r="K25" s="76" t="str">
        <f>IFERROR(__xludf.DUMMYFUNCTION("""COMPUTED_VALUE"""),"6285749469938")</f>
        <v>6285749469938</v>
      </c>
      <c r="L25" s="77">
        <f>IFERROR(__xludf.DUMMYFUNCTION("""COMPUTED_VALUE"""),0.0)</f>
        <v>0</v>
      </c>
      <c r="M25" s="77">
        <f>IFERROR(__xludf.DUMMYFUNCTION("""COMPUTED_VALUE"""),1000000.0)</f>
        <v>1000000</v>
      </c>
      <c r="N25" s="77">
        <f>IFERROR(__xludf.DUMMYFUNCTION("""COMPUTED_VALUE"""),0.0)</f>
        <v>0</v>
      </c>
      <c r="O25" s="77">
        <f>IFERROR(__xludf.DUMMYFUNCTION("""COMPUTED_VALUE"""),1000000.0)</f>
        <v>1000000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74">
        <f t="shared" si="2"/>
        <v>26</v>
      </c>
    </row>
    <row r="26">
      <c r="A26" s="72">
        <f t="shared" si="1"/>
        <v>25</v>
      </c>
      <c r="B26" s="46" t="str">
        <f>IFERROR(__xludf.DUMMYFUNCTION("""COMPUTED_VALUE"""),"NOUR ALIFATURR DHEA VANESYA")</f>
        <v>NOUR ALIFATURR DHEA VANESYA</v>
      </c>
      <c r="C26" s="74">
        <f>IFERROR(__xludf.DUMMYFUNCTION("""COMPUTED_VALUE"""),2.024070613E9)</f>
        <v>2024070613</v>
      </c>
      <c r="D26" s="72" t="str">
        <f>IFERROR(__xludf.DUMMYFUNCTION("""COMPUTED_VALUE"""),"E")</f>
        <v>E</v>
      </c>
      <c r="E26" s="72" t="str">
        <f>IFERROR(__xludf.DUMMYFUNCTION("""COMPUTED_VALUE"""),"E-3")</f>
        <v>E-3</v>
      </c>
      <c r="F26" s="75">
        <f>IFERROR(__xludf.DUMMYFUNCTION("""COMPUTED_VALUE"""),3.0)</f>
        <v>3</v>
      </c>
      <c r="G26" s="46" t="str">
        <f>IFERROR(__xludf.DUMMYFUNCTION("""COMPUTED_VALUE"""),"3 ULA C PUTRI")</f>
        <v>3 ULA C PUTRI</v>
      </c>
      <c r="H26" s="46" t="str">
        <f>IFERROR(__xludf.DUMMYFUNCTION("""COMPUTED_VALUE"""),"H RADIN")</f>
        <v>H RADIN</v>
      </c>
      <c r="I26" s="46" t="str">
        <f>IFERROR(__xludf.DUMMYFUNCTION("""COMPUTED_VALUE"""),"YUNI")</f>
        <v>YUNI</v>
      </c>
      <c r="J26" s="46" t="str">
        <f>IFERROR(__xludf.DUMMYFUNCTION("""COMPUTED_VALUE"""),"MUMBULAN PENGUMBULANADI  RT 001 RW 004 TIKUNG LAMONGAN")</f>
        <v>MUMBULAN PENGUMBULANADI  RT 001 RW 004 TIKUNG LAMONGAN</v>
      </c>
      <c r="K26" s="76" t="str">
        <f>IFERROR(__xludf.DUMMYFUNCTION("""COMPUTED_VALUE"""),"6285815030873")</f>
        <v>6285815030873</v>
      </c>
      <c r="L26" s="77">
        <f>IFERROR(__xludf.DUMMYFUNCTION("""COMPUTED_VALUE"""),500000.0)</f>
        <v>500000</v>
      </c>
      <c r="M26" s="77">
        <f>IFERROR(__xludf.DUMMYFUNCTION("""COMPUTED_VALUE"""),1000000.0)</f>
        <v>1000000</v>
      </c>
      <c r="N26" s="77">
        <f>IFERROR(__xludf.DUMMYFUNCTION("""COMPUTED_VALUE"""),0.0)</f>
        <v>0</v>
      </c>
      <c r="O26" s="77">
        <f>IFERROR(__xludf.DUMMYFUNCTION("""COMPUTED_VALUE"""),1500000.0)</f>
        <v>1500000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74">
        <f t="shared" si="2"/>
        <v>19</v>
      </c>
    </row>
    <row r="27">
      <c r="A27" s="72">
        <f t="shared" si="1"/>
        <v>26</v>
      </c>
      <c r="B27" s="46" t="str">
        <f>IFERROR(__xludf.DUMMYFUNCTION("""COMPUTED_VALUE"""),"NUR LABIBATUS SHOLIHAH")</f>
        <v>NUR LABIBATUS SHOLIHAH</v>
      </c>
      <c r="C27" s="74">
        <f>IFERROR(__xludf.DUMMYFUNCTION("""COMPUTED_VALUE"""),2.024070568E9)</f>
        <v>2024070568</v>
      </c>
      <c r="D27" s="72" t="str">
        <f>IFERROR(__xludf.DUMMYFUNCTION("""COMPUTED_VALUE"""),"E")</f>
        <v>E</v>
      </c>
      <c r="E27" s="72" t="str">
        <f>IFERROR(__xludf.DUMMYFUNCTION("""COMPUTED_VALUE"""),"E-3")</f>
        <v>E-3</v>
      </c>
      <c r="F27" s="75">
        <f>IFERROR(__xludf.DUMMYFUNCTION("""COMPUTED_VALUE"""),3.0)</f>
        <v>3</v>
      </c>
      <c r="G27" s="46" t="str">
        <f>IFERROR(__xludf.DUMMYFUNCTION("""COMPUTED_VALUE"""),"3 ULA A PUTRI")</f>
        <v>3 ULA A PUTRI</v>
      </c>
      <c r="H27" s="46" t="str">
        <f>IFERROR(__xludf.DUMMYFUNCTION("""COMPUTED_VALUE"""),"ABDUL HADI")</f>
        <v>ABDUL HADI</v>
      </c>
      <c r="I27" s="46" t="str">
        <f>IFERROR(__xludf.DUMMYFUNCTION("""COMPUTED_VALUE"""),"SITI MAIMANAH")</f>
        <v>SITI MAIMANAH</v>
      </c>
      <c r="J27" s="46" t="str">
        <f>IFERROR(__xludf.DUMMYFUNCTION("""COMPUTED_VALUE"""),"TINARO DUKUHAGUNG RT 005 RW 004 TIKUNG LAMONGAN")</f>
        <v>TINARO DUKUHAGUNG RT 005 RW 004 TIKUNG LAMONGAN</v>
      </c>
      <c r="K27" s="76" t="str">
        <f>IFERROR(__xludf.DUMMYFUNCTION("""COMPUTED_VALUE"""),"6285853423327")</f>
        <v>6285853423327</v>
      </c>
      <c r="L27" s="77">
        <f>IFERROR(__xludf.DUMMYFUNCTION("""COMPUTED_VALUE"""),0.0)</f>
        <v>0</v>
      </c>
      <c r="M27" s="77">
        <f>IFERROR(__xludf.DUMMYFUNCTION("""COMPUTED_VALUE"""),1000000.0)</f>
        <v>1000000</v>
      </c>
      <c r="N27" s="77">
        <f>IFERROR(__xludf.DUMMYFUNCTION("""COMPUTED_VALUE"""),0.0)</f>
        <v>0</v>
      </c>
      <c r="O27" s="77">
        <f>IFERROR(__xludf.DUMMYFUNCTION("""COMPUTED_VALUE"""),1000000.0)</f>
        <v>1000000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74">
        <f t="shared" si="2"/>
        <v>27</v>
      </c>
    </row>
    <row r="28">
      <c r="A28" s="72">
        <f t="shared" si="1"/>
        <v>27</v>
      </c>
      <c r="B28" s="46" t="str">
        <f>IFERROR(__xludf.DUMMYFUNCTION("""COMPUTED_VALUE"""),"NURUL IFADATUL HASANAH")</f>
        <v>NURUL IFADATUL HASANAH</v>
      </c>
      <c r="C28" s="74">
        <f>IFERROR(__xludf.DUMMYFUNCTION("""COMPUTED_VALUE"""),2.024070542E9)</f>
        <v>2024070542</v>
      </c>
      <c r="D28" s="72" t="str">
        <f>IFERROR(__xludf.DUMMYFUNCTION("""COMPUTED_VALUE"""),"E")</f>
        <v>E</v>
      </c>
      <c r="E28" s="72" t="str">
        <f>IFERROR(__xludf.DUMMYFUNCTION("""COMPUTED_VALUE"""),"E-3")</f>
        <v>E-3</v>
      </c>
      <c r="F28" s="75">
        <f>IFERROR(__xludf.DUMMYFUNCTION("""COMPUTED_VALUE"""),3.0)</f>
        <v>3</v>
      </c>
      <c r="G28" s="46" t="str">
        <f>IFERROR(__xludf.DUMMYFUNCTION("""COMPUTED_VALUE"""),"3 ULA B PUTRI")</f>
        <v>3 ULA B PUTRI</v>
      </c>
      <c r="H28" s="46" t="str">
        <f>IFERROR(__xludf.DUMMYFUNCTION("""COMPUTED_VALUE"""),"NUR HASAN")</f>
        <v>NUR HASAN</v>
      </c>
      <c r="I28" s="46" t="str">
        <f>IFERROR(__xludf.DUMMYFUNCTION("""COMPUTED_VALUE"""),"SUTU MUNTASIROH")</f>
        <v>SUTU MUNTASIROH</v>
      </c>
      <c r="J28" s="46" t="str">
        <f>IFERROR(__xludf.DUMMYFUNCTION("""COMPUTED_VALUE"""),"DAGAN RT 005 RW 001 SOLOKURO LAMONGAN")</f>
        <v>DAGAN RT 005 RW 001 SOLOKURO LAMONGAN</v>
      </c>
      <c r="K28" s="76" t="str">
        <f>IFERROR(__xludf.DUMMYFUNCTION("""COMPUTED_VALUE"""),"6282230412303")</f>
        <v>6282230412303</v>
      </c>
      <c r="L28" s="77">
        <f>IFERROR(__xludf.DUMMYFUNCTION("""COMPUTED_VALUE"""),0.0)</f>
        <v>0</v>
      </c>
      <c r="M28" s="77">
        <f>IFERROR(__xludf.DUMMYFUNCTION("""COMPUTED_VALUE"""),1000000.0)</f>
        <v>1000000</v>
      </c>
      <c r="N28" s="77">
        <f>IFERROR(__xludf.DUMMYFUNCTION("""COMPUTED_VALUE"""),0.0)</f>
        <v>0</v>
      </c>
      <c r="O28" s="77">
        <f>IFERROR(__xludf.DUMMYFUNCTION("""COMPUTED_VALUE"""),1000000.0)</f>
        <v>1000000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74">
        <f t="shared" si="2"/>
        <v>28</v>
      </c>
    </row>
    <row r="29">
      <c r="A29" s="72">
        <f t="shared" si="1"/>
        <v>28</v>
      </c>
      <c r="B29" s="46" t="str">
        <f>IFERROR(__xludf.DUMMYFUNCTION("""COMPUTED_VALUE"""),"RAFIQA AZALIANA YUSUF")</f>
        <v>RAFIQA AZALIANA YUSUF</v>
      </c>
      <c r="C29" s="74">
        <f>IFERROR(__xludf.DUMMYFUNCTION("""COMPUTED_VALUE"""),2.024070481E9)</f>
        <v>2024070481</v>
      </c>
      <c r="D29" s="72" t="str">
        <f>IFERROR(__xludf.DUMMYFUNCTION("""COMPUTED_VALUE"""),"E")</f>
        <v>E</v>
      </c>
      <c r="E29" s="72" t="str">
        <f>IFERROR(__xludf.DUMMYFUNCTION("""COMPUTED_VALUE"""),"E-3")</f>
        <v>E-3</v>
      </c>
      <c r="F29" s="75">
        <f>IFERROR(__xludf.DUMMYFUNCTION("""COMPUTED_VALUE"""),3.0)</f>
        <v>3</v>
      </c>
      <c r="G29" s="46" t="str">
        <f>IFERROR(__xludf.DUMMYFUNCTION("""COMPUTED_VALUE"""),"3 ULA A PUTRI")</f>
        <v>3 ULA A PUTRI</v>
      </c>
      <c r="H29" s="46" t="str">
        <f>IFERROR(__xludf.DUMMYFUNCTION("""COMPUTED_VALUE"""),"ANHAR YUSUF")</f>
        <v>ANHAR YUSUF</v>
      </c>
      <c r="I29" s="46" t="str">
        <f>IFERROR(__xludf.DUMMYFUNCTION("""COMPUTED_VALUE"""),"HENIK IRAWATI")</f>
        <v>HENIK IRAWATI</v>
      </c>
      <c r="J29" s="46" t="str">
        <f>IFERROR(__xludf.DUMMYFUNCTION("""COMPUTED_VALUE"""),"JL.SISINGAMANGARAJA LRG. VIRGO NO.4 BESUSU TIMUR RT 001 RW 001 PALU TIMUR PALU")</f>
        <v>JL.SISINGAMANGARAJA LRG. VIRGO NO.4 BESUSU TIMUR RT 001 RW 001 PALU TIMUR PALU</v>
      </c>
      <c r="K29" s="76" t="str">
        <f>IFERROR(__xludf.DUMMYFUNCTION("""COMPUTED_VALUE"""),"6281337240354")</f>
        <v>6281337240354</v>
      </c>
      <c r="L29" s="77">
        <f>IFERROR(__xludf.DUMMYFUNCTION("""COMPUTED_VALUE"""),0.0)</f>
        <v>0</v>
      </c>
      <c r="M29" s="77">
        <f>IFERROR(__xludf.DUMMYFUNCTION("""COMPUTED_VALUE"""),0.0)</f>
        <v>0</v>
      </c>
      <c r="N29" s="77">
        <f>IFERROR(__xludf.DUMMYFUNCTION("""COMPUTED_VALUE"""),0.0)</f>
        <v>0</v>
      </c>
      <c r="O29" s="77">
        <f>IFERROR(__xludf.DUMMYFUNCTION("""COMPUTED_VALUE"""),0.0)</f>
        <v>0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74">
        <f t="shared" si="2"/>
        <v>63</v>
      </c>
    </row>
    <row r="30">
      <c r="A30" s="72">
        <f t="shared" si="1"/>
        <v>29</v>
      </c>
      <c r="B30" s="46" t="str">
        <f>IFERROR(__xludf.DUMMYFUNCTION("""COMPUTED_VALUE"""),"ANGELINA KIBRIYAH SAFITRI")</f>
        <v>ANGELINA KIBRIYAH SAFITRI</v>
      </c>
      <c r="C30" s="74">
        <f>IFERROR(__xludf.DUMMYFUNCTION("""COMPUTED_VALUE"""),2.02407034E9)</f>
        <v>2024070340</v>
      </c>
      <c r="D30" s="72" t="str">
        <f>IFERROR(__xludf.DUMMYFUNCTION("""COMPUTED_VALUE"""),"E")</f>
        <v>E</v>
      </c>
      <c r="E30" s="72" t="str">
        <f>IFERROR(__xludf.DUMMYFUNCTION("""COMPUTED_VALUE"""),"E-3")</f>
        <v>E-3</v>
      </c>
      <c r="F30" s="75">
        <f>IFERROR(__xludf.DUMMYFUNCTION("""COMPUTED_VALUE"""),3.0)</f>
        <v>3</v>
      </c>
      <c r="G30" s="46" t="str">
        <f>IFERROR(__xludf.DUMMYFUNCTION("""COMPUTED_VALUE"""),"3 WUSTHO B PUTRI")</f>
        <v>3 WUSTHO B PUTRI</v>
      </c>
      <c r="H30" s="46" t="str">
        <f>IFERROR(__xludf.DUMMYFUNCTION("""COMPUTED_VALUE"""),"M,UFAIZIN")</f>
        <v>M,UFAIZIN</v>
      </c>
      <c r="I30" s="46" t="str">
        <f>IFERROR(__xludf.DUMMYFUNCTION("""COMPUTED_VALUE"""),"WARDATUL KHUMAIROH")</f>
        <v>WARDATUL KHUMAIROH</v>
      </c>
      <c r="J30" s="46" t="str">
        <f>IFERROR(__xludf.DUMMYFUNCTION("""COMPUTED_VALUE"""),"KETAPANGLOR RT 004 RW 003 UJUNGPANGKAH GRESIK")</f>
        <v>KETAPANGLOR RT 004 RW 003 UJUNGPANGKAH GRESIK</v>
      </c>
      <c r="K30" s="76" t="str">
        <f>IFERROR(__xludf.DUMMYFUNCTION("""COMPUTED_VALUE"""),"6285707549770")</f>
        <v>6285707549770</v>
      </c>
      <c r="L30" s="77">
        <f>IFERROR(__xludf.DUMMYFUNCTION("""COMPUTED_VALUE"""),3000000.0)</f>
        <v>3000000</v>
      </c>
      <c r="M30" s="77">
        <f>IFERROR(__xludf.DUMMYFUNCTION("""COMPUTED_VALUE"""),500000.0)</f>
        <v>500000</v>
      </c>
      <c r="N30" s="77">
        <f>IFERROR(__xludf.DUMMYFUNCTION("""COMPUTED_VALUE"""),0.0)</f>
        <v>0</v>
      </c>
      <c r="O30" s="77">
        <f>IFERROR(__xludf.DUMMYFUNCTION("""COMPUTED_VALUE"""),3500000.0)</f>
        <v>3500000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74">
        <f t="shared" si="2"/>
        <v>4</v>
      </c>
    </row>
    <row r="31">
      <c r="A31" s="72">
        <f t="shared" si="1"/>
        <v>30</v>
      </c>
      <c r="B31" s="46" t="str">
        <f>IFERROR(__xludf.DUMMYFUNCTION("""COMPUTED_VALUE"""),"AULIYAH SYIFA WINARNI")</f>
        <v>AULIYAH SYIFA WINARNI</v>
      </c>
      <c r="C31" s="74">
        <f>IFERROR(__xludf.DUMMYFUNCTION("""COMPUTED_VALUE"""),2.024070188E9)</f>
        <v>2024070188</v>
      </c>
      <c r="D31" s="72" t="str">
        <f>IFERROR(__xludf.DUMMYFUNCTION("""COMPUTED_VALUE"""),"E")</f>
        <v>E</v>
      </c>
      <c r="E31" s="72" t="str">
        <f>IFERROR(__xludf.DUMMYFUNCTION("""COMPUTED_VALUE"""),"E-3")</f>
        <v>E-3</v>
      </c>
      <c r="F31" s="75">
        <f>IFERROR(__xludf.DUMMYFUNCTION("""COMPUTED_VALUE"""),3.0)</f>
        <v>3</v>
      </c>
      <c r="G31" s="46" t="str">
        <f>IFERROR(__xludf.DUMMYFUNCTION("""COMPUTED_VALUE"""),"3 WUSTHO C PUTRI")</f>
        <v>3 WUSTHO C PUTRI</v>
      </c>
      <c r="H31" s="46" t="str">
        <f>IFERROR(__xludf.DUMMYFUNCTION("""COMPUTED_VALUE"""),"ALY KUSWARDIANTONO")</f>
        <v>ALY KUSWARDIANTONO</v>
      </c>
      <c r="I31" s="46" t="str">
        <f>IFERROR(__xludf.DUMMYFUNCTION("""COMPUTED_VALUE"""),"RULLY SYAMSI WINARNI")</f>
        <v>RULLY SYAMSI WINARNI</v>
      </c>
      <c r="J31" s="46" t="str">
        <f>IFERROR(__xludf.DUMMYFUNCTION("""COMPUTED_VALUE"""),"JL. PEMUDA KLOOFKAMP GURABESI RT 001 RW 005 JAYAPURA UTARA JAYAPURA")</f>
        <v>JL. PEMUDA KLOOFKAMP GURABESI RT 001 RW 005 JAYAPURA UTARA JAYAPURA</v>
      </c>
      <c r="K31" s="76" t="str">
        <f>IFERROR(__xludf.DUMMYFUNCTION("""COMPUTED_VALUE"""),"6282248415765")</f>
        <v>6282248415765</v>
      </c>
      <c r="L31" s="77">
        <f>IFERROR(__xludf.DUMMYFUNCTION("""COMPUTED_VALUE"""),0.0)</f>
        <v>0</v>
      </c>
      <c r="M31" s="77">
        <f>IFERROR(__xludf.DUMMYFUNCTION("""COMPUTED_VALUE"""),0.0)</f>
        <v>0</v>
      </c>
      <c r="N31" s="77">
        <f>IFERROR(__xludf.DUMMYFUNCTION("""COMPUTED_VALUE"""),0.0)</f>
        <v>0</v>
      </c>
      <c r="O31" s="77">
        <f>IFERROR(__xludf.DUMMYFUNCTION("""COMPUTED_VALUE"""),0.0)</f>
        <v>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74">
        <f t="shared" si="2"/>
        <v>64</v>
      </c>
    </row>
    <row r="32">
      <c r="A32" s="72">
        <f t="shared" si="1"/>
        <v>31</v>
      </c>
      <c r="B32" s="46" t="str">
        <f>IFERROR(__xludf.DUMMYFUNCTION("""COMPUTED_VALUE"""),"DAVINA NANGSYA AZZAHRAH")</f>
        <v>DAVINA NANGSYA AZZAHRAH</v>
      </c>
      <c r="C32" s="74">
        <f>IFERROR(__xludf.DUMMYFUNCTION("""COMPUTED_VALUE"""),2.024070415E9)</f>
        <v>2024070415</v>
      </c>
      <c r="D32" s="72" t="str">
        <f>IFERROR(__xludf.DUMMYFUNCTION("""COMPUTED_VALUE"""),"E")</f>
        <v>E</v>
      </c>
      <c r="E32" s="72" t="str">
        <f>IFERROR(__xludf.DUMMYFUNCTION("""COMPUTED_VALUE"""),"E-3")</f>
        <v>E-3</v>
      </c>
      <c r="F32" s="75">
        <f>IFERROR(__xludf.DUMMYFUNCTION("""COMPUTED_VALUE"""),3.0)</f>
        <v>3</v>
      </c>
      <c r="G32" s="46" t="str">
        <f>IFERROR(__xludf.DUMMYFUNCTION("""COMPUTED_VALUE"""),"3 WUSTHO A PUTRI")</f>
        <v>3 WUSTHO A PUTRI</v>
      </c>
      <c r="H32" s="46" t="str">
        <f>IFERROR(__xludf.DUMMYFUNCTION("""COMPUTED_VALUE"""),"ANANG")</f>
        <v>ANANG</v>
      </c>
      <c r="I32" s="46" t="str">
        <f>IFERROR(__xludf.DUMMYFUNCTION("""COMPUTED_VALUE"""),"SAFI`AH")</f>
        <v>SAFI`AH</v>
      </c>
      <c r="J32" s="46" t="str">
        <f>IFERROR(__xludf.DUMMYFUNCTION("""COMPUTED_VALUE"""),"RANDUBENER RT 13 RW 2 KEMBANGBAHU LAMONGAN")</f>
        <v>RANDUBENER RT 13 RW 2 KEMBANGBAHU LAMONGAN</v>
      </c>
      <c r="K32" s="76" t="str">
        <f>IFERROR(__xludf.DUMMYFUNCTION("""COMPUTED_VALUE"""),"6289537096560")</f>
        <v>6289537096560</v>
      </c>
      <c r="L32" s="77">
        <f>IFERROR(__xludf.DUMMYFUNCTION("""COMPUTED_VALUE"""),2160000.0)</f>
        <v>2160000</v>
      </c>
      <c r="M32" s="77">
        <f>IFERROR(__xludf.DUMMYFUNCTION("""COMPUTED_VALUE"""),0.0)</f>
        <v>0</v>
      </c>
      <c r="N32" s="77">
        <f>IFERROR(__xludf.DUMMYFUNCTION("""COMPUTED_VALUE"""),350000.0)</f>
        <v>350000</v>
      </c>
      <c r="O32" s="77">
        <f>IFERROR(__xludf.DUMMYFUNCTION("""COMPUTED_VALUE"""),2510000.0)</f>
        <v>2510000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74">
        <f t="shared" si="2"/>
        <v>9</v>
      </c>
    </row>
    <row r="33">
      <c r="A33" s="72">
        <f t="shared" si="1"/>
        <v>32</v>
      </c>
      <c r="B33" s="46" t="str">
        <f>IFERROR(__xludf.DUMMYFUNCTION("""COMPUTED_VALUE"""),"NILLA ADDINIA KHAFSOH")</f>
        <v>NILLA ADDINIA KHAFSOH</v>
      </c>
      <c r="C33" s="74">
        <f>IFERROR(__xludf.DUMMYFUNCTION("""COMPUTED_VALUE"""),2.024070195E9)</f>
        <v>2024070195</v>
      </c>
      <c r="D33" s="72" t="str">
        <f>IFERROR(__xludf.DUMMYFUNCTION("""COMPUTED_VALUE"""),"E")</f>
        <v>E</v>
      </c>
      <c r="E33" s="72" t="str">
        <f>IFERROR(__xludf.DUMMYFUNCTION("""COMPUTED_VALUE"""),"E-3")</f>
        <v>E-3</v>
      </c>
      <c r="F33" s="75">
        <f>IFERROR(__xludf.DUMMYFUNCTION("""COMPUTED_VALUE"""),3.0)</f>
        <v>3</v>
      </c>
      <c r="G33" s="46" t="str">
        <f>IFERROR(__xludf.DUMMYFUNCTION("""COMPUTED_VALUE"""),"3 WUSTHO C PUTRI")</f>
        <v>3 WUSTHO C PUTRI</v>
      </c>
      <c r="H33" s="46" t="str">
        <f>IFERROR(__xludf.DUMMYFUNCTION("""COMPUTED_VALUE"""),"SAIFUL ARIF")</f>
        <v>SAIFUL ARIF</v>
      </c>
      <c r="I33" s="46" t="str">
        <f>IFERROR(__xludf.DUMMYFUNCTION("""COMPUTED_VALUE"""),"NUR HASANAH")</f>
        <v>NUR HASANAH</v>
      </c>
      <c r="J33" s="46" t="str">
        <f>IFERROR(__xludf.DUMMYFUNCTION("""COMPUTED_VALUE"""),"KETAPANG LOR RT 001 RW 002 UJUNGPANGKAH GRESIK")</f>
        <v>KETAPANG LOR RT 001 RW 002 UJUNGPANGKAH GRESIK</v>
      </c>
      <c r="K33" s="76" t="str">
        <f>IFERROR(__xludf.DUMMYFUNCTION("""COMPUTED_VALUE"""),"6285813135311")</f>
        <v>6285813135311</v>
      </c>
      <c r="L33" s="77">
        <f>IFERROR(__xludf.DUMMYFUNCTION("""COMPUTED_VALUE"""),1000000.0)</f>
        <v>1000000</v>
      </c>
      <c r="M33" s="77">
        <f>IFERROR(__xludf.DUMMYFUNCTION("""COMPUTED_VALUE"""),1000000.0)</f>
        <v>1000000</v>
      </c>
      <c r="N33" s="77">
        <f>IFERROR(__xludf.DUMMYFUNCTION("""COMPUTED_VALUE"""),0.0)</f>
        <v>0</v>
      </c>
      <c r="O33" s="77">
        <f>IFERROR(__xludf.DUMMYFUNCTION("""COMPUTED_VALUE"""),2000000.0)</f>
        <v>2000000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74">
        <f t="shared" si="2"/>
        <v>12</v>
      </c>
    </row>
    <row r="34">
      <c r="A34" s="72">
        <f t="shared" si="1"/>
        <v>33</v>
      </c>
      <c r="B34" s="46" t="str">
        <f>IFERROR(__xludf.DUMMYFUNCTION("""COMPUTED_VALUE"""),"AZZAHRA SAYLA RAHMAH")</f>
        <v>AZZAHRA SAYLA RAHMAH</v>
      </c>
      <c r="C34" s="74">
        <f>IFERROR(__xludf.DUMMYFUNCTION("""COMPUTED_VALUE"""),2.025070536E9)</f>
        <v>2025070536</v>
      </c>
      <c r="D34" s="72" t="str">
        <f>IFERROR(__xludf.DUMMYFUNCTION("""COMPUTED_VALUE"""),"E")</f>
        <v>E</v>
      </c>
      <c r="E34" s="72" t="str">
        <f>IFERROR(__xludf.DUMMYFUNCTION("""COMPUTED_VALUE"""),"E-4")</f>
        <v>E-4</v>
      </c>
      <c r="F34" s="75">
        <f>IFERROR(__xludf.DUMMYFUNCTION("""COMPUTED_VALUE"""),2.0)</f>
        <v>2</v>
      </c>
      <c r="G34" s="46" t="str">
        <f>IFERROR(__xludf.DUMMYFUNCTION("""COMPUTED_VALUE"""),"2 ULA A PUTRI")</f>
        <v>2 ULA A PUTRI</v>
      </c>
      <c r="H34" s="46" t="str">
        <f>IFERROR(__xludf.DUMMYFUNCTION("""COMPUTED_VALUE"""),"MISBAKHUL KHOIR")</f>
        <v>MISBAKHUL KHOIR</v>
      </c>
      <c r="I34" s="46" t="str">
        <f>IFERROR(__xludf.DUMMYFUNCTION("""COMPUTED_VALUE"""),"ZAHROTUL HASANAH")</f>
        <v>ZAHROTUL HASANAH</v>
      </c>
      <c r="J34" s="46" t="str">
        <f>IFERROR(__xludf.DUMMYFUNCTION("""COMPUTED_VALUE"""),"DAGAN RT 003 RW 004 SOLOKURO LAMONGAN")</f>
        <v>DAGAN RT 003 RW 004 SOLOKURO LAMONGAN</v>
      </c>
      <c r="K34" s="76" t="str">
        <f>IFERROR(__xludf.DUMMYFUNCTION("""COMPUTED_VALUE"""),"6285706388647")</f>
        <v>6285706388647</v>
      </c>
      <c r="L34" s="77">
        <f>IFERROR(__xludf.DUMMYFUNCTION("""COMPUTED_VALUE"""),0.0)</f>
        <v>0</v>
      </c>
      <c r="M34" s="77">
        <f>IFERROR(__xludf.DUMMYFUNCTION("""COMPUTED_VALUE"""),1000000.0)</f>
        <v>1000000</v>
      </c>
      <c r="N34" s="77">
        <f>IFERROR(__xludf.DUMMYFUNCTION("""COMPUTED_VALUE"""),0.0)</f>
        <v>0</v>
      </c>
      <c r="O34" s="77">
        <f>IFERROR(__xludf.DUMMYFUNCTION("""COMPUTED_VALUE"""),1000000.0)</f>
        <v>1000000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74">
        <f t="shared" si="2"/>
        <v>29</v>
      </c>
    </row>
    <row r="35">
      <c r="A35" s="72">
        <f t="shared" si="1"/>
        <v>34</v>
      </c>
      <c r="B35" s="46" t="str">
        <f>IFERROR(__xludf.DUMMYFUNCTION("""COMPUTED_VALUE"""),"DEEPIKA ATHALIA PRASANTI")</f>
        <v>DEEPIKA ATHALIA PRASANTI</v>
      </c>
      <c r="C35" s="74">
        <f>IFERROR(__xludf.DUMMYFUNCTION("""COMPUTED_VALUE"""),2.025070496E9)</f>
        <v>2025070496</v>
      </c>
      <c r="D35" s="72" t="str">
        <f>IFERROR(__xludf.DUMMYFUNCTION("""COMPUTED_VALUE"""),"E")</f>
        <v>E</v>
      </c>
      <c r="E35" s="72" t="str">
        <f>IFERROR(__xludf.DUMMYFUNCTION("""COMPUTED_VALUE"""),"E-4")</f>
        <v>E-4</v>
      </c>
      <c r="F35" s="75">
        <f>IFERROR(__xludf.DUMMYFUNCTION("""COMPUTED_VALUE"""),2.0)</f>
        <v>2</v>
      </c>
      <c r="G35" s="46" t="str">
        <f>IFERROR(__xludf.DUMMYFUNCTION("""COMPUTED_VALUE"""),"2 ULA A PUTRI")</f>
        <v>2 ULA A PUTRI</v>
      </c>
      <c r="H35" s="46" t="str">
        <f>IFERROR(__xludf.DUMMYFUNCTION("""COMPUTED_VALUE"""),"SUMBER AGUNG")</f>
        <v>SUMBER AGUNG</v>
      </c>
      <c r="I35" s="46" t="str">
        <f>IFERROR(__xludf.DUMMYFUNCTION("""COMPUTED_VALUE"""),"KUSNATUL MARYAM")</f>
        <v>KUSNATUL MARYAM</v>
      </c>
      <c r="J35" s="46" t="str">
        <f>IFERROR(__xludf.DUMMYFUNCTION("""COMPUTED_VALUE"""),"KEDUNGMEGARIH RT 007 RW 002 KEMBANGBAHU LAMONGAN")</f>
        <v>KEDUNGMEGARIH RT 007 RW 002 KEMBANGBAHU LAMONGAN</v>
      </c>
      <c r="K35" s="76" t="str">
        <f>IFERROR(__xludf.DUMMYFUNCTION("""COMPUTED_VALUE"""),"6281235016503")</f>
        <v>6281235016503</v>
      </c>
      <c r="L35" s="77">
        <f>IFERROR(__xludf.DUMMYFUNCTION("""COMPUTED_VALUE"""),0.0)</f>
        <v>0</v>
      </c>
      <c r="M35" s="77">
        <f>IFERROR(__xludf.DUMMYFUNCTION("""COMPUTED_VALUE"""),0.0)</f>
        <v>0</v>
      </c>
      <c r="N35" s="77">
        <f>IFERROR(__xludf.DUMMYFUNCTION("""COMPUTED_VALUE"""),0.0)</f>
        <v>0</v>
      </c>
      <c r="O35" s="77">
        <f>IFERROR(__xludf.DUMMYFUNCTION("""COMPUTED_VALUE"""),0.0)</f>
        <v>0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74">
        <f t="shared" si="2"/>
        <v>65</v>
      </c>
    </row>
    <row r="36">
      <c r="A36" s="72">
        <f t="shared" si="1"/>
        <v>35</v>
      </c>
      <c r="B36" s="46" t="str">
        <f>IFERROR(__xludf.DUMMYFUNCTION("""COMPUTED_VALUE"""),"ELVA FITRIANI FATIKHAH")</f>
        <v>ELVA FITRIANI FATIKHAH</v>
      </c>
      <c r="C36" s="74">
        <f>IFERROR(__xludf.DUMMYFUNCTION("""COMPUTED_VALUE"""),2.025070597E9)</f>
        <v>2025070597</v>
      </c>
      <c r="D36" s="72" t="str">
        <f>IFERROR(__xludf.DUMMYFUNCTION("""COMPUTED_VALUE"""),"E")</f>
        <v>E</v>
      </c>
      <c r="E36" s="72" t="str">
        <f>IFERROR(__xludf.DUMMYFUNCTION("""COMPUTED_VALUE"""),"E-4")</f>
        <v>E-4</v>
      </c>
      <c r="F36" s="75">
        <f>IFERROR(__xludf.DUMMYFUNCTION("""COMPUTED_VALUE"""),2.0)</f>
        <v>2</v>
      </c>
      <c r="G36" s="46" t="str">
        <f>IFERROR(__xludf.DUMMYFUNCTION("""COMPUTED_VALUE"""),"2 ULA B PUTRI")</f>
        <v>2 ULA B PUTRI</v>
      </c>
      <c r="H36" s="46" t="str">
        <f>IFERROR(__xludf.DUMMYFUNCTION("""COMPUTED_VALUE"""),"MA`RUF")</f>
        <v>MA`RUF</v>
      </c>
      <c r="I36" s="46" t="str">
        <f>IFERROR(__xludf.DUMMYFUNCTION("""COMPUTED_VALUE"""),"MAFTUKAH")</f>
        <v>MAFTUKAH</v>
      </c>
      <c r="J36" s="46" t="str">
        <f>IFERROR(__xludf.DUMMYFUNCTION("""COMPUTED_VALUE"""),"NGAMBEG RT 008 RW 002 PUCUK LAMONGAN")</f>
        <v>NGAMBEG RT 008 RW 002 PUCUK LAMONGAN</v>
      </c>
      <c r="K36" s="76" t="str">
        <f>IFERROR(__xludf.DUMMYFUNCTION("""COMPUTED_VALUE"""),"6285755196151")</f>
        <v>6285755196151</v>
      </c>
      <c r="L36" s="77">
        <f>IFERROR(__xludf.DUMMYFUNCTION("""COMPUTED_VALUE"""),0.0)</f>
        <v>0</v>
      </c>
      <c r="M36" s="77">
        <f>IFERROR(__xludf.DUMMYFUNCTION("""COMPUTED_VALUE"""),1000000.0)</f>
        <v>1000000</v>
      </c>
      <c r="N36" s="77">
        <f>IFERROR(__xludf.DUMMYFUNCTION("""COMPUTED_VALUE"""),0.0)</f>
        <v>0</v>
      </c>
      <c r="O36" s="77">
        <f>IFERROR(__xludf.DUMMYFUNCTION("""COMPUTED_VALUE"""),1000000.0)</f>
        <v>1000000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74">
        <f t="shared" si="2"/>
        <v>30</v>
      </c>
    </row>
    <row r="37">
      <c r="A37" s="72">
        <f t="shared" si="1"/>
        <v>36</v>
      </c>
      <c r="B37" s="46" t="str">
        <f>IFERROR(__xludf.DUMMYFUNCTION("""COMPUTED_VALUE"""),"FAJRIYAH NIKMATUS SU`AMAN")</f>
        <v>FAJRIYAH NIKMATUS SU`AMAN</v>
      </c>
      <c r="C37" s="74">
        <f>IFERROR(__xludf.DUMMYFUNCTION("""COMPUTED_VALUE"""),2.025070498E9)</f>
        <v>2025070498</v>
      </c>
      <c r="D37" s="72" t="str">
        <f>IFERROR(__xludf.DUMMYFUNCTION("""COMPUTED_VALUE"""),"E")</f>
        <v>E</v>
      </c>
      <c r="E37" s="72" t="str">
        <f>IFERROR(__xludf.DUMMYFUNCTION("""COMPUTED_VALUE"""),"E-4")</f>
        <v>E-4</v>
      </c>
      <c r="F37" s="75">
        <f>IFERROR(__xludf.DUMMYFUNCTION("""COMPUTED_VALUE"""),2.0)</f>
        <v>2</v>
      </c>
      <c r="G37" s="46" t="str">
        <f>IFERROR(__xludf.DUMMYFUNCTION("""COMPUTED_VALUE"""),"2 ULA B PUTRI")</f>
        <v>2 ULA B PUTRI</v>
      </c>
      <c r="H37" s="46" t="str">
        <f>IFERROR(__xludf.DUMMYFUNCTION("""COMPUTED_VALUE"""),"SUPENO")</f>
        <v>SUPENO</v>
      </c>
      <c r="I37" s="46" t="str">
        <f>IFERROR(__xludf.DUMMYFUNCTION("""COMPUTED_VALUE"""),"AMANAH")</f>
        <v>AMANAH</v>
      </c>
      <c r="J37" s="46" t="str">
        <f>IFERROR(__xludf.DUMMYFUNCTION("""COMPUTED_VALUE"""),"JL. SIDOREJO KEBALANDONO RT 002 RW 003 BABAT LAMONGAN")</f>
        <v>JL. SIDOREJO KEBALANDONO RT 002 RW 003 BABAT LAMONGAN</v>
      </c>
      <c r="K37" s="76" t="str">
        <f>IFERROR(__xludf.DUMMYFUNCTION("""COMPUTED_VALUE"""),"6285792072867")</f>
        <v>6285792072867</v>
      </c>
      <c r="L37" s="77">
        <f>IFERROR(__xludf.DUMMYFUNCTION("""COMPUTED_VALUE"""),0.0)</f>
        <v>0</v>
      </c>
      <c r="M37" s="77">
        <f>IFERROR(__xludf.DUMMYFUNCTION("""COMPUTED_VALUE"""),0.0)</f>
        <v>0</v>
      </c>
      <c r="N37" s="77">
        <f>IFERROR(__xludf.DUMMYFUNCTION("""COMPUTED_VALUE"""),0.0)</f>
        <v>0</v>
      </c>
      <c r="O37" s="77">
        <f>IFERROR(__xludf.DUMMYFUNCTION("""COMPUTED_VALUE"""),0.0)</f>
        <v>0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74">
        <f t="shared" si="2"/>
        <v>66</v>
      </c>
    </row>
    <row r="38">
      <c r="A38" s="72">
        <f t="shared" si="1"/>
        <v>37</v>
      </c>
      <c r="B38" s="46" t="str">
        <f>IFERROR(__xludf.DUMMYFUNCTION("""COMPUTED_VALUE"""),"KAYSYAH AZIZATUS SAADA")</f>
        <v>KAYSYAH AZIZATUS SAADA</v>
      </c>
      <c r="C38" s="74">
        <f>IFERROR(__xludf.DUMMYFUNCTION("""COMPUTED_VALUE"""),2.025070643E9)</f>
        <v>2025070643</v>
      </c>
      <c r="D38" s="72" t="str">
        <f>IFERROR(__xludf.DUMMYFUNCTION("""COMPUTED_VALUE"""),"E")</f>
        <v>E</v>
      </c>
      <c r="E38" s="72" t="str">
        <f>IFERROR(__xludf.DUMMYFUNCTION("""COMPUTED_VALUE"""),"E-4")</f>
        <v>E-4</v>
      </c>
      <c r="F38" s="75">
        <f>IFERROR(__xludf.DUMMYFUNCTION("""COMPUTED_VALUE"""),2.0)</f>
        <v>2</v>
      </c>
      <c r="G38" s="46" t="str">
        <f>IFERROR(__xludf.DUMMYFUNCTION("""COMPUTED_VALUE"""),"2 ULA B PUTRI")</f>
        <v>2 ULA B PUTRI</v>
      </c>
      <c r="H38" s="46" t="str">
        <f>IFERROR(__xludf.DUMMYFUNCTION("""COMPUTED_VALUE"""),"MOHAMAD ZAINUL ARIFIN")</f>
        <v>MOHAMAD ZAINUL ARIFIN</v>
      </c>
      <c r="I38" s="46" t="str">
        <f>IFERROR(__xludf.DUMMYFUNCTION("""COMPUTED_VALUE"""),"SITI ZULAIKAH")</f>
        <v>SITI ZULAIKAH</v>
      </c>
      <c r="J38" s="46" t="str">
        <f>IFERROR(__xludf.DUMMYFUNCTION("""COMPUTED_VALUE"""),"BANGKAL RT 001 RW 003 LAMONGAN LAMONGAN")</f>
        <v>BANGKAL RT 001 RW 003 LAMONGAN LAMONGAN</v>
      </c>
      <c r="K38" s="76" t="str">
        <f>IFERROR(__xludf.DUMMYFUNCTION("""COMPUTED_VALUE"""),"6285784282773")</f>
        <v>6285784282773</v>
      </c>
      <c r="L38" s="77">
        <f>IFERROR(__xludf.DUMMYFUNCTION("""COMPUTED_VALUE"""),0.0)</f>
        <v>0</v>
      </c>
      <c r="M38" s="77">
        <f>IFERROR(__xludf.DUMMYFUNCTION("""COMPUTED_VALUE"""),1000000.0)</f>
        <v>1000000</v>
      </c>
      <c r="N38" s="77">
        <f>IFERROR(__xludf.DUMMYFUNCTION("""COMPUTED_VALUE"""),0.0)</f>
        <v>0</v>
      </c>
      <c r="O38" s="77">
        <f>IFERROR(__xludf.DUMMYFUNCTION("""COMPUTED_VALUE"""),1000000.0)</f>
        <v>1000000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74">
        <f t="shared" si="2"/>
        <v>31</v>
      </c>
    </row>
    <row r="39">
      <c r="A39" s="72">
        <f t="shared" si="1"/>
        <v>38</v>
      </c>
      <c r="B39" s="46" t="str">
        <f>IFERROR(__xludf.DUMMYFUNCTION("""COMPUTED_VALUE"""),"KHANSA ASADEL AL KHAIBAH")</f>
        <v>KHANSA ASADEL AL KHAIBAH</v>
      </c>
      <c r="C39" s="74">
        <f>IFERROR(__xludf.DUMMYFUNCTION("""COMPUTED_VALUE"""),2.025070478E9)</f>
        <v>2025070478</v>
      </c>
      <c r="D39" s="72" t="str">
        <f>IFERROR(__xludf.DUMMYFUNCTION("""COMPUTED_VALUE"""),"E")</f>
        <v>E</v>
      </c>
      <c r="E39" s="72" t="str">
        <f>IFERROR(__xludf.DUMMYFUNCTION("""COMPUTED_VALUE"""),"E-4")</f>
        <v>E-4</v>
      </c>
      <c r="F39" s="75">
        <f>IFERROR(__xludf.DUMMYFUNCTION("""COMPUTED_VALUE"""),2.0)</f>
        <v>2</v>
      </c>
      <c r="G39" s="46" t="str">
        <f>IFERROR(__xludf.DUMMYFUNCTION("""COMPUTED_VALUE"""),"2 ULA A PUTRI")</f>
        <v>2 ULA A PUTRI</v>
      </c>
      <c r="H39" s="46" t="str">
        <f>IFERROR(__xludf.DUMMYFUNCTION("""COMPUTED_VALUE"""),"MUHAMMAD FAJRUDDIN")</f>
        <v>MUHAMMAD FAJRUDDIN</v>
      </c>
      <c r="I39" s="46" t="str">
        <f>IFERROR(__xludf.DUMMYFUNCTION("""COMPUTED_VALUE"""),"FAMILA KARTIKA FITRI ANGGARANI")</f>
        <v>FAMILA KARTIKA FITRI ANGGARANI</v>
      </c>
      <c r="J39" s="46" t="str">
        <f>IFERROR(__xludf.DUMMYFUNCTION("""COMPUTED_VALUE"""),"KALIREJO RT 003 RW 002 DUKUN GRESIK")</f>
        <v>KALIREJO RT 003 RW 002 DUKUN GRESIK</v>
      </c>
      <c r="K39" s="76" t="str">
        <f>IFERROR(__xludf.DUMMYFUNCTION("""COMPUTED_VALUE"""),"6285755176962")</f>
        <v>6285755176962</v>
      </c>
      <c r="L39" s="77">
        <f>IFERROR(__xludf.DUMMYFUNCTION("""COMPUTED_VALUE"""),0.0)</f>
        <v>0</v>
      </c>
      <c r="M39" s="77">
        <f>IFERROR(__xludf.DUMMYFUNCTION("""COMPUTED_VALUE"""),0.0)</f>
        <v>0</v>
      </c>
      <c r="N39" s="77">
        <f>IFERROR(__xludf.DUMMYFUNCTION("""COMPUTED_VALUE"""),0.0)</f>
        <v>0</v>
      </c>
      <c r="O39" s="77">
        <f>IFERROR(__xludf.DUMMYFUNCTION("""COMPUTED_VALUE"""),0.0)</f>
        <v>0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74">
        <f t="shared" si="2"/>
        <v>67</v>
      </c>
    </row>
    <row r="40">
      <c r="A40" s="72">
        <f t="shared" si="1"/>
        <v>39</v>
      </c>
      <c r="B40" s="46" t="str">
        <f>IFERROR(__xludf.DUMMYFUNCTION("""COMPUTED_VALUE"""),"NAILATUS SYIFA`UL HUSNA")</f>
        <v>NAILATUS SYIFA`UL HUSNA</v>
      </c>
      <c r="C40" s="74">
        <f>IFERROR(__xludf.DUMMYFUNCTION("""COMPUTED_VALUE"""),2.025070511E9)</f>
        <v>2025070511</v>
      </c>
      <c r="D40" s="72" t="str">
        <f>IFERROR(__xludf.DUMMYFUNCTION("""COMPUTED_VALUE"""),"E")</f>
        <v>E</v>
      </c>
      <c r="E40" s="72" t="str">
        <f>IFERROR(__xludf.DUMMYFUNCTION("""COMPUTED_VALUE"""),"E-4")</f>
        <v>E-4</v>
      </c>
      <c r="F40" s="75">
        <f>IFERROR(__xludf.DUMMYFUNCTION("""COMPUTED_VALUE"""),2.0)</f>
        <v>2</v>
      </c>
      <c r="G40" s="46" t="str">
        <f>IFERROR(__xludf.DUMMYFUNCTION("""COMPUTED_VALUE"""),"2 ULA A PUTRI")</f>
        <v>2 ULA A PUTRI</v>
      </c>
      <c r="H40" s="46" t="str">
        <f>IFERROR(__xludf.DUMMYFUNCTION("""COMPUTED_VALUE"""),"SUWARNO")</f>
        <v>SUWARNO</v>
      </c>
      <c r="I40" s="46" t="str">
        <f>IFERROR(__xludf.DUMMYFUNCTION("""COMPUTED_VALUE"""),"SRIATUN")</f>
        <v>SRIATUN</v>
      </c>
      <c r="J40" s="46" t="str">
        <f>IFERROR(__xludf.DUMMYFUNCTION("""COMPUTED_VALUE"""),"SIDOREJO PLAOSAN RT 004 RW 003 BABAT LAMONGAN")</f>
        <v>SIDOREJO PLAOSAN RT 004 RW 003 BABAT LAMONGAN</v>
      </c>
      <c r="K40" s="76" t="str">
        <f>IFERROR(__xludf.DUMMYFUNCTION("""COMPUTED_VALUE"""),"6285257244488")</f>
        <v>6285257244488</v>
      </c>
      <c r="L40" s="77">
        <f>IFERROR(__xludf.DUMMYFUNCTION("""COMPUTED_VALUE"""),0.0)</f>
        <v>0</v>
      </c>
      <c r="M40" s="77">
        <f>IFERROR(__xludf.DUMMYFUNCTION("""COMPUTED_VALUE"""),1000000.0)</f>
        <v>1000000</v>
      </c>
      <c r="N40" s="77">
        <f>IFERROR(__xludf.DUMMYFUNCTION("""COMPUTED_VALUE"""),0.0)</f>
        <v>0</v>
      </c>
      <c r="O40" s="77">
        <f>IFERROR(__xludf.DUMMYFUNCTION("""COMPUTED_VALUE"""),1000000.0)</f>
        <v>1000000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74">
        <f t="shared" si="2"/>
        <v>32</v>
      </c>
    </row>
    <row r="41">
      <c r="A41" s="72">
        <f t="shared" si="1"/>
        <v>40</v>
      </c>
      <c r="B41" s="46" t="str">
        <f>IFERROR(__xludf.DUMMYFUNCTION("""COMPUTED_VALUE"""),"NAJWA BILQIS NAFISAH")</f>
        <v>NAJWA BILQIS NAFISAH</v>
      </c>
      <c r="C41" s="74">
        <f>IFERROR(__xludf.DUMMYFUNCTION("""COMPUTED_VALUE"""),2.025070552E9)</f>
        <v>2025070552</v>
      </c>
      <c r="D41" s="72" t="str">
        <f>IFERROR(__xludf.DUMMYFUNCTION("""COMPUTED_VALUE"""),"E")</f>
        <v>E</v>
      </c>
      <c r="E41" s="72" t="str">
        <f>IFERROR(__xludf.DUMMYFUNCTION("""COMPUTED_VALUE"""),"E-4")</f>
        <v>E-4</v>
      </c>
      <c r="F41" s="75">
        <f>IFERROR(__xludf.DUMMYFUNCTION("""COMPUTED_VALUE"""),2.0)</f>
        <v>2</v>
      </c>
      <c r="G41" s="46" t="str">
        <f>IFERROR(__xludf.DUMMYFUNCTION("""COMPUTED_VALUE"""),"2 ULA B PUTRI")</f>
        <v>2 ULA B PUTRI</v>
      </c>
      <c r="H41" s="46" t="str">
        <f>IFERROR(__xludf.DUMMYFUNCTION("""COMPUTED_VALUE"""),"KURNIAWAN DWI SETYONO")</f>
        <v>KURNIAWAN DWI SETYONO</v>
      </c>
      <c r="I41" s="46" t="str">
        <f>IFERROR(__xludf.DUMMYFUNCTION("""COMPUTED_VALUE"""),"ISTICHFARIN CHASANAH")</f>
        <v>ISTICHFARIN CHASANAH</v>
      </c>
      <c r="J41" s="46" t="str">
        <f>IFERROR(__xludf.DUMMYFUNCTION("""COMPUTED_VALUE"""),"JL. SUNAN KALIJOGO GG JAMBU MENTE SUKOREJO RT 001 RW 004 LAMONGAN LAMONGAN")</f>
        <v>JL. SUNAN KALIJOGO GG JAMBU MENTE SUKOREJO RT 001 RW 004 LAMONGAN LAMONGAN</v>
      </c>
      <c r="K41" s="76" t="str">
        <f>IFERROR(__xludf.DUMMYFUNCTION("""COMPUTED_VALUE"""),"6285606769994")</f>
        <v>6285606769994</v>
      </c>
      <c r="L41" s="77">
        <f>IFERROR(__xludf.DUMMYFUNCTION("""COMPUTED_VALUE"""),0.0)</f>
        <v>0</v>
      </c>
      <c r="M41" s="77">
        <f>IFERROR(__xludf.DUMMYFUNCTION("""COMPUTED_VALUE"""),1000000.0)</f>
        <v>1000000</v>
      </c>
      <c r="N41" s="77">
        <f>IFERROR(__xludf.DUMMYFUNCTION("""COMPUTED_VALUE"""),0.0)</f>
        <v>0</v>
      </c>
      <c r="O41" s="77">
        <f>IFERROR(__xludf.DUMMYFUNCTION("""COMPUTED_VALUE"""),1000000.0)</f>
        <v>1000000</v>
      </c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74">
        <f t="shared" si="2"/>
        <v>33</v>
      </c>
    </row>
    <row r="42">
      <c r="A42" s="72">
        <f t="shared" si="1"/>
        <v>41</v>
      </c>
      <c r="B42" s="46" t="str">
        <f>IFERROR(__xludf.DUMMYFUNCTION("""COMPUTED_VALUE"""),"NOVITA PUTRI SALSABILA")</f>
        <v>NOVITA PUTRI SALSABILA</v>
      </c>
      <c r="C42" s="74">
        <f>IFERROR(__xludf.DUMMYFUNCTION("""COMPUTED_VALUE"""),2.025070506E9)</f>
        <v>2025070506</v>
      </c>
      <c r="D42" s="72" t="str">
        <f>IFERROR(__xludf.DUMMYFUNCTION("""COMPUTED_VALUE"""),"E")</f>
        <v>E</v>
      </c>
      <c r="E42" s="72" t="str">
        <f>IFERROR(__xludf.DUMMYFUNCTION("""COMPUTED_VALUE"""),"E-4")</f>
        <v>E-4</v>
      </c>
      <c r="F42" s="75">
        <f>IFERROR(__xludf.DUMMYFUNCTION("""COMPUTED_VALUE"""),2.0)</f>
        <v>2</v>
      </c>
      <c r="G42" s="46" t="str">
        <f>IFERROR(__xludf.DUMMYFUNCTION("""COMPUTED_VALUE"""),"2 ULA A PUTRI")</f>
        <v>2 ULA A PUTRI</v>
      </c>
      <c r="H42" s="46" t="str">
        <f>IFERROR(__xludf.DUMMYFUNCTION("""COMPUTED_VALUE"""),"ILHAM ZAWAWI")</f>
        <v>ILHAM ZAWAWI</v>
      </c>
      <c r="I42" s="46" t="str">
        <f>IFERROR(__xludf.DUMMYFUNCTION("""COMPUTED_VALUE"""),"NURHAYANA")</f>
        <v>NURHAYANA</v>
      </c>
      <c r="J42" s="46" t="str">
        <f>IFERROR(__xludf.DUMMYFUNCTION("""COMPUTED_VALUE"""),"JL. CILANGKAP BARU CILANGKAP RT 004 RW 001 CIPAYUNG JAKARTA TIMUR")</f>
        <v>JL. CILANGKAP BARU CILANGKAP RT 004 RW 001 CIPAYUNG JAKARTA TIMUR</v>
      </c>
      <c r="K42" s="76" t="str">
        <f>IFERROR(__xludf.DUMMYFUNCTION("""COMPUTED_VALUE"""),"6287783842404")</f>
        <v>6287783842404</v>
      </c>
      <c r="L42" s="77">
        <f>IFERROR(__xludf.DUMMYFUNCTION("""COMPUTED_VALUE"""),0.0)</f>
        <v>0</v>
      </c>
      <c r="M42" s="77">
        <f>IFERROR(__xludf.DUMMYFUNCTION("""COMPUTED_VALUE"""),0.0)</f>
        <v>0</v>
      </c>
      <c r="N42" s="77">
        <f>IFERROR(__xludf.DUMMYFUNCTION("""COMPUTED_VALUE"""),0.0)</f>
        <v>0</v>
      </c>
      <c r="O42" s="77">
        <f>IFERROR(__xludf.DUMMYFUNCTION("""COMPUTED_VALUE"""),0.0)</f>
        <v>0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74">
        <f t="shared" si="2"/>
        <v>68</v>
      </c>
    </row>
    <row r="43">
      <c r="A43" s="72">
        <f t="shared" si="1"/>
        <v>42</v>
      </c>
      <c r="B43" s="46" t="str">
        <f>IFERROR(__xludf.DUMMYFUNCTION("""COMPUTED_VALUE"""),"RIZKA ILMA HAQQIYA")</f>
        <v>RIZKA ILMA HAQQIYA</v>
      </c>
      <c r="C43" s="74">
        <f>IFERROR(__xludf.DUMMYFUNCTION("""COMPUTED_VALUE"""),2.025070629E9)</f>
        <v>2025070629</v>
      </c>
      <c r="D43" s="72" t="str">
        <f>IFERROR(__xludf.DUMMYFUNCTION("""COMPUTED_VALUE"""),"E")</f>
        <v>E</v>
      </c>
      <c r="E43" s="72" t="str">
        <f>IFERROR(__xludf.DUMMYFUNCTION("""COMPUTED_VALUE"""),"E-4")</f>
        <v>E-4</v>
      </c>
      <c r="F43" s="75">
        <f>IFERROR(__xludf.DUMMYFUNCTION("""COMPUTED_VALUE"""),2.0)</f>
        <v>2</v>
      </c>
      <c r="G43" s="46" t="str">
        <f>IFERROR(__xludf.DUMMYFUNCTION("""COMPUTED_VALUE"""),"2 ULA A PUTRI")</f>
        <v>2 ULA A PUTRI</v>
      </c>
      <c r="H43" s="46" t="str">
        <f>IFERROR(__xludf.DUMMYFUNCTION("""COMPUTED_VALUE"""),"KHOIRUL ANWAR")</f>
        <v>KHOIRUL ANWAR</v>
      </c>
      <c r="I43" s="46" t="str">
        <f>IFERROR(__xludf.DUMMYFUNCTION("""COMPUTED_VALUE"""),"LAILATUL MUKARROMAH")</f>
        <v>LAILATUL MUKARROMAH</v>
      </c>
      <c r="J43" s="46" t="str">
        <f>IFERROR(__xludf.DUMMYFUNCTION("""COMPUTED_VALUE"""),"NGAMBEG RT 004 RW 002 PUCUK LAMONGAN")</f>
        <v>NGAMBEG RT 004 RW 002 PUCUK LAMONGAN</v>
      </c>
      <c r="K43" s="76" t="str">
        <f>IFERROR(__xludf.DUMMYFUNCTION("""COMPUTED_VALUE"""),"6285815230735")</f>
        <v>6285815230735</v>
      </c>
      <c r="L43" s="77">
        <f>IFERROR(__xludf.DUMMYFUNCTION("""COMPUTED_VALUE"""),0.0)</f>
        <v>0</v>
      </c>
      <c r="M43" s="77">
        <f>IFERROR(__xludf.DUMMYFUNCTION("""COMPUTED_VALUE"""),0.0)</f>
        <v>0</v>
      </c>
      <c r="N43" s="77">
        <f>IFERROR(__xludf.DUMMYFUNCTION("""COMPUTED_VALUE"""),0.0)</f>
        <v>0</v>
      </c>
      <c r="O43" s="77">
        <f>IFERROR(__xludf.DUMMYFUNCTION("""COMPUTED_VALUE"""),0.0)</f>
        <v>0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74">
        <f t="shared" si="2"/>
        <v>69</v>
      </c>
    </row>
    <row r="44">
      <c r="A44" s="72">
        <f t="shared" si="1"/>
        <v>43</v>
      </c>
      <c r="B44" s="46" t="str">
        <f>IFERROR(__xludf.DUMMYFUNCTION("""COMPUTED_VALUE"""),"SHOFIE AULIA AFIQAH MARSAID")</f>
        <v>SHOFIE AULIA AFIQAH MARSAID</v>
      </c>
      <c r="C44" s="74">
        <f>IFERROR(__xludf.DUMMYFUNCTION("""COMPUTED_VALUE"""),2.025070593E9)</f>
        <v>2025070593</v>
      </c>
      <c r="D44" s="72" t="str">
        <f>IFERROR(__xludf.DUMMYFUNCTION("""COMPUTED_VALUE"""),"E")</f>
        <v>E</v>
      </c>
      <c r="E44" s="72" t="str">
        <f>IFERROR(__xludf.DUMMYFUNCTION("""COMPUTED_VALUE"""),"E-4")</f>
        <v>E-4</v>
      </c>
      <c r="F44" s="75">
        <f>IFERROR(__xludf.DUMMYFUNCTION("""COMPUTED_VALUE"""),2.0)</f>
        <v>2</v>
      </c>
      <c r="G44" s="46" t="str">
        <f>IFERROR(__xludf.DUMMYFUNCTION("""COMPUTED_VALUE"""),"ULA")</f>
        <v>ULA</v>
      </c>
      <c r="H44" s="46" t="str">
        <f>IFERROR(__xludf.DUMMYFUNCTION("""COMPUTED_VALUE"""),"ACHMAD UMAR SAID")</f>
        <v>ACHMAD UMAR SAID</v>
      </c>
      <c r="I44" s="46" t="str">
        <f>IFERROR(__xludf.DUMMYFUNCTION("""COMPUTED_VALUE"""),"MARATUS SHOLIQAH")</f>
        <v>MARATUS SHOLIQAH</v>
      </c>
      <c r="J44" s="46" t="str">
        <f>IFERROR(__xludf.DUMMYFUNCTION("""COMPUTED_VALUE"""),"TENGGER TENGGEREJO RT 001 RW 002 KEDUNGPRING LAMONGAN")</f>
        <v>TENGGER TENGGEREJO RT 001 RW 002 KEDUNGPRING LAMONGAN</v>
      </c>
      <c r="K44" s="76" t="str">
        <f>IFERROR(__xludf.DUMMYFUNCTION("""COMPUTED_VALUE"""),"6285706162506")</f>
        <v>6285706162506</v>
      </c>
      <c r="L44" s="77">
        <f>IFERROR(__xludf.DUMMYFUNCTION("""COMPUTED_VALUE"""),500000.0)</f>
        <v>500000</v>
      </c>
      <c r="M44" s="77">
        <f>IFERROR(__xludf.DUMMYFUNCTION("""COMPUTED_VALUE"""),1000000.0)</f>
        <v>1000000</v>
      </c>
      <c r="N44" s="77">
        <f>IFERROR(__xludf.DUMMYFUNCTION("""COMPUTED_VALUE"""),0.0)</f>
        <v>0</v>
      </c>
      <c r="O44" s="77">
        <f>IFERROR(__xludf.DUMMYFUNCTION("""COMPUTED_VALUE"""),1500000.0)</f>
        <v>1500000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74">
        <f t="shared" si="2"/>
        <v>20</v>
      </c>
    </row>
    <row r="45">
      <c r="A45" s="72">
        <f t="shared" si="1"/>
        <v>44</v>
      </c>
      <c r="B45" s="46" t="str">
        <f>IFERROR(__xludf.DUMMYFUNCTION("""COMPUTED_VALUE"""),"SINTIYA PUTRI HIDAYAH")</f>
        <v>SINTIYA PUTRI HIDAYAH</v>
      </c>
      <c r="C45" s="74">
        <f>IFERROR(__xludf.DUMMYFUNCTION("""COMPUTED_VALUE"""),2.025070614E9)</f>
        <v>2025070614</v>
      </c>
      <c r="D45" s="72" t="str">
        <f>IFERROR(__xludf.DUMMYFUNCTION("""COMPUTED_VALUE"""),"E")</f>
        <v>E</v>
      </c>
      <c r="E45" s="72" t="str">
        <f>IFERROR(__xludf.DUMMYFUNCTION("""COMPUTED_VALUE"""),"E-4")</f>
        <v>E-4</v>
      </c>
      <c r="F45" s="75">
        <f>IFERROR(__xludf.DUMMYFUNCTION("""COMPUTED_VALUE"""),2.0)</f>
        <v>2</v>
      </c>
      <c r="G45" s="46" t="str">
        <f>IFERROR(__xludf.DUMMYFUNCTION("""COMPUTED_VALUE"""),"2 ULA A PUTRI")</f>
        <v>2 ULA A PUTRI</v>
      </c>
      <c r="H45" s="46" t="str">
        <f>IFERROR(__xludf.DUMMYFUNCTION("""COMPUTED_VALUE"""),"SUWARNO")</f>
        <v>SUWARNO</v>
      </c>
      <c r="I45" s="46" t="str">
        <f>IFERROR(__xludf.DUMMYFUNCTION("""COMPUTED_VALUE"""),"SITI KHALIMAH")</f>
        <v>SITI KHALIMAH</v>
      </c>
      <c r="J45" s="46" t="str">
        <f>IFERROR(__xludf.DUMMYFUNCTION("""COMPUTED_VALUE"""),"NGEMBET BANJARMADU RT 002 RW 007 KARANGGENENG LAMONGAN")</f>
        <v>NGEMBET BANJARMADU RT 002 RW 007 KARANGGENENG LAMONGAN</v>
      </c>
      <c r="K45" s="76" t="str">
        <f>IFERROR(__xludf.DUMMYFUNCTION("""COMPUTED_VALUE"""),"6281335474858")</f>
        <v>6281335474858</v>
      </c>
      <c r="L45" s="77">
        <f>IFERROR(__xludf.DUMMYFUNCTION("""COMPUTED_VALUE"""),0.0)</f>
        <v>0</v>
      </c>
      <c r="M45" s="77">
        <f>IFERROR(__xludf.DUMMYFUNCTION("""COMPUTED_VALUE"""),1000000.0)</f>
        <v>1000000</v>
      </c>
      <c r="N45" s="77">
        <f>IFERROR(__xludf.DUMMYFUNCTION("""COMPUTED_VALUE"""),0.0)</f>
        <v>0</v>
      </c>
      <c r="O45" s="77">
        <f>IFERROR(__xludf.DUMMYFUNCTION("""COMPUTED_VALUE"""),1000000.0)</f>
        <v>1000000</v>
      </c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74">
        <f t="shared" si="2"/>
        <v>34</v>
      </c>
    </row>
    <row r="46">
      <c r="A46" s="72">
        <f t="shared" si="1"/>
        <v>45</v>
      </c>
      <c r="B46" s="46" t="str">
        <f>IFERROR(__xludf.DUMMYFUNCTION("""COMPUTED_VALUE"""),"AFRA NAILA ARKARNA")</f>
        <v>AFRA NAILA ARKARNA</v>
      </c>
      <c r="C46" s="74">
        <f>IFERROR(__xludf.DUMMYFUNCTION("""COMPUTED_VALUE"""),2.025070164E9)</f>
        <v>2025070164</v>
      </c>
      <c r="D46" s="72" t="str">
        <f>IFERROR(__xludf.DUMMYFUNCTION("""COMPUTED_VALUE"""),"E")</f>
        <v>E</v>
      </c>
      <c r="E46" s="72" t="str">
        <f>IFERROR(__xludf.DUMMYFUNCTION("""COMPUTED_VALUE"""),"E-5")</f>
        <v>E-5</v>
      </c>
      <c r="F46" s="75">
        <f>IFERROR(__xludf.DUMMYFUNCTION("""COMPUTED_VALUE"""),2.0)</f>
        <v>2</v>
      </c>
      <c r="G46" s="46" t="str">
        <f>IFERROR(__xludf.DUMMYFUNCTION("""COMPUTED_VALUE"""),"2 WUSTHO B PUTRI")</f>
        <v>2 WUSTHO B PUTRI</v>
      </c>
      <c r="H46" s="46" t="str">
        <f>IFERROR(__xludf.DUMMYFUNCTION("""COMPUTED_VALUE"""),"SUMANTRI")</f>
        <v>SUMANTRI</v>
      </c>
      <c r="I46" s="46" t="str">
        <f>IFERROR(__xludf.DUMMYFUNCTION("""COMPUTED_VALUE"""),"ENDANG ASTUTIK")</f>
        <v>ENDANG ASTUTIK</v>
      </c>
      <c r="J46" s="46" t="str">
        <f>IFERROR(__xludf.DUMMYFUNCTION("""COMPUTED_VALUE"""),"RANDUBENER RT 007 RW 002 KEMBANGBAHU LAMONGAN")</f>
        <v>RANDUBENER RT 007 RW 002 KEMBANGBAHU LAMONGAN</v>
      </c>
      <c r="K46" s="76" t="str">
        <f>IFERROR(__xludf.DUMMYFUNCTION("""COMPUTED_VALUE"""),"62881026635988")</f>
        <v>62881026635988</v>
      </c>
      <c r="L46" s="77">
        <f>IFERROR(__xludf.DUMMYFUNCTION("""COMPUTED_VALUE"""),950000.0)</f>
        <v>950000</v>
      </c>
      <c r="M46" s="77">
        <f>IFERROR(__xludf.DUMMYFUNCTION("""COMPUTED_VALUE"""),800000.0)</f>
        <v>800000</v>
      </c>
      <c r="N46" s="77">
        <f>IFERROR(__xludf.DUMMYFUNCTION("""COMPUTED_VALUE"""),0.0)</f>
        <v>0</v>
      </c>
      <c r="O46" s="77">
        <f>IFERROR(__xludf.DUMMYFUNCTION("""COMPUTED_VALUE"""),1750000.0)</f>
        <v>1750000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74">
        <f t="shared" si="2"/>
        <v>14</v>
      </c>
    </row>
    <row r="47">
      <c r="A47" s="72">
        <f t="shared" si="1"/>
        <v>46</v>
      </c>
      <c r="B47" s="46" t="str">
        <f>IFERROR(__xludf.DUMMYFUNCTION("""COMPUTED_VALUE"""),"ALMIRA GHANIYAH AZ-ZAHRAH")</f>
        <v>ALMIRA GHANIYAH AZ-ZAHRAH</v>
      </c>
      <c r="C47" s="74">
        <f>IFERROR(__xludf.DUMMYFUNCTION("""COMPUTED_VALUE"""),2.025070071E9)</f>
        <v>2025070071</v>
      </c>
      <c r="D47" s="72" t="str">
        <f>IFERROR(__xludf.DUMMYFUNCTION("""COMPUTED_VALUE"""),"E")</f>
        <v>E</v>
      </c>
      <c r="E47" s="72" t="str">
        <f>IFERROR(__xludf.DUMMYFUNCTION("""COMPUTED_VALUE"""),"E-5")</f>
        <v>E-5</v>
      </c>
      <c r="F47" s="75">
        <f>IFERROR(__xludf.DUMMYFUNCTION("""COMPUTED_VALUE"""),2.0)</f>
        <v>2</v>
      </c>
      <c r="G47" s="46" t="str">
        <f>IFERROR(__xludf.DUMMYFUNCTION("""COMPUTED_VALUE"""),"2 WUSTHO B PUTRI")</f>
        <v>2 WUSTHO B PUTRI</v>
      </c>
      <c r="H47" s="46" t="str">
        <f>IFERROR(__xludf.DUMMYFUNCTION("""COMPUTED_VALUE"""),"HADI SUPRAYITNO")</f>
        <v>HADI SUPRAYITNO</v>
      </c>
      <c r="I47" s="46" t="str">
        <f>IFERROR(__xludf.DUMMYFUNCTION("""COMPUTED_VALUE"""),"NUR LAILI")</f>
        <v>NUR LAILI</v>
      </c>
      <c r="J47" s="46" t="str">
        <f>IFERROR(__xludf.DUMMYFUNCTION("""COMPUTED_VALUE"""),"TUMENGGUNGAN RT 003 RW 006 LAMONGAN LAMONGAN")</f>
        <v>TUMENGGUNGAN RT 003 RW 006 LAMONGAN LAMONGAN</v>
      </c>
      <c r="K47" s="76" t="str">
        <f>IFERROR(__xludf.DUMMYFUNCTION("""COMPUTED_VALUE"""),"62895410761833")</f>
        <v>62895410761833</v>
      </c>
      <c r="L47" s="77">
        <f>IFERROR(__xludf.DUMMYFUNCTION("""COMPUTED_VALUE"""),0.0)</f>
        <v>0</v>
      </c>
      <c r="M47" s="77">
        <f>IFERROR(__xludf.DUMMYFUNCTION("""COMPUTED_VALUE"""),0.0)</f>
        <v>0</v>
      </c>
      <c r="N47" s="77">
        <f>IFERROR(__xludf.DUMMYFUNCTION("""COMPUTED_VALUE"""),0.0)</f>
        <v>0</v>
      </c>
      <c r="O47" s="77">
        <f>IFERROR(__xludf.DUMMYFUNCTION("""COMPUTED_VALUE"""),0.0)</f>
        <v>0</v>
      </c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74">
        <f t="shared" si="2"/>
        <v>70</v>
      </c>
    </row>
    <row r="48">
      <c r="A48" s="72">
        <f t="shared" si="1"/>
        <v>47</v>
      </c>
      <c r="B48" s="46" t="str">
        <f>IFERROR(__xludf.DUMMYFUNCTION("""COMPUTED_VALUE"""),"ALVINA AGHNIYA FATMAH")</f>
        <v>ALVINA AGHNIYA FATMAH</v>
      </c>
      <c r="C48" s="74">
        <f>IFERROR(__xludf.DUMMYFUNCTION("""COMPUTED_VALUE"""),2.025070316E9)</f>
        <v>2025070316</v>
      </c>
      <c r="D48" s="72" t="str">
        <f>IFERROR(__xludf.DUMMYFUNCTION("""COMPUTED_VALUE"""),"E")</f>
        <v>E</v>
      </c>
      <c r="E48" s="72" t="str">
        <f>IFERROR(__xludf.DUMMYFUNCTION("""COMPUTED_VALUE"""),"E-5")</f>
        <v>E-5</v>
      </c>
      <c r="F48" s="75">
        <f>IFERROR(__xludf.DUMMYFUNCTION("""COMPUTED_VALUE"""),2.0)</f>
        <v>2</v>
      </c>
      <c r="G48" s="46" t="str">
        <f>IFERROR(__xludf.DUMMYFUNCTION("""COMPUTED_VALUE"""),"TAHFIDZ")</f>
        <v>TAHFIDZ</v>
      </c>
      <c r="H48" s="46" t="str">
        <f>IFERROR(__xludf.DUMMYFUNCTION("""COMPUTED_VALUE"""),"EFENDI")</f>
        <v>EFENDI</v>
      </c>
      <c r="I48" s="46" t="str">
        <f>IFERROR(__xludf.DUMMYFUNCTION("""COMPUTED_VALUE"""),"NUR ELIS MUNASHOFA")</f>
        <v>NUR ELIS MUNASHOFA</v>
      </c>
      <c r="J48" s="46" t="str">
        <f>IFERROR(__xludf.DUMMYFUNCTION("""COMPUTED_VALUE"""),"SUNAN MURIA LATUKAN RT 002 RW 001 KARANGGENENG LAMONGAN")</f>
        <v>SUNAN MURIA LATUKAN RT 002 RW 001 KARANGGENENG LAMONGAN</v>
      </c>
      <c r="K48" s="76" t="str">
        <f>IFERROR(__xludf.DUMMYFUNCTION("""COMPUTED_VALUE"""),"6285802923208")</f>
        <v>6285802923208</v>
      </c>
      <c r="L48" s="77">
        <f>IFERROR(__xludf.DUMMYFUNCTION("""COMPUTED_VALUE"""),0.0)</f>
        <v>0</v>
      </c>
      <c r="M48" s="77">
        <f>IFERROR(__xludf.DUMMYFUNCTION("""COMPUTED_VALUE"""),1000000.0)</f>
        <v>1000000</v>
      </c>
      <c r="N48" s="77">
        <f>IFERROR(__xludf.DUMMYFUNCTION("""COMPUTED_VALUE"""),0.0)</f>
        <v>0</v>
      </c>
      <c r="O48" s="77">
        <f>IFERROR(__xludf.DUMMYFUNCTION("""COMPUTED_VALUE"""),1000000.0)</f>
        <v>1000000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74">
        <f t="shared" si="2"/>
        <v>35</v>
      </c>
    </row>
    <row r="49">
      <c r="A49" s="72">
        <f t="shared" si="1"/>
        <v>48</v>
      </c>
      <c r="B49" s="46" t="str">
        <f>IFERROR(__xludf.DUMMYFUNCTION("""COMPUTED_VALUE"""),"FARIZA KAHLA` NAJWA")</f>
        <v>FARIZA KAHLA` NAJWA</v>
      </c>
      <c r="C49" s="74">
        <f>IFERROR(__xludf.DUMMYFUNCTION("""COMPUTED_VALUE"""),2.025070149E9)</f>
        <v>2025070149</v>
      </c>
      <c r="D49" s="72" t="str">
        <f>IFERROR(__xludf.DUMMYFUNCTION("""COMPUTED_VALUE"""),"E")</f>
        <v>E</v>
      </c>
      <c r="E49" s="72" t="str">
        <f>IFERROR(__xludf.DUMMYFUNCTION("""COMPUTED_VALUE"""),"E-5")</f>
        <v>E-5</v>
      </c>
      <c r="F49" s="75">
        <f>IFERROR(__xludf.DUMMYFUNCTION("""COMPUTED_VALUE"""),2.0)</f>
        <v>2</v>
      </c>
      <c r="G49" s="46" t="str">
        <f>IFERROR(__xludf.DUMMYFUNCTION("""COMPUTED_VALUE"""),"2 WUSTHO B PUTRI")</f>
        <v>2 WUSTHO B PUTRI</v>
      </c>
      <c r="H49" s="46" t="str">
        <f>IFERROR(__xludf.DUMMYFUNCTION("""COMPUTED_VALUE"""),"ACHMAD NURU DHUHA")</f>
        <v>ACHMAD NURU DHUHA</v>
      </c>
      <c r="I49" s="46" t="str">
        <f>IFERROR(__xludf.DUMMYFUNCTION("""COMPUTED_VALUE"""),"HERLIN FARDA HABIBA")</f>
        <v>HERLIN FARDA HABIBA</v>
      </c>
      <c r="J49" s="46" t="str">
        <f>IFERROR(__xludf.DUMMYFUNCTION("""COMPUTED_VALUE"""),"KALIREJO RT 003 RW 002 DUKUN GRESIK")</f>
        <v>KALIREJO RT 003 RW 002 DUKUN GRESIK</v>
      </c>
      <c r="K49" s="76" t="str">
        <f>IFERROR(__xludf.DUMMYFUNCTION("""COMPUTED_VALUE"""),"6281216494000")</f>
        <v>6281216494000</v>
      </c>
      <c r="L49" s="77">
        <f>IFERROR(__xludf.DUMMYFUNCTION("""COMPUTED_VALUE"""),0.0)</f>
        <v>0</v>
      </c>
      <c r="M49" s="77">
        <f>IFERROR(__xludf.DUMMYFUNCTION("""COMPUTED_VALUE"""),0.0)</f>
        <v>0</v>
      </c>
      <c r="N49" s="77">
        <f>IFERROR(__xludf.DUMMYFUNCTION("""COMPUTED_VALUE"""),0.0)</f>
        <v>0</v>
      </c>
      <c r="O49" s="77">
        <f>IFERROR(__xludf.DUMMYFUNCTION("""COMPUTED_VALUE"""),0.0)</f>
        <v>0</v>
      </c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74">
        <f t="shared" si="2"/>
        <v>71</v>
      </c>
    </row>
    <row r="50">
      <c r="A50" s="72">
        <f t="shared" si="1"/>
        <v>49</v>
      </c>
      <c r="B50" s="46" t="str">
        <f>IFERROR(__xludf.DUMMYFUNCTION("""COMPUTED_VALUE"""),"HALWA MALEEHATUL FITRIYAH")</f>
        <v>HALWA MALEEHATUL FITRIYAH</v>
      </c>
      <c r="C50" s="74">
        <f>IFERROR(__xludf.DUMMYFUNCTION("""COMPUTED_VALUE"""),2.025070655E9)</f>
        <v>2025070655</v>
      </c>
      <c r="D50" s="72" t="str">
        <f>IFERROR(__xludf.DUMMYFUNCTION("""COMPUTED_VALUE"""),"E")</f>
        <v>E</v>
      </c>
      <c r="E50" s="72" t="str">
        <f>IFERROR(__xludf.DUMMYFUNCTION("""COMPUTED_VALUE"""),"E-5")</f>
        <v>E-5</v>
      </c>
      <c r="F50" s="75">
        <f>IFERROR(__xludf.DUMMYFUNCTION("""COMPUTED_VALUE"""),2.0)</f>
        <v>2</v>
      </c>
      <c r="G50" s="46" t="str">
        <f>IFERROR(__xludf.DUMMYFUNCTION("""COMPUTED_VALUE"""),"2 ULA A PUTRI")</f>
        <v>2 ULA A PUTRI</v>
      </c>
      <c r="H50" s="46" t="str">
        <f>IFERROR(__xludf.DUMMYFUNCTION("""COMPUTED_VALUE"""),"SUKARTO")</f>
        <v>SUKARTO</v>
      </c>
      <c r="I50" s="46" t="str">
        <f>IFERROR(__xludf.DUMMYFUNCTION("""COMPUTED_VALUE"""),"LAILATUL MAYA")</f>
        <v>LAILATUL MAYA</v>
      </c>
      <c r="J50" s="46" t="str">
        <f>IFERROR(__xludf.DUMMYFUNCTION("""COMPUTED_VALUE"""),"PETIYIN TAKERHARJO RT 001 RW 005 SOLOKURO LAMONGAN")</f>
        <v>PETIYIN TAKERHARJO RT 001 RW 005 SOLOKURO LAMONGAN</v>
      </c>
      <c r="K50" s="76" t="str">
        <f>IFERROR(__xludf.DUMMYFUNCTION("""COMPUTED_VALUE"""),"6281515526152")</f>
        <v>6281515526152</v>
      </c>
      <c r="L50" s="77">
        <f>IFERROR(__xludf.DUMMYFUNCTION("""COMPUTED_VALUE"""),0.0)</f>
        <v>0</v>
      </c>
      <c r="M50" s="77">
        <f>IFERROR(__xludf.DUMMYFUNCTION("""COMPUTED_VALUE"""),1000000.0)</f>
        <v>1000000</v>
      </c>
      <c r="N50" s="77">
        <f>IFERROR(__xludf.DUMMYFUNCTION("""COMPUTED_VALUE"""),0.0)</f>
        <v>0</v>
      </c>
      <c r="O50" s="77">
        <f>IFERROR(__xludf.DUMMYFUNCTION("""COMPUTED_VALUE"""),1000000.0)</f>
        <v>1000000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74">
        <f t="shared" si="2"/>
        <v>36</v>
      </c>
    </row>
    <row r="51">
      <c r="A51" s="72">
        <f t="shared" si="1"/>
        <v>50</v>
      </c>
      <c r="B51" s="46" t="str">
        <f>IFERROR(__xludf.DUMMYFUNCTION("""COMPUTED_VALUE"""),"HILWAA FARIDATUL AZIZAH")</f>
        <v>HILWAA FARIDATUL AZIZAH</v>
      </c>
      <c r="C51" s="74">
        <f>IFERROR(__xludf.DUMMYFUNCTION("""COMPUTED_VALUE"""),2.025070355E9)</f>
        <v>2025070355</v>
      </c>
      <c r="D51" s="72" t="str">
        <f>IFERROR(__xludf.DUMMYFUNCTION("""COMPUTED_VALUE"""),"E")</f>
        <v>E</v>
      </c>
      <c r="E51" s="72" t="str">
        <f>IFERROR(__xludf.DUMMYFUNCTION("""COMPUTED_VALUE"""),"E-5")</f>
        <v>E-5</v>
      </c>
      <c r="F51" s="75">
        <f>IFERROR(__xludf.DUMMYFUNCTION("""COMPUTED_VALUE"""),2.0)</f>
        <v>2</v>
      </c>
      <c r="G51" s="46" t="str">
        <f>IFERROR(__xludf.DUMMYFUNCTION("""COMPUTED_VALUE"""),"2 WUSTHO B PUTRI")</f>
        <v>2 WUSTHO B PUTRI</v>
      </c>
      <c r="H51" s="46" t="str">
        <f>IFERROR(__xludf.DUMMYFUNCTION("""COMPUTED_VALUE"""),"ZAINUL FATAH")</f>
        <v>ZAINUL FATAH</v>
      </c>
      <c r="I51" s="46" t="str">
        <f>IFERROR(__xludf.DUMMYFUNCTION("""COMPUTED_VALUE"""),"SITI UMI MAFTUKAH")</f>
        <v>SITI UMI MAFTUKAH</v>
      </c>
      <c r="J51" s="46" t="str">
        <f>IFERROR(__xludf.DUMMYFUNCTION("""COMPUTED_VALUE"""),"TINARO DUKUHAGUNG RT 004 RW 004 TIKUNG LAMONGAN")</f>
        <v>TINARO DUKUHAGUNG RT 004 RW 004 TIKUNG LAMONGAN</v>
      </c>
      <c r="K51" s="76" t="str">
        <f>IFERROR(__xludf.DUMMYFUNCTION("""COMPUTED_VALUE"""),"6288989765237")</f>
        <v>6288989765237</v>
      </c>
      <c r="L51" s="77">
        <f>IFERROR(__xludf.DUMMYFUNCTION("""COMPUTED_VALUE"""),0.0)</f>
        <v>0</v>
      </c>
      <c r="M51" s="77">
        <f>IFERROR(__xludf.DUMMYFUNCTION("""COMPUTED_VALUE"""),0.0)</f>
        <v>0</v>
      </c>
      <c r="N51" s="77">
        <f>IFERROR(__xludf.DUMMYFUNCTION("""COMPUTED_VALUE"""),0.0)</f>
        <v>0</v>
      </c>
      <c r="O51" s="77">
        <f>IFERROR(__xludf.DUMMYFUNCTION("""COMPUTED_VALUE"""),0.0)</f>
        <v>0</v>
      </c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74">
        <f t="shared" si="2"/>
        <v>72</v>
      </c>
    </row>
    <row r="52">
      <c r="A52" s="72">
        <f t="shared" si="1"/>
        <v>51</v>
      </c>
      <c r="B52" s="46" t="str">
        <f>IFERROR(__xludf.DUMMYFUNCTION("""COMPUTED_VALUE"""),"INDAH AYU FERA")</f>
        <v>INDAH AYU FERA</v>
      </c>
      <c r="C52" s="74">
        <f>IFERROR(__xludf.DUMMYFUNCTION("""COMPUTED_VALUE"""),2.025070167E9)</f>
        <v>2025070167</v>
      </c>
      <c r="D52" s="72" t="str">
        <f>IFERROR(__xludf.DUMMYFUNCTION("""COMPUTED_VALUE"""),"E")</f>
        <v>E</v>
      </c>
      <c r="E52" s="72" t="str">
        <f>IFERROR(__xludf.DUMMYFUNCTION("""COMPUTED_VALUE"""),"E-5")</f>
        <v>E-5</v>
      </c>
      <c r="F52" s="75">
        <f>IFERROR(__xludf.DUMMYFUNCTION("""COMPUTED_VALUE"""),2.0)</f>
        <v>2</v>
      </c>
      <c r="G52" s="46" t="str">
        <f>IFERROR(__xludf.DUMMYFUNCTION("""COMPUTED_VALUE"""),"2 WUSTHO B PUTRI")</f>
        <v>2 WUSTHO B PUTRI</v>
      </c>
      <c r="H52" s="46" t="str">
        <f>IFERROR(__xludf.DUMMYFUNCTION("""COMPUTED_VALUE"""),"MUDHOFIR")</f>
        <v>MUDHOFIR</v>
      </c>
      <c r="I52" s="46" t="str">
        <f>IFERROR(__xludf.DUMMYFUNCTION("""COMPUTED_VALUE"""),"KHOYUM MAHTUM")</f>
        <v>KHOYUM MAHTUM</v>
      </c>
      <c r="J52" s="46" t="str">
        <f>IFERROR(__xludf.DUMMYFUNCTION("""COMPUTED_VALUE"""),"KUCUR SIDOMUKTI RT 001 RW 001 LAMONGAN LAMONGAN")</f>
        <v>KUCUR SIDOMUKTI RT 001 RW 001 LAMONGAN LAMONGAN</v>
      </c>
      <c r="K52" s="76" t="str">
        <f>IFERROR(__xludf.DUMMYFUNCTION("""COMPUTED_VALUE"""),"6281331557560")</f>
        <v>6281331557560</v>
      </c>
      <c r="L52" s="77">
        <f>IFERROR(__xludf.DUMMYFUNCTION("""COMPUTED_VALUE"""),2000000.0)</f>
        <v>2000000</v>
      </c>
      <c r="M52" s="77">
        <f>IFERROR(__xludf.DUMMYFUNCTION("""COMPUTED_VALUE"""),0.0)</f>
        <v>0</v>
      </c>
      <c r="N52" s="77">
        <f>IFERROR(__xludf.DUMMYFUNCTION("""COMPUTED_VALUE"""),0.0)</f>
        <v>0</v>
      </c>
      <c r="O52" s="77">
        <f>IFERROR(__xludf.DUMMYFUNCTION("""COMPUTED_VALUE"""),2000000.0)</f>
        <v>2000000</v>
      </c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74">
        <f t="shared" si="2"/>
        <v>13</v>
      </c>
    </row>
    <row r="53">
      <c r="A53" s="72">
        <f t="shared" si="1"/>
        <v>52</v>
      </c>
      <c r="B53" s="46" t="str">
        <f>IFERROR(__xludf.DUMMYFUNCTION("""COMPUTED_VALUE"""),"KHANSA ZHAFIRAH AFRAH")</f>
        <v>KHANSA ZHAFIRAH AFRAH</v>
      </c>
      <c r="C53" s="74">
        <f>IFERROR(__xludf.DUMMYFUNCTION("""COMPUTED_VALUE"""),2.025070141E9)</f>
        <v>2025070141</v>
      </c>
      <c r="D53" s="72" t="str">
        <f>IFERROR(__xludf.DUMMYFUNCTION("""COMPUTED_VALUE"""),"E")</f>
        <v>E</v>
      </c>
      <c r="E53" s="72" t="str">
        <f>IFERROR(__xludf.DUMMYFUNCTION("""COMPUTED_VALUE"""),"E-5")</f>
        <v>E-5</v>
      </c>
      <c r="F53" s="75">
        <f>IFERROR(__xludf.DUMMYFUNCTION("""COMPUTED_VALUE"""),2.0)</f>
        <v>2</v>
      </c>
      <c r="G53" s="46" t="str">
        <f>IFERROR(__xludf.DUMMYFUNCTION("""COMPUTED_VALUE"""),"2 MAK PUTRI")</f>
        <v>2 MAK PUTRI</v>
      </c>
      <c r="H53" s="46" t="str">
        <f>IFERROR(__xludf.DUMMYFUNCTION("""COMPUTED_VALUE"""),"ABD. MANAN")</f>
        <v>ABD. MANAN</v>
      </c>
      <c r="I53" s="46" t="str">
        <f>IFERROR(__xludf.DUMMYFUNCTION("""COMPUTED_VALUE"""),"SUMAINAH")</f>
        <v>SUMAINAH</v>
      </c>
      <c r="J53" s="46" t="str">
        <f>IFERROR(__xludf.DUMMYFUNCTION("""COMPUTED_VALUE"""),"BANGERAN GENENG RT 001 RW 001 DUKUN GRESIK")</f>
        <v>BANGERAN GENENG RT 001 RW 001 DUKUN GRESIK</v>
      </c>
      <c r="K53" s="76" t="str">
        <f>IFERROR(__xludf.DUMMYFUNCTION("""COMPUTED_VALUE"""),"6281216956050")</f>
        <v>6281216956050</v>
      </c>
      <c r="L53" s="77">
        <f>IFERROR(__xludf.DUMMYFUNCTION("""COMPUTED_VALUE"""),1000000.0)</f>
        <v>1000000</v>
      </c>
      <c r="M53" s="77">
        <f>IFERROR(__xludf.DUMMYFUNCTION("""COMPUTED_VALUE"""),0.0)</f>
        <v>0</v>
      </c>
      <c r="N53" s="77">
        <f>IFERROR(__xludf.DUMMYFUNCTION("""COMPUTED_VALUE"""),0.0)</f>
        <v>0</v>
      </c>
      <c r="O53" s="77">
        <f>IFERROR(__xludf.DUMMYFUNCTION("""COMPUTED_VALUE"""),1000000.0)</f>
        <v>1000000</v>
      </c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74">
        <f t="shared" si="2"/>
        <v>37</v>
      </c>
    </row>
    <row r="54">
      <c r="A54" s="72">
        <f t="shared" si="1"/>
        <v>53</v>
      </c>
      <c r="B54" s="46" t="str">
        <f>IFERROR(__xludf.DUMMYFUNCTION("""COMPUTED_VALUE"""),"MAULIDA ARIFAH")</f>
        <v>MAULIDA ARIFAH</v>
      </c>
      <c r="C54" s="74">
        <f>IFERROR(__xludf.DUMMYFUNCTION("""COMPUTED_VALUE"""),2.02507051E9)</f>
        <v>2025070510</v>
      </c>
      <c r="D54" s="72" t="str">
        <f>IFERROR(__xludf.DUMMYFUNCTION("""COMPUTED_VALUE"""),"E")</f>
        <v>E</v>
      </c>
      <c r="E54" s="72" t="str">
        <f>IFERROR(__xludf.DUMMYFUNCTION("""COMPUTED_VALUE"""),"E-5")</f>
        <v>E-5</v>
      </c>
      <c r="F54" s="75">
        <f>IFERROR(__xludf.DUMMYFUNCTION("""COMPUTED_VALUE"""),2.0)</f>
        <v>2</v>
      </c>
      <c r="G54" s="46" t="str">
        <f>IFERROR(__xludf.DUMMYFUNCTION("""COMPUTED_VALUE"""),"2 ULA A PUTRI")</f>
        <v>2 ULA A PUTRI</v>
      </c>
      <c r="H54" s="46" t="str">
        <f>IFERROR(__xludf.DUMMYFUNCTION("""COMPUTED_VALUE"""),"ALI ARIFIN")</f>
        <v>ALI ARIFIN</v>
      </c>
      <c r="I54" s="46" t="str">
        <f>IFERROR(__xludf.DUMMYFUNCTION("""COMPUTED_VALUE"""),"RIRIN ISMIATI")</f>
        <v>RIRIN ISMIATI</v>
      </c>
      <c r="J54" s="46" t="str">
        <f>IFERROR(__xludf.DUMMYFUNCTION("""COMPUTED_VALUE"""),"BLANGIT KARANGLANGIT RT 003 RW 001 LAMONGAN LAMONGAN")</f>
        <v>BLANGIT KARANGLANGIT RT 003 RW 001 LAMONGAN LAMONGAN</v>
      </c>
      <c r="K54" s="76" t="str">
        <f>IFERROR(__xludf.DUMMYFUNCTION("""COMPUTED_VALUE"""),"6281230750632")</f>
        <v>6281230750632</v>
      </c>
      <c r="L54" s="77">
        <f>IFERROR(__xludf.DUMMYFUNCTION("""COMPUTED_VALUE"""),500000.0)</f>
        <v>500000</v>
      </c>
      <c r="M54" s="77">
        <f>IFERROR(__xludf.DUMMYFUNCTION("""COMPUTED_VALUE"""),1000000.0)</f>
        <v>1000000</v>
      </c>
      <c r="N54" s="77">
        <f>IFERROR(__xludf.DUMMYFUNCTION("""COMPUTED_VALUE"""),0.0)</f>
        <v>0</v>
      </c>
      <c r="O54" s="77">
        <f>IFERROR(__xludf.DUMMYFUNCTION("""COMPUTED_VALUE"""),1500000.0)</f>
        <v>1500000</v>
      </c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74">
        <f t="shared" si="2"/>
        <v>21</v>
      </c>
    </row>
    <row r="55">
      <c r="A55" s="72">
        <f t="shared" si="1"/>
        <v>54</v>
      </c>
      <c r="B55" s="46" t="str">
        <f>IFERROR(__xludf.DUMMYFUNCTION("""COMPUTED_VALUE"""),"NURISMA ZIANA")</f>
        <v>NURISMA ZIANA</v>
      </c>
      <c r="C55" s="74">
        <f>IFERROR(__xludf.DUMMYFUNCTION("""COMPUTED_VALUE"""),2.025070443E9)</f>
        <v>2025070443</v>
      </c>
      <c r="D55" s="72" t="str">
        <f>IFERROR(__xludf.DUMMYFUNCTION("""COMPUTED_VALUE"""),"E")</f>
        <v>E</v>
      </c>
      <c r="E55" s="72" t="str">
        <f>IFERROR(__xludf.DUMMYFUNCTION("""COMPUTED_VALUE"""),"E-5")</f>
        <v>E-5</v>
      </c>
      <c r="F55" s="75">
        <f>IFERROR(__xludf.DUMMYFUNCTION("""COMPUTED_VALUE"""),2.0)</f>
        <v>2</v>
      </c>
      <c r="G55" s="46" t="str">
        <f>IFERROR(__xludf.DUMMYFUNCTION("""COMPUTED_VALUE"""),"2 WUSTHO D PUTRI")</f>
        <v>2 WUSTHO D PUTRI</v>
      </c>
      <c r="H55" s="46" t="str">
        <f>IFERROR(__xludf.DUMMYFUNCTION("""COMPUTED_VALUE"""),"SUGIANTO")</f>
        <v>SUGIANTO</v>
      </c>
      <c r="I55" s="46" t="str">
        <f>IFERROR(__xludf.DUMMYFUNCTION("""COMPUTED_VALUE"""),"MURIYATUN")</f>
        <v>MURIYATUN</v>
      </c>
      <c r="J55" s="46" t="str">
        <f>IFERROR(__xludf.DUMMYFUNCTION("""COMPUTED_VALUE"""),"SIWALAN RT 013 RW 005 PANCENG GRESIK")</f>
        <v>SIWALAN RT 013 RW 005 PANCENG GRESIK</v>
      </c>
      <c r="K55" s="76" t="str">
        <f>IFERROR(__xludf.DUMMYFUNCTION("""COMPUTED_VALUE"""),"6285815643321")</f>
        <v>6285815643321</v>
      </c>
      <c r="L55" s="77">
        <f>IFERROR(__xludf.DUMMYFUNCTION("""COMPUTED_VALUE"""),500000.0)</f>
        <v>500000</v>
      </c>
      <c r="M55" s="77">
        <f>IFERROR(__xludf.DUMMYFUNCTION("""COMPUTED_VALUE"""),0.0)</f>
        <v>0</v>
      </c>
      <c r="N55" s="77">
        <f>IFERROR(__xludf.DUMMYFUNCTION("""COMPUTED_VALUE"""),0.0)</f>
        <v>0</v>
      </c>
      <c r="O55" s="77">
        <f>IFERROR(__xludf.DUMMYFUNCTION("""COMPUTED_VALUE"""),500000.0)</f>
        <v>500000</v>
      </c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74">
        <f t="shared" si="2"/>
        <v>52</v>
      </c>
    </row>
    <row r="56">
      <c r="A56" s="72">
        <f t="shared" si="1"/>
        <v>55</v>
      </c>
      <c r="B56" s="46" t="str">
        <f>IFERROR(__xludf.DUMMYFUNCTION("""COMPUTED_VALUE"""),"SHOFFI NANDHA RISTASARI")</f>
        <v>SHOFFI NANDHA RISTASARI</v>
      </c>
      <c r="C56" s="74">
        <f>IFERROR(__xludf.DUMMYFUNCTION("""COMPUTED_VALUE"""),2.025070234E9)</f>
        <v>2025070234</v>
      </c>
      <c r="D56" s="72" t="str">
        <f>IFERROR(__xludf.DUMMYFUNCTION("""COMPUTED_VALUE"""),"E")</f>
        <v>E</v>
      </c>
      <c r="E56" s="72" t="str">
        <f>IFERROR(__xludf.DUMMYFUNCTION("""COMPUTED_VALUE"""),"E-5")</f>
        <v>E-5</v>
      </c>
      <c r="F56" s="75">
        <f>IFERROR(__xludf.DUMMYFUNCTION("""COMPUTED_VALUE"""),2.0)</f>
        <v>2</v>
      </c>
      <c r="G56" s="46" t="str">
        <f>IFERROR(__xludf.DUMMYFUNCTION("""COMPUTED_VALUE"""),"2 MAK PUTRI")</f>
        <v>2 MAK PUTRI</v>
      </c>
      <c r="H56" s="46" t="str">
        <f>IFERROR(__xludf.DUMMYFUNCTION("""COMPUTED_VALUE"""),"SUPARJOH")</f>
        <v>SUPARJOH</v>
      </c>
      <c r="I56" s="46" t="str">
        <f>IFERROR(__xludf.DUMMYFUNCTION("""COMPUTED_VALUE"""),"MUSYAROH")</f>
        <v>MUSYAROH</v>
      </c>
      <c r="J56" s="46" t="str">
        <f>IFERROR(__xludf.DUMMYFUNCTION("""COMPUTED_VALUE"""),"PETIYIN TAKERHARJO RT 002 RW 006 SOLOKURO LAMONGAN")</f>
        <v>PETIYIN TAKERHARJO RT 002 RW 006 SOLOKURO LAMONGAN</v>
      </c>
      <c r="K56" s="76" t="str">
        <f>IFERROR(__xludf.DUMMYFUNCTION("""COMPUTED_VALUE"""),"6285755749598")</f>
        <v>6285755749598</v>
      </c>
      <c r="L56" s="77">
        <f>IFERROR(__xludf.DUMMYFUNCTION("""COMPUTED_VALUE"""),500000.0)</f>
        <v>500000</v>
      </c>
      <c r="M56" s="77">
        <f>IFERROR(__xludf.DUMMYFUNCTION("""COMPUTED_VALUE"""),1000000.0)</f>
        <v>1000000</v>
      </c>
      <c r="N56" s="77">
        <f>IFERROR(__xludf.DUMMYFUNCTION("""COMPUTED_VALUE"""),0.0)</f>
        <v>0</v>
      </c>
      <c r="O56" s="77">
        <f>IFERROR(__xludf.DUMMYFUNCTION("""COMPUTED_VALUE"""),1500000.0)</f>
        <v>1500000</v>
      </c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74">
        <f t="shared" si="2"/>
        <v>22</v>
      </c>
    </row>
    <row r="57">
      <c r="A57" s="72">
        <f t="shared" si="1"/>
        <v>56</v>
      </c>
      <c r="B57" s="46" t="str">
        <f>IFERROR(__xludf.DUMMYFUNCTION("""COMPUTED_VALUE"""),"YOGI ROFIATUS MAULA")</f>
        <v>YOGI ROFIATUS MAULA</v>
      </c>
      <c r="C57" s="74">
        <f>IFERROR(__xludf.DUMMYFUNCTION("""COMPUTED_VALUE"""),2.025070503E9)</f>
        <v>2025070503</v>
      </c>
      <c r="D57" s="72" t="str">
        <f>IFERROR(__xludf.DUMMYFUNCTION("""COMPUTED_VALUE"""),"E")</f>
        <v>E</v>
      </c>
      <c r="E57" s="72" t="str">
        <f>IFERROR(__xludf.DUMMYFUNCTION("""COMPUTED_VALUE"""),"E-5")</f>
        <v>E-5</v>
      </c>
      <c r="F57" s="75">
        <f>IFERROR(__xludf.DUMMYFUNCTION("""COMPUTED_VALUE"""),2.0)</f>
        <v>2</v>
      </c>
      <c r="G57" s="46" t="str">
        <f>IFERROR(__xludf.DUMMYFUNCTION("""COMPUTED_VALUE"""),"2 ULA C PUTRI")</f>
        <v>2 ULA C PUTRI</v>
      </c>
      <c r="H57" s="46" t="str">
        <f>IFERROR(__xludf.DUMMYFUNCTION("""COMPUTED_VALUE"""),"MOHAMMAD MUSLIK")</f>
        <v>MOHAMMAD MUSLIK</v>
      </c>
      <c r="I57" s="46" t="str">
        <f>IFERROR(__xludf.DUMMYFUNCTION("""COMPUTED_VALUE"""),"SUDARWATI")</f>
        <v>SUDARWATI</v>
      </c>
      <c r="J57" s="46" t="str">
        <f>IFERROR(__xludf.DUMMYFUNCTION("""COMPUTED_VALUE"""),"PILANG GEDANGAN RT 002 RW 003 SUKODADI LAMONGAN")</f>
        <v>PILANG GEDANGAN RT 002 RW 003 SUKODADI LAMONGAN</v>
      </c>
      <c r="K57" s="76" t="str">
        <f>IFERROR(__xludf.DUMMYFUNCTION("""COMPUTED_VALUE"""),"6285755100370")</f>
        <v>6285755100370</v>
      </c>
      <c r="L57" s="77">
        <f>IFERROR(__xludf.DUMMYFUNCTION("""COMPUTED_VALUE"""),0.0)</f>
        <v>0</v>
      </c>
      <c r="M57" s="77">
        <f>IFERROR(__xludf.DUMMYFUNCTION("""COMPUTED_VALUE"""),1000000.0)</f>
        <v>1000000</v>
      </c>
      <c r="N57" s="77">
        <f>IFERROR(__xludf.DUMMYFUNCTION("""COMPUTED_VALUE"""),0.0)</f>
        <v>0</v>
      </c>
      <c r="O57" s="77">
        <f>IFERROR(__xludf.DUMMYFUNCTION("""COMPUTED_VALUE"""),1000000.0)</f>
        <v>1000000</v>
      </c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74">
        <f t="shared" si="2"/>
        <v>38</v>
      </c>
    </row>
    <row r="58">
      <c r="A58" s="72">
        <f t="shared" si="1"/>
        <v>57</v>
      </c>
      <c r="B58" s="46" t="str">
        <f>IFERROR(__xludf.DUMMYFUNCTION("""COMPUTED_VALUE"""),"ZAHIRA JULIA SAIDAH")</f>
        <v>ZAHIRA JULIA SAIDAH</v>
      </c>
      <c r="C58" s="74">
        <f>IFERROR(__xludf.DUMMYFUNCTION("""COMPUTED_VALUE"""),2.025070168E9)</f>
        <v>2025070168</v>
      </c>
      <c r="D58" s="72" t="str">
        <f>IFERROR(__xludf.DUMMYFUNCTION("""COMPUTED_VALUE"""),"E")</f>
        <v>E</v>
      </c>
      <c r="E58" s="72" t="str">
        <f>IFERROR(__xludf.DUMMYFUNCTION("""COMPUTED_VALUE"""),"E-5")</f>
        <v>E-5</v>
      </c>
      <c r="F58" s="75">
        <f>IFERROR(__xludf.DUMMYFUNCTION("""COMPUTED_VALUE"""),2.0)</f>
        <v>2</v>
      </c>
      <c r="G58" s="46" t="str">
        <f>IFERROR(__xludf.DUMMYFUNCTION("""COMPUTED_VALUE"""),"2 WUSTHO B PUTRI")</f>
        <v>2 WUSTHO B PUTRI</v>
      </c>
      <c r="H58" s="46" t="str">
        <f>IFERROR(__xludf.DUMMYFUNCTION("""COMPUTED_VALUE"""),"SAKIM")</f>
        <v>SAKIM</v>
      </c>
      <c r="I58" s="46" t="str">
        <f>IFERROR(__xludf.DUMMYFUNCTION("""COMPUTED_VALUE"""),"SAUDAH")</f>
        <v>SAUDAH</v>
      </c>
      <c r="J58" s="46" t="str">
        <f>IFERROR(__xludf.DUMMYFUNCTION("""COMPUTED_VALUE"""),"KUCUR SIDOMUKTI RT 002 RW 001 LAMONGAN LAMONGAN")</f>
        <v>KUCUR SIDOMUKTI RT 002 RW 001 LAMONGAN LAMONGAN</v>
      </c>
      <c r="K58" s="76" t="str">
        <f>IFERROR(__xludf.DUMMYFUNCTION("""COMPUTED_VALUE"""),"6285859402324")</f>
        <v>6285859402324</v>
      </c>
      <c r="L58" s="77">
        <f>IFERROR(__xludf.DUMMYFUNCTION("""COMPUTED_VALUE"""),3500000.0)</f>
        <v>3500000</v>
      </c>
      <c r="M58" s="77">
        <f>IFERROR(__xludf.DUMMYFUNCTION("""COMPUTED_VALUE"""),0.0)</f>
        <v>0</v>
      </c>
      <c r="N58" s="77">
        <f>IFERROR(__xludf.DUMMYFUNCTION("""COMPUTED_VALUE"""),0.0)</f>
        <v>0</v>
      </c>
      <c r="O58" s="77">
        <f>IFERROR(__xludf.DUMMYFUNCTION("""COMPUTED_VALUE"""),3500000.0)</f>
        <v>3500000</v>
      </c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74">
        <f t="shared" si="2"/>
        <v>5</v>
      </c>
    </row>
    <row r="59">
      <c r="A59" s="72">
        <f t="shared" si="1"/>
        <v>58</v>
      </c>
      <c r="B59" s="46" t="str">
        <f>IFERROR(__xludf.DUMMYFUNCTION("""COMPUTED_VALUE"""),"AURA HANNA ZILFAH DLOFWATUL `AISY")</f>
        <v>AURA HANNA ZILFAH DLOFWATUL `AISY</v>
      </c>
      <c r="C59" s="74">
        <f>IFERROR(__xludf.DUMMYFUNCTION("""COMPUTED_VALUE"""),2.025070411E9)</f>
        <v>2025070411</v>
      </c>
      <c r="D59" s="72" t="str">
        <f>IFERROR(__xludf.DUMMYFUNCTION("""COMPUTED_VALUE"""),"E")</f>
        <v>E</v>
      </c>
      <c r="E59" s="72" t="str">
        <f>IFERROR(__xludf.DUMMYFUNCTION("""COMPUTED_VALUE"""),"E-5")</f>
        <v>E-5</v>
      </c>
      <c r="F59" s="75">
        <f>IFERROR(__xludf.DUMMYFUNCTION("""COMPUTED_VALUE"""),2.0)</f>
        <v>2</v>
      </c>
      <c r="G59" s="46" t="str">
        <f>IFERROR(__xludf.DUMMYFUNCTION("""COMPUTED_VALUE"""),"2 WUSTHO B PUTRI")</f>
        <v>2 WUSTHO B PUTRI</v>
      </c>
      <c r="H59" s="46" t="str">
        <f>IFERROR(__xludf.DUMMYFUNCTION("""COMPUTED_VALUE"""),"SUTIKNO")</f>
        <v>SUTIKNO</v>
      </c>
      <c r="I59" s="46" t="str">
        <f>IFERROR(__xludf.DUMMYFUNCTION("""COMPUTED_VALUE"""),"SUCI NASROTUL UMMAH")</f>
        <v>SUCI NASROTUL UMMAH</v>
      </c>
      <c r="J59" s="46" t="str">
        <f>IFERROR(__xludf.DUMMYFUNCTION("""COMPUTED_VALUE"""),"PANGEAN RT 006 RW 002 MADURAN LAMONGAN")</f>
        <v>PANGEAN RT 006 RW 002 MADURAN LAMONGAN</v>
      </c>
      <c r="K59" s="76" t="str">
        <f>IFERROR(__xludf.DUMMYFUNCTION("""COMPUTED_VALUE"""),"6282141276033")</f>
        <v>6282141276033</v>
      </c>
      <c r="L59" s="77">
        <f>IFERROR(__xludf.DUMMYFUNCTION("""COMPUTED_VALUE"""),0.0)</f>
        <v>0</v>
      </c>
      <c r="M59" s="77">
        <f>IFERROR(__xludf.DUMMYFUNCTION("""COMPUTED_VALUE"""),0.0)</f>
        <v>0</v>
      </c>
      <c r="N59" s="77">
        <f>IFERROR(__xludf.DUMMYFUNCTION("""COMPUTED_VALUE"""),0.0)</f>
        <v>0</v>
      </c>
      <c r="O59" s="77">
        <f>IFERROR(__xludf.DUMMYFUNCTION("""COMPUTED_VALUE"""),0.0)</f>
        <v>0</v>
      </c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74">
        <f t="shared" si="2"/>
        <v>73</v>
      </c>
    </row>
    <row r="60">
      <c r="A60" s="72">
        <f t="shared" si="1"/>
        <v>59</v>
      </c>
      <c r="B60" s="46" t="str">
        <f>IFERROR(__xludf.DUMMYFUNCTION("""COMPUTED_VALUE"""),"NURUL AZMY")</f>
        <v>NURUL AZMY</v>
      </c>
      <c r="C60" s="74">
        <f>IFERROR(__xludf.DUMMYFUNCTION("""COMPUTED_VALUE"""),2.02507013E9)</f>
        <v>2025070130</v>
      </c>
      <c r="D60" s="72" t="str">
        <f>IFERROR(__xludf.DUMMYFUNCTION("""COMPUTED_VALUE"""),"E")</f>
        <v>E</v>
      </c>
      <c r="E60" s="72" t="str">
        <f>IFERROR(__xludf.DUMMYFUNCTION("""COMPUTED_VALUE"""),"E-5")</f>
        <v>E-5</v>
      </c>
      <c r="F60" s="75">
        <f>IFERROR(__xludf.DUMMYFUNCTION("""COMPUTED_VALUE"""),2.0)</f>
        <v>2</v>
      </c>
      <c r="G60" s="46" t="str">
        <f>IFERROR(__xludf.DUMMYFUNCTION("""COMPUTED_VALUE"""),"2 MAK PUTRI")</f>
        <v>2 MAK PUTRI</v>
      </c>
      <c r="H60" s="46" t="str">
        <f>IFERROR(__xludf.DUMMYFUNCTION("""COMPUTED_VALUE"""),"MUCHLISIN")</f>
        <v>MUCHLISIN</v>
      </c>
      <c r="I60" s="46" t="str">
        <f>IFERROR(__xludf.DUMMYFUNCTION("""COMPUTED_VALUE"""),"NUNUK UMA`IYAH")</f>
        <v>NUNUK UMA`IYAH</v>
      </c>
      <c r="J60" s="46" t="str">
        <f>IFERROR(__xludf.DUMMYFUNCTION("""COMPUTED_VALUE"""),"KEPATIHAN SUKOREJO RT 007 RW 002 TURI LAMONGAN")</f>
        <v>KEPATIHAN SUKOREJO RT 007 RW 002 TURI LAMONGAN</v>
      </c>
      <c r="K60" s="76" t="str">
        <f>IFERROR(__xludf.DUMMYFUNCTION("""COMPUTED_VALUE"""),"6285607273151")</f>
        <v>6285607273151</v>
      </c>
      <c r="L60" s="77">
        <f>IFERROR(__xludf.DUMMYFUNCTION("""COMPUTED_VALUE"""),0.0)</f>
        <v>0</v>
      </c>
      <c r="M60" s="77">
        <f>IFERROR(__xludf.DUMMYFUNCTION("""COMPUTED_VALUE"""),0.0)</f>
        <v>0</v>
      </c>
      <c r="N60" s="77">
        <f>IFERROR(__xludf.DUMMYFUNCTION("""COMPUTED_VALUE"""),0.0)</f>
        <v>0</v>
      </c>
      <c r="O60" s="77">
        <f>IFERROR(__xludf.DUMMYFUNCTION("""COMPUTED_VALUE"""),0.0)</f>
        <v>0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74">
        <f t="shared" si="2"/>
        <v>74</v>
      </c>
    </row>
    <row r="61">
      <c r="A61" s="72">
        <f t="shared" si="1"/>
        <v>60</v>
      </c>
      <c r="B61" s="46" t="str">
        <f>IFERROR(__xludf.DUMMYFUNCTION("""COMPUTED_VALUE"""),"INTAN PUTRI CAHYANI")</f>
        <v>INTAN PUTRI CAHYANI</v>
      </c>
      <c r="C61" s="74">
        <f>IFERROR(__xludf.DUMMYFUNCTION("""COMPUTED_VALUE"""),2.025070101E9)</f>
        <v>2025070101</v>
      </c>
      <c r="D61" s="72" t="str">
        <f>IFERROR(__xludf.DUMMYFUNCTION("""COMPUTED_VALUE"""),"E")</f>
        <v>E</v>
      </c>
      <c r="E61" s="72" t="str">
        <f>IFERROR(__xludf.DUMMYFUNCTION("""COMPUTED_VALUE"""),"E-5")</f>
        <v>E-5</v>
      </c>
      <c r="F61" s="75">
        <f>IFERROR(__xludf.DUMMYFUNCTION("""COMPUTED_VALUE"""),2.0)</f>
        <v>2</v>
      </c>
      <c r="G61" s="46" t="str">
        <f>IFERROR(__xludf.DUMMYFUNCTION("""COMPUTED_VALUE"""),"2 MAK PUTRI")</f>
        <v>2 MAK PUTRI</v>
      </c>
      <c r="H61" s="46" t="str">
        <f>IFERROR(__xludf.DUMMYFUNCTION("""COMPUTED_VALUE"""),"SUMARNO")</f>
        <v>SUMARNO</v>
      </c>
      <c r="I61" s="46" t="str">
        <f>IFERROR(__xludf.DUMMYFUNCTION("""COMPUTED_VALUE"""),"TRISNA WATI")</f>
        <v>TRISNA WATI</v>
      </c>
      <c r="J61" s="46" t="str">
        <f>IFERROR(__xludf.DUMMYFUNCTION("""COMPUTED_VALUE"""),"NGASINAN KEPATIHAN RT 002 RW 007 MENGANTI GRESIK")</f>
        <v>NGASINAN KEPATIHAN RT 002 RW 007 MENGANTI GRESIK</v>
      </c>
      <c r="K61" s="76" t="str">
        <f>IFERROR(__xludf.DUMMYFUNCTION("""COMPUTED_VALUE"""),"62882010266512")</f>
        <v>62882010266512</v>
      </c>
      <c r="L61" s="77">
        <f>IFERROR(__xludf.DUMMYFUNCTION("""COMPUTED_VALUE"""),0.0)</f>
        <v>0</v>
      </c>
      <c r="M61" s="77">
        <f>IFERROR(__xludf.DUMMYFUNCTION("""COMPUTED_VALUE"""),0.0)</f>
        <v>0</v>
      </c>
      <c r="N61" s="77">
        <f>IFERROR(__xludf.DUMMYFUNCTION("""COMPUTED_VALUE"""),0.0)</f>
        <v>0</v>
      </c>
      <c r="O61" s="77">
        <f>IFERROR(__xludf.DUMMYFUNCTION("""COMPUTED_VALUE"""),0.0)</f>
        <v>0</v>
      </c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74">
        <f t="shared" si="2"/>
        <v>75</v>
      </c>
    </row>
    <row r="62">
      <c r="A62" s="72">
        <f t="shared" si="1"/>
        <v>61</v>
      </c>
      <c r="B62" s="46" t="str">
        <f>IFERROR(__xludf.DUMMYFUNCTION("""COMPUTED_VALUE"""),"ZAIMAH LULU AZKIYAH")</f>
        <v>ZAIMAH LULU AZKIYAH</v>
      </c>
      <c r="C62" s="74">
        <f>IFERROR(__xludf.DUMMYFUNCTION("""COMPUTED_VALUE"""),2.02507021E9)</f>
        <v>2025070210</v>
      </c>
      <c r="D62" s="72" t="str">
        <f>IFERROR(__xludf.DUMMYFUNCTION("""COMPUTED_VALUE"""),"E")</f>
        <v>E</v>
      </c>
      <c r="E62" s="72" t="str">
        <f>IFERROR(__xludf.DUMMYFUNCTION("""COMPUTED_VALUE"""),"E-5")</f>
        <v>E-5</v>
      </c>
      <c r="F62" s="75">
        <f>IFERROR(__xludf.DUMMYFUNCTION("""COMPUTED_VALUE"""),2.0)</f>
        <v>2</v>
      </c>
      <c r="G62" s="46" t="str">
        <f>IFERROR(__xludf.DUMMYFUNCTION("""COMPUTED_VALUE"""),"2 WUSTHO B PUTRI")</f>
        <v>2 WUSTHO B PUTRI</v>
      </c>
      <c r="H62" s="46" t="str">
        <f>IFERROR(__xludf.DUMMYFUNCTION("""COMPUTED_VALUE"""),"FATAHUL HUDA")</f>
        <v>FATAHUL HUDA</v>
      </c>
      <c r="I62" s="46" t="str">
        <f>IFERROR(__xludf.DUMMYFUNCTION("""COMPUTED_VALUE"""),"AISOFATUL HABIBAH")</f>
        <v>AISOFATUL HABIBAH</v>
      </c>
      <c r="J62" s="46" t="str">
        <f>IFERROR(__xludf.DUMMYFUNCTION("""COMPUTED_VALUE"""),"GOWAH POMAHANJANGGAN RT 003 RW 001 TURI LAMONGAN")</f>
        <v>GOWAH POMAHANJANGGAN RT 003 RW 001 TURI LAMONGAN</v>
      </c>
      <c r="K62" s="76" t="str">
        <f>IFERROR(__xludf.DUMMYFUNCTION("""COMPUTED_VALUE"""),"6285812457269")</f>
        <v>6285812457269</v>
      </c>
      <c r="L62" s="77">
        <f>IFERROR(__xludf.DUMMYFUNCTION("""COMPUTED_VALUE"""),1000000.0)</f>
        <v>1000000</v>
      </c>
      <c r="M62" s="77">
        <f>IFERROR(__xludf.DUMMYFUNCTION("""COMPUTED_VALUE"""),0.0)</f>
        <v>0</v>
      </c>
      <c r="N62" s="77">
        <f>IFERROR(__xludf.DUMMYFUNCTION("""COMPUTED_VALUE"""),0.0)</f>
        <v>0</v>
      </c>
      <c r="O62" s="77">
        <f>IFERROR(__xludf.DUMMYFUNCTION("""COMPUTED_VALUE"""),1000000.0)</f>
        <v>1000000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74">
        <f t="shared" si="2"/>
        <v>39</v>
      </c>
    </row>
    <row r="63">
      <c r="A63" s="72">
        <f t="shared" si="1"/>
        <v>62</v>
      </c>
      <c r="B63" s="46" t="str">
        <f>IFERROR(__xludf.DUMMYFUNCTION("""COMPUTED_VALUE"""),"ANISA RETNO LULUK NUR MANGGALI")</f>
        <v>ANISA RETNO LULUK NUR MANGGALI</v>
      </c>
      <c r="C63" s="74">
        <f>IFERROR(__xludf.DUMMYFUNCTION("""COMPUTED_VALUE"""),2.025070598E9)</f>
        <v>2025070598</v>
      </c>
      <c r="D63" s="72" t="str">
        <f>IFERROR(__xludf.DUMMYFUNCTION("""COMPUTED_VALUE"""),"E")</f>
        <v>E</v>
      </c>
      <c r="E63" s="72" t="str">
        <f>IFERROR(__xludf.DUMMYFUNCTION("""COMPUTED_VALUE"""),"E-6")</f>
        <v>E-6</v>
      </c>
      <c r="F63" s="75">
        <f>IFERROR(__xludf.DUMMYFUNCTION("""COMPUTED_VALUE"""),2.0)</f>
        <v>2</v>
      </c>
      <c r="G63" s="46" t="str">
        <f>IFERROR(__xludf.DUMMYFUNCTION("""COMPUTED_VALUE"""),"2 ULA C PUTRI")</f>
        <v>2 ULA C PUTRI</v>
      </c>
      <c r="H63" s="46" t="str">
        <f>IFERROR(__xludf.DUMMYFUNCTION("""COMPUTED_VALUE"""),"ARIPIN")</f>
        <v>ARIPIN</v>
      </c>
      <c r="I63" s="46" t="str">
        <f>IFERROR(__xludf.DUMMYFUNCTION("""COMPUTED_VALUE"""),"LULUK MAHFUDHOTIN")</f>
        <v>LULUK MAHFUDHOTIN</v>
      </c>
      <c r="J63" s="46" t="str">
        <f>IFERROR(__xludf.DUMMYFUNCTION("""COMPUTED_VALUE"""),"KLITIK RT 019 RW 005 SUGIHWARAS BOJONEGORO")</f>
        <v>KLITIK RT 019 RW 005 SUGIHWARAS BOJONEGORO</v>
      </c>
      <c r="K63" s="76" t="str">
        <f>IFERROR(__xludf.DUMMYFUNCTION("""COMPUTED_VALUE"""),"6285749892788")</f>
        <v>6285749892788</v>
      </c>
      <c r="L63" s="77">
        <f>IFERROR(__xludf.DUMMYFUNCTION("""COMPUTED_VALUE"""),0.0)</f>
        <v>0</v>
      </c>
      <c r="M63" s="77">
        <f>IFERROR(__xludf.DUMMYFUNCTION("""COMPUTED_VALUE"""),200000.0)</f>
        <v>200000</v>
      </c>
      <c r="N63" s="77">
        <f>IFERROR(__xludf.DUMMYFUNCTION("""COMPUTED_VALUE"""),0.0)</f>
        <v>0</v>
      </c>
      <c r="O63" s="77">
        <f>IFERROR(__xludf.DUMMYFUNCTION("""COMPUTED_VALUE"""),200000.0)</f>
        <v>200000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74">
        <f t="shared" si="2"/>
        <v>57</v>
      </c>
    </row>
    <row r="64">
      <c r="A64" s="72">
        <f t="shared" si="1"/>
        <v>63</v>
      </c>
      <c r="B64" s="46" t="str">
        <f>IFERROR(__xludf.DUMMYFUNCTION("""COMPUTED_VALUE"""),"ANITA RETNO LULUK NUR WAKISTASARI")</f>
        <v>ANITA RETNO LULUK NUR WAKISTASARI</v>
      </c>
      <c r="C64" s="74">
        <f>IFERROR(__xludf.DUMMYFUNCTION("""COMPUTED_VALUE"""),2.025070599E9)</f>
        <v>2025070599</v>
      </c>
      <c r="D64" s="72" t="str">
        <f>IFERROR(__xludf.DUMMYFUNCTION("""COMPUTED_VALUE"""),"E")</f>
        <v>E</v>
      </c>
      <c r="E64" s="72" t="str">
        <f>IFERROR(__xludf.DUMMYFUNCTION("""COMPUTED_VALUE"""),"E-6")</f>
        <v>E-6</v>
      </c>
      <c r="F64" s="75">
        <f>IFERROR(__xludf.DUMMYFUNCTION("""COMPUTED_VALUE"""),2.0)</f>
        <v>2</v>
      </c>
      <c r="G64" s="46" t="str">
        <f>IFERROR(__xludf.DUMMYFUNCTION("""COMPUTED_VALUE"""),"2 ULA B PUTRI")</f>
        <v>2 ULA B PUTRI</v>
      </c>
      <c r="H64" s="46" t="str">
        <f>IFERROR(__xludf.DUMMYFUNCTION("""COMPUTED_VALUE"""),"ARIPIN")</f>
        <v>ARIPIN</v>
      </c>
      <c r="I64" s="46" t="str">
        <f>IFERROR(__xludf.DUMMYFUNCTION("""COMPUTED_VALUE"""),"LULUK MAHFUDHOTIN")</f>
        <v>LULUK MAHFUDHOTIN</v>
      </c>
      <c r="J64" s="46" t="str">
        <f>IFERROR(__xludf.DUMMYFUNCTION("""COMPUTED_VALUE"""),"KLITIK RT 019 RW 005 SUGIHWARAS BOJONEGORO")</f>
        <v>KLITIK RT 019 RW 005 SUGIHWARAS BOJONEGORO</v>
      </c>
      <c r="K64" s="76" t="str">
        <f>IFERROR(__xludf.DUMMYFUNCTION("""COMPUTED_VALUE"""),"6285749892788")</f>
        <v>6285749892788</v>
      </c>
      <c r="L64" s="77">
        <f>IFERROR(__xludf.DUMMYFUNCTION("""COMPUTED_VALUE"""),0.0)</f>
        <v>0</v>
      </c>
      <c r="M64" s="77">
        <f>IFERROR(__xludf.DUMMYFUNCTION("""COMPUTED_VALUE"""),200000.0)</f>
        <v>200000</v>
      </c>
      <c r="N64" s="77">
        <f>IFERROR(__xludf.DUMMYFUNCTION("""COMPUTED_VALUE"""),0.0)</f>
        <v>0</v>
      </c>
      <c r="O64" s="77">
        <f>IFERROR(__xludf.DUMMYFUNCTION("""COMPUTED_VALUE"""),200000.0)</f>
        <v>200000</v>
      </c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74">
        <f t="shared" si="2"/>
        <v>58</v>
      </c>
    </row>
    <row r="65">
      <c r="A65" s="72">
        <f t="shared" si="1"/>
        <v>64</v>
      </c>
      <c r="B65" s="46" t="str">
        <f>IFERROR(__xludf.DUMMYFUNCTION("""COMPUTED_VALUE"""),"ASYIFATUR RAHMAH AL AZZA")</f>
        <v>ASYIFATUR RAHMAH AL AZZA</v>
      </c>
      <c r="C65" s="74">
        <f>IFERROR(__xludf.DUMMYFUNCTION("""COMPUTED_VALUE"""),2.025070664E9)</f>
        <v>2025070664</v>
      </c>
      <c r="D65" s="72" t="str">
        <f>IFERROR(__xludf.DUMMYFUNCTION("""COMPUTED_VALUE"""),"E")</f>
        <v>E</v>
      </c>
      <c r="E65" s="72" t="str">
        <f>IFERROR(__xludf.DUMMYFUNCTION("""COMPUTED_VALUE"""),"E-6")</f>
        <v>E-6</v>
      </c>
      <c r="F65" s="75">
        <f>IFERROR(__xludf.DUMMYFUNCTION("""COMPUTED_VALUE"""),2.0)</f>
        <v>2</v>
      </c>
      <c r="G65" s="46" t="str">
        <f>IFERROR(__xludf.DUMMYFUNCTION("""COMPUTED_VALUE"""),"2 ULA B PUTRI")</f>
        <v>2 ULA B PUTRI</v>
      </c>
      <c r="H65" s="46" t="str">
        <f>IFERROR(__xludf.DUMMYFUNCTION("""COMPUTED_VALUE"""),"MARKUWAT")</f>
        <v>MARKUWAT</v>
      </c>
      <c r="I65" s="46" t="str">
        <f>IFERROR(__xludf.DUMMYFUNCTION("""COMPUTED_VALUE"""),"KHOLIFAH")</f>
        <v>KHOLIFAH</v>
      </c>
      <c r="J65" s="46" t="str">
        <f>IFERROR(__xludf.DUMMYFUNCTION("""COMPUTED_VALUE"""),"DIBEE RT 009 RW 003 KALITENGAH LAMONGAN")</f>
        <v>DIBEE RT 009 RW 003 KALITENGAH LAMONGAN</v>
      </c>
      <c r="K65" s="76" t="str">
        <f>IFERROR(__xludf.DUMMYFUNCTION("""COMPUTED_VALUE"""),"6285859446395")</f>
        <v>6285859446395</v>
      </c>
      <c r="L65" s="77">
        <f>IFERROR(__xludf.DUMMYFUNCTION("""COMPUTED_VALUE"""),3000000.0)</f>
        <v>3000000</v>
      </c>
      <c r="M65" s="77">
        <f>IFERROR(__xludf.DUMMYFUNCTION("""COMPUTED_VALUE"""),0.0)</f>
        <v>0</v>
      </c>
      <c r="N65" s="77">
        <f>IFERROR(__xludf.DUMMYFUNCTION("""COMPUTED_VALUE"""),0.0)</f>
        <v>0</v>
      </c>
      <c r="O65" s="77">
        <f>IFERROR(__xludf.DUMMYFUNCTION("""COMPUTED_VALUE"""),3000000.0)</f>
        <v>3000000</v>
      </c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74">
        <f t="shared" si="2"/>
        <v>8</v>
      </c>
    </row>
    <row r="66">
      <c r="A66" s="72">
        <f t="shared" si="1"/>
        <v>65</v>
      </c>
      <c r="B66" s="46" t="str">
        <f>IFERROR(__xludf.DUMMYFUNCTION("""COMPUTED_VALUE"""),"CITRA RAMADHANIA ABDILLAH")</f>
        <v>CITRA RAMADHANIA ABDILLAH</v>
      </c>
      <c r="C66" s="74">
        <f>IFERROR(__xludf.DUMMYFUNCTION("""COMPUTED_VALUE"""),2.025070549E9)</f>
        <v>2025070549</v>
      </c>
      <c r="D66" s="72" t="str">
        <f>IFERROR(__xludf.DUMMYFUNCTION("""COMPUTED_VALUE"""),"E")</f>
        <v>E</v>
      </c>
      <c r="E66" s="72" t="str">
        <f>IFERROR(__xludf.DUMMYFUNCTION("""COMPUTED_VALUE"""),"E-6")</f>
        <v>E-6</v>
      </c>
      <c r="F66" s="75">
        <f>IFERROR(__xludf.DUMMYFUNCTION("""COMPUTED_VALUE"""),2.0)</f>
        <v>2</v>
      </c>
      <c r="G66" s="46" t="str">
        <f>IFERROR(__xludf.DUMMYFUNCTION("""COMPUTED_VALUE"""),"2 ULA B PUTRI")</f>
        <v>2 ULA B PUTRI</v>
      </c>
      <c r="H66" s="46" t="str">
        <f>IFERROR(__xludf.DUMMYFUNCTION("""COMPUTED_VALUE"""),"ABDULLAH")</f>
        <v>ABDULLAH</v>
      </c>
      <c r="I66" s="46" t="str">
        <f>IFERROR(__xludf.DUMMYFUNCTION("""COMPUTED_VALUE"""),"WIJIANTI")</f>
        <v>WIJIANTI</v>
      </c>
      <c r="J66" s="46" t="str">
        <f>IFERROR(__xludf.DUMMYFUNCTION("""COMPUTED_VALUE"""),"BETOYOGUCI RT 014 RW 005 MANYAR GRESIK")</f>
        <v>BETOYOGUCI RT 014 RW 005 MANYAR GRESIK</v>
      </c>
      <c r="K66" s="76" t="str">
        <f>IFERROR(__xludf.DUMMYFUNCTION("""COMPUTED_VALUE"""),"6281293344944")</f>
        <v>6281293344944</v>
      </c>
      <c r="L66" s="77">
        <f>IFERROR(__xludf.DUMMYFUNCTION("""COMPUTED_VALUE"""),0.0)</f>
        <v>0</v>
      </c>
      <c r="M66" s="77">
        <f>IFERROR(__xludf.DUMMYFUNCTION("""COMPUTED_VALUE"""),0.0)</f>
        <v>0</v>
      </c>
      <c r="N66" s="77">
        <f>IFERROR(__xludf.DUMMYFUNCTION("""COMPUTED_VALUE"""),0.0)</f>
        <v>0</v>
      </c>
      <c r="O66" s="77">
        <f>IFERROR(__xludf.DUMMYFUNCTION("""COMPUTED_VALUE"""),0.0)</f>
        <v>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74">
        <f t="shared" si="2"/>
        <v>76</v>
      </c>
    </row>
    <row r="67">
      <c r="A67" s="72">
        <f t="shared" si="1"/>
        <v>66</v>
      </c>
      <c r="B67" s="46" t="str">
        <f>IFERROR(__xludf.DUMMYFUNCTION("""COMPUTED_VALUE"""),"FAIZAH WAHIDATUR RAHMAH")</f>
        <v>FAIZAH WAHIDATUR RAHMAH</v>
      </c>
      <c r="C67" s="74">
        <f>IFERROR(__xludf.DUMMYFUNCTION("""COMPUTED_VALUE"""),2.02507057E9)</f>
        <v>2025070570</v>
      </c>
      <c r="D67" s="72" t="str">
        <f>IFERROR(__xludf.DUMMYFUNCTION("""COMPUTED_VALUE"""),"E")</f>
        <v>E</v>
      </c>
      <c r="E67" s="72" t="str">
        <f>IFERROR(__xludf.DUMMYFUNCTION("""COMPUTED_VALUE"""),"E-6")</f>
        <v>E-6</v>
      </c>
      <c r="F67" s="75">
        <f>IFERROR(__xludf.DUMMYFUNCTION("""COMPUTED_VALUE"""),2.0)</f>
        <v>2</v>
      </c>
      <c r="G67" s="46" t="str">
        <f>IFERROR(__xludf.DUMMYFUNCTION("""COMPUTED_VALUE"""),"2 ULA B PUTRI")</f>
        <v>2 ULA B PUTRI</v>
      </c>
      <c r="H67" s="46" t="str">
        <f>IFERROR(__xludf.DUMMYFUNCTION("""COMPUTED_VALUE"""),"ARIF RAHMAN")</f>
        <v>ARIF RAHMAN</v>
      </c>
      <c r="I67" s="46" t="str">
        <f>IFERROR(__xludf.DUMMYFUNCTION("""COMPUTED_VALUE"""),"MAISYATUL FARIDAH")</f>
        <v>MAISYATUL FARIDAH</v>
      </c>
      <c r="J67" s="46" t="str">
        <f>IFERROR(__xludf.DUMMYFUNCTION("""COMPUTED_VALUE"""),"JL. SUNAN DRAJAT NO. 87 SIDOHARJO RT 002 RW 002 LAMONGAN LAMONGAN")</f>
        <v>JL. SUNAN DRAJAT NO. 87 SIDOHARJO RT 002 RW 002 LAMONGAN LAMONGAN</v>
      </c>
      <c r="K67" s="76" t="str">
        <f>IFERROR(__xludf.DUMMYFUNCTION("""COMPUTED_VALUE"""),"6287701956767")</f>
        <v>6287701956767</v>
      </c>
      <c r="L67" s="77">
        <f>IFERROR(__xludf.DUMMYFUNCTION("""COMPUTED_VALUE"""),0.0)</f>
        <v>0</v>
      </c>
      <c r="M67" s="77">
        <f>IFERROR(__xludf.DUMMYFUNCTION("""COMPUTED_VALUE"""),1000000.0)</f>
        <v>1000000</v>
      </c>
      <c r="N67" s="77">
        <f>IFERROR(__xludf.DUMMYFUNCTION("""COMPUTED_VALUE"""),0.0)</f>
        <v>0</v>
      </c>
      <c r="O67" s="77">
        <f>IFERROR(__xludf.DUMMYFUNCTION("""COMPUTED_VALUE"""),1000000.0)</f>
        <v>1000000</v>
      </c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74">
        <f t="shared" si="2"/>
        <v>40</v>
      </c>
    </row>
    <row r="68">
      <c r="A68" s="72">
        <f t="shared" si="1"/>
        <v>67</v>
      </c>
      <c r="B68" s="46" t="str">
        <f>IFERROR(__xludf.DUMMYFUNCTION("""COMPUTED_VALUE"""),"TITIN HAMIDAH ALIFIA")</f>
        <v>TITIN HAMIDAH ALIFIA</v>
      </c>
      <c r="C68" s="74">
        <f>IFERROR(__xludf.DUMMYFUNCTION("""COMPUTED_VALUE"""),2.025070581E9)</f>
        <v>2025070581</v>
      </c>
      <c r="D68" s="72" t="str">
        <f>IFERROR(__xludf.DUMMYFUNCTION("""COMPUTED_VALUE"""),"E")</f>
        <v>E</v>
      </c>
      <c r="E68" s="72" t="str">
        <f>IFERROR(__xludf.DUMMYFUNCTION("""COMPUTED_VALUE"""),"E-6")</f>
        <v>E-6</v>
      </c>
      <c r="F68" s="75">
        <f>IFERROR(__xludf.DUMMYFUNCTION("""COMPUTED_VALUE"""),2.0)</f>
        <v>2</v>
      </c>
      <c r="G68" s="46" t="str">
        <f>IFERROR(__xludf.DUMMYFUNCTION("""COMPUTED_VALUE"""),"2 ULA A PUTRI")</f>
        <v>2 ULA A PUTRI</v>
      </c>
      <c r="H68" s="46" t="str">
        <f>IFERROR(__xludf.DUMMYFUNCTION("""COMPUTED_VALUE"""),"AHMAD")</f>
        <v>AHMAD</v>
      </c>
      <c r="I68" s="46" t="str">
        <f>IFERROR(__xludf.DUMMYFUNCTION("""COMPUTED_VALUE"""),"SITI MAGHFIROH")</f>
        <v>SITI MAGHFIROH</v>
      </c>
      <c r="J68" s="46" t="str">
        <f>IFERROR(__xludf.DUMMYFUNCTION("""COMPUTED_VALUE"""),"GUYANGAN KEMLAGIGEDE RT 013 RW 003 TURI LAMONGAN")</f>
        <v>GUYANGAN KEMLAGIGEDE RT 013 RW 003 TURI LAMONGAN</v>
      </c>
      <c r="K68" s="76" t="str">
        <f>IFERROR(__xludf.DUMMYFUNCTION("""COMPUTED_VALUE"""),"6285755628243")</f>
        <v>6285755628243</v>
      </c>
      <c r="L68" s="77">
        <f>IFERROR(__xludf.DUMMYFUNCTION("""COMPUTED_VALUE"""),0.0)</f>
        <v>0</v>
      </c>
      <c r="M68" s="77">
        <f>IFERROR(__xludf.DUMMYFUNCTION("""COMPUTED_VALUE"""),500000.0)</f>
        <v>500000</v>
      </c>
      <c r="N68" s="77">
        <f>IFERROR(__xludf.DUMMYFUNCTION("""COMPUTED_VALUE"""),0.0)</f>
        <v>0</v>
      </c>
      <c r="O68" s="77">
        <f>IFERROR(__xludf.DUMMYFUNCTION("""COMPUTED_VALUE"""),500000.0)</f>
        <v>500000</v>
      </c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74">
        <f t="shared" si="2"/>
        <v>53</v>
      </c>
    </row>
    <row r="69">
      <c r="A69" s="72">
        <f t="shared" si="1"/>
        <v>68</v>
      </c>
      <c r="B69" s="46" t="str">
        <f>IFERROR(__xludf.DUMMYFUNCTION("""COMPUTED_VALUE"""),"AJENG `AINUS SHOFIA")</f>
        <v>AJENG `AINUS SHOFIA</v>
      </c>
      <c r="C69" s="74">
        <f>IFERROR(__xludf.DUMMYFUNCTION("""COMPUTED_VALUE"""),2.025070024E9)</f>
        <v>2025070024</v>
      </c>
      <c r="D69" s="72" t="str">
        <f>IFERROR(__xludf.DUMMYFUNCTION("""COMPUTED_VALUE"""),"E")</f>
        <v>E</v>
      </c>
      <c r="E69" s="72" t="str">
        <f>IFERROR(__xludf.DUMMYFUNCTION("""COMPUTED_VALUE"""),"E-6")</f>
        <v>E-6</v>
      </c>
      <c r="F69" s="75">
        <f>IFERROR(__xludf.DUMMYFUNCTION("""COMPUTED_VALUE"""),2.0)</f>
        <v>2</v>
      </c>
      <c r="G69" s="46" t="str">
        <f>IFERROR(__xludf.DUMMYFUNCTION("""COMPUTED_VALUE"""),"2 WUSTHO B PUTRI")</f>
        <v>2 WUSTHO B PUTRI</v>
      </c>
      <c r="H69" s="46" t="str">
        <f>IFERROR(__xludf.DUMMYFUNCTION("""COMPUTED_VALUE"""),"KHOIRUL HUDA")</f>
        <v>KHOIRUL HUDA</v>
      </c>
      <c r="I69" s="46" t="str">
        <f>IFERROR(__xludf.DUMMYFUNCTION("""COMPUTED_VALUE"""),"TUTUS YUVANA")</f>
        <v>TUTUS YUVANA</v>
      </c>
      <c r="J69" s="46" t="str">
        <f>IFERROR(__xludf.DUMMYFUNCTION("""COMPUTED_VALUE"""),"GUMINING GUMININGREJO RT 003 RW 001 TIKUNG LAMONGAN")</f>
        <v>GUMINING GUMININGREJO RT 003 RW 001 TIKUNG LAMONGAN</v>
      </c>
      <c r="K69" s="76" t="str">
        <f>IFERROR(__xludf.DUMMYFUNCTION("""COMPUTED_VALUE"""),"62816216569")</f>
        <v>62816216569</v>
      </c>
      <c r="L69" s="77">
        <f>IFERROR(__xludf.DUMMYFUNCTION("""COMPUTED_VALUE"""),0.0)</f>
        <v>0</v>
      </c>
      <c r="M69" s="77">
        <f>IFERROR(__xludf.DUMMYFUNCTION("""COMPUTED_VALUE"""),0.0)</f>
        <v>0</v>
      </c>
      <c r="N69" s="77">
        <f>IFERROR(__xludf.DUMMYFUNCTION("""COMPUTED_VALUE"""),0.0)</f>
        <v>0</v>
      </c>
      <c r="O69" s="77">
        <f>IFERROR(__xludf.DUMMYFUNCTION("""COMPUTED_VALUE"""),0.0)</f>
        <v>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74">
        <f t="shared" si="2"/>
        <v>77</v>
      </c>
    </row>
    <row r="70">
      <c r="A70" s="72">
        <f t="shared" si="1"/>
        <v>69</v>
      </c>
      <c r="B70" s="46" t="str">
        <f>IFERROR(__xludf.DUMMYFUNCTION("""COMPUTED_VALUE"""),"NI`MATUL JANNAH")</f>
        <v>NI`MATUL JANNAH</v>
      </c>
      <c r="C70" s="74">
        <f>IFERROR(__xludf.DUMMYFUNCTION("""COMPUTED_VALUE"""),2.025070199E9)</f>
        <v>2025070199</v>
      </c>
      <c r="D70" s="72" t="str">
        <f>IFERROR(__xludf.DUMMYFUNCTION("""COMPUTED_VALUE"""),"E")</f>
        <v>E</v>
      </c>
      <c r="E70" s="72" t="str">
        <f>IFERROR(__xludf.DUMMYFUNCTION("""COMPUTED_VALUE"""),"E-6")</f>
        <v>E-6</v>
      </c>
      <c r="F70" s="75">
        <f>IFERROR(__xludf.DUMMYFUNCTION("""COMPUTED_VALUE"""),2.0)</f>
        <v>2</v>
      </c>
      <c r="G70" s="46" t="str">
        <f>IFERROR(__xludf.DUMMYFUNCTION("""COMPUTED_VALUE"""),"2 MAK PUTRI")</f>
        <v>2 MAK PUTRI</v>
      </c>
      <c r="H70" s="46" t="str">
        <f>IFERROR(__xludf.DUMMYFUNCTION("""COMPUTED_VALUE"""),"IMAM FAUZI")</f>
        <v>IMAM FAUZI</v>
      </c>
      <c r="I70" s="46" t="str">
        <f>IFERROR(__xludf.DUMMYFUNCTION("""COMPUTED_VALUE"""),"YUSROTIN")</f>
        <v>YUSROTIN</v>
      </c>
      <c r="J70" s="46" t="str">
        <f>IFERROR(__xludf.DUMMYFUNCTION("""COMPUTED_VALUE"""),"GEDONGKEDOAN RT 002 RW 001 DUKUN GRESIK")</f>
        <v>GEDONGKEDOAN RT 002 RW 001 DUKUN GRESIK</v>
      </c>
      <c r="K70" s="76" t="str">
        <f>IFERROR(__xludf.DUMMYFUNCTION("""COMPUTED_VALUE"""),"6285606014252")</f>
        <v>6285606014252</v>
      </c>
      <c r="L70" s="77">
        <f>IFERROR(__xludf.DUMMYFUNCTION("""COMPUTED_VALUE"""),0.0)</f>
        <v>0</v>
      </c>
      <c r="M70" s="77">
        <f>IFERROR(__xludf.DUMMYFUNCTION("""COMPUTED_VALUE"""),0.0)</f>
        <v>0</v>
      </c>
      <c r="N70" s="77">
        <f>IFERROR(__xludf.DUMMYFUNCTION("""COMPUTED_VALUE"""),0.0)</f>
        <v>0</v>
      </c>
      <c r="O70" s="77">
        <f>IFERROR(__xludf.DUMMYFUNCTION("""COMPUTED_VALUE"""),0.0)</f>
        <v>0</v>
      </c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74">
        <f t="shared" si="2"/>
        <v>78</v>
      </c>
    </row>
    <row r="71">
      <c r="A71" s="72">
        <f t="shared" si="1"/>
        <v>70</v>
      </c>
      <c r="B71" s="46" t="str">
        <f>IFERROR(__xludf.DUMMYFUNCTION("""COMPUTED_VALUE"""),"AIDA NURUL AINI")</f>
        <v>AIDA NURUL AINI</v>
      </c>
      <c r="C71" s="74">
        <f>IFERROR(__xludf.DUMMYFUNCTION("""COMPUTED_VALUE"""),2.024070582E9)</f>
        <v>2024070582</v>
      </c>
      <c r="D71" s="72" t="str">
        <f>IFERROR(__xludf.DUMMYFUNCTION("""COMPUTED_VALUE"""),"E")</f>
        <v>E</v>
      </c>
      <c r="E71" s="72" t="str">
        <f>IFERROR(__xludf.DUMMYFUNCTION("""COMPUTED_VALUE"""),"E-9")</f>
        <v>E-9</v>
      </c>
      <c r="F71" s="75">
        <f>IFERROR(__xludf.DUMMYFUNCTION("""COMPUTED_VALUE"""),3.0)</f>
        <v>3</v>
      </c>
      <c r="G71" s="46" t="str">
        <f>IFERROR(__xludf.DUMMYFUNCTION("""COMPUTED_VALUE"""),"3 ULA A PUTRI")</f>
        <v>3 ULA A PUTRI</v>
      </c>
      <c r="H71" s="46" t="str">
        <f>IFERROR(__xludf.DUMMYFUNCTION("""COMPUTED_VALUE"""),"NURUL MISBAH")</f>
        <v>NURUL MISBAH</v>
      </c>
      <c r="I71" s="46" t="str">
        <f>IFERROR(__xludf.DUMMYFUNCTION("""COMPUTED_VALUE"""),"ZAINATUR ROBIHAH")</f>
        <v>ZAINATUR ROBIHAH</v>
      </c>
      <c r="J71" s="46" t="str">
        <f>IFERROR(__xludf.DUMMYFUNCTION("""COMPUTED_VALUE"""),"BANGERAN GENENG RT 003 RW 002 DUKUN GRESIK")</f>
        <v>BANGERAN GENENG RT 003 RW 002 DUKUN GRESIK</v>
      </c>
      <c r="K71" s="76" t="str">
        <f>IFERROR(__xludf.DUMMYFUNCTION("""COMPUTED_VALUE"""),"6285732704608")</f>
        <v>6285732704608</v>
      </c>
      <c r="L71" s="77">
        <f>IFERROR(__xludf.DUMMYFUNCTION("""COMPUTED_VALUE"""),0.0)</f>
        <v>0</v>
      </c>
      <c r="M71" s="77">
        <f>IFERROR(__xludf.DUMMYFUNCTION("""COMPUTED_VALUE"""),1000000.0)</f>
        <v>1000000</v>
      </c>
      <c r="N71" s="77">
        <f>IFERROR(__xludf.DUMMYFUNCTION("""COMPUTED_VALUE"""),0.0)</f>
        <v>0</v>
      </c>
      <c r="O71" s="77">
        <f>IFERROR(__xludf.DUMMYFUNCTION("""COMPUTED_VALUE"""),1000000.0)</f>
        <v>1000000</v>
      </c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74">
        <f t="shared" si="2"/>
        <v>41</v>
      </c>
    </row>
    <row r="72">
      <c r="A72" s="72">
        <f t="shared" si="1"/>
        <v>71</v>
      </c>
      <c r="B72" s="46" t="str">
        <f>IFERROR(__xludf.DUMMYFUNCTION("""COMPUTED_VALUE"""),"AIKE NESAFA ULIFIA")</f>
        <v>AIKE NESAFA ULIFIA</v>
      </c>
      <c r="C72" s="74">
        <f>IFERROR(__xludf.DUMMYFUNCTION("""COMPUTED_VALUE"""),2.02407045E9)</f>
        <v>2024070450</v>
      </c>
      <c r="D72" s="72" t="str">
        <f>IFERROR(__xludf.DUMMYFUNCTION("""COMPUTED_VALUE"""),"E")</f>
        <v>E</v>
      </c>
      <c r="E72" s="72" t="str">
        <f>IFERROR(__xludf.DUMMYFUNCTION("""COMPUTED_VALUE"""),"E-9")</f>
        <v>E-9</v>
      </c>
      <c r="F72" s="75">
        <f>IFERROR(__xludf.DUMMYFUNCTION("""COMPUTED_VALUE"""),3.0)</f>
        <v>3</v>
      </c>
      <c r="G72" s="46" t="str">
        <f>IFERROR(__xludf.DUMMYFUNCTION("""COMPUTED_VALUE"""),"3 ULA B PUTRI")</f>
        <v>3 ULA B PUTRI</v>
      </c>
      <c r="H72" s="46" t="str">
        <f>IFERROR(__xludf.DUMMYFUNCTION("""COMPUTED_VALUE"""),"WITONO")</f>
        <v>WITONO</v>
      </c>
      <c r="I72" s="46" t="str">
        <f>IFERROR(__xludf.DUMMYFUNCTION("""COMPUTED_VALUE"""),"MARIA ULFA")</f>
        <v>MARIA ULFA</v>
      </c>
      <c r="J72" s="46" t="str">
        <f>IFERROR(__xludf.DUMMYFUNCTION("""COMPUTED_VALUE"""),"KUSUMA BANGSA GG KERTANEGARA TUMENGGUNGAN RT 003 RW 006 LAMONGAN LAMONGAN")</f>
        <v>KUSUMA BANGSA GG KERTANEGARA TUMENGGUNGAN RT 003 RW 006 LAMONGAN LAMONGAN</v>
      </c>
      <c r="K72" s="76" t="str">
        <f>IFERROR(__xludf.DUMMYFUNCTION("""COMPUTED_VALUE"""),"6285733946516")</f>
        <v>6285733946516</v>
      </c>
      <c r="L72" s="77">
        <f>IFERROR(__xludf.DUMMYFUNCTION("""COMPUTED_VALUE"""),0.0)</f>
        <v>0</v>
      </c>
      <c r="M72" s="77">
        <f>IFERROR(__xludf.DUMMYFUNCTION("""COMPUTED_VALUE"""),0.0)</f>
        <v>0</v>
      </c>
      <c r="N72" s="77">
        <f>IFERROR(__xludf.DUMMYFUNCTION("""COMPUTED_VALUE"""),0.0)</f>
        <v>0</v>
      </c>
      <c r="O72" s="77">
        <f>IFERROR(__xludf.DUMMYFUNCTION("""COMPUTED_VALUE"""),0.0)</f>
        <v>0</v>
      </c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74">
        <f t="shared" si="2"/>
        <v>79</v>
      </c>
    </row>
    <row r="73">
      <c r="A73" s="72">
        <f t="shared" si="1"/>
        <v>72</v>
      </c>
      <c r="B73" s="46" t="str">
        <f>IFERROR(__xludf.DUMMYFUNCTION("""COMPUTED_VALUE"""),"CHARISA WANIDYA UTAMA HARTONO")</f>
        <v>CHARISA WANIDYA UTAMA HARTONO</v>
      </c>
      <c r="C73" s="74">
        <f>IFERROR(__xludf.DUMMYFUNCTION("""COMPUTED_VALUE"""),2.024070476E9)</f>
        <v>2024070476</v>
      </c>
      <c r="D73" s="72" t="str">
        <f>IFERROR(__xludf.DUMMYFUNCTION("""COMPUTED_VALUE"""),"E")</f>
        <v>E</v>
      </c>
      <c r="E73" s="72" t="str">
        <f>IFERROR(__xludf.DUMMYFUNCTION("""COMPUTED_VALUE"""),"E-9")</f>
        <v>E-9</v>
      </c>
      <c r="F73" s="75">
        <f>IFERROR(__xludf.DUMMYFUNCTION("""COMPUTED_VALUE"""),3.0)</f>
        <v>3</v>
      </c>
      <c r="G73" s="46" t="str">
        <f>IFERROR(__xludf.DUMMYFUNCTION("""COMPUTED_VALUE"""),"3 ULA A PUTRI")</f>
        <v>3 ULA A PUTRI</v>
      </c>
      <c r="H73" s="46" t="str">
        <f>IFERROR(__xludf.DUMMYFUNCTION("""COMPUTED_VALUE"""),"RUDI HARTONO")</f>
        <v>RUDI HARTONO</v>
      </c>
      <c r="I73" s="46" t="str">
        <f>IFERROR(__xludf.DUMMYFUNCTION("""COMPUTED_VALUE"""),"AINUL ISNAENI")</f>
        <v>AINUL ISNAENI</v>
      </c>
      <c r="J73" s="46" t="str">
        <f>IFERROR(__xludf.DUMMYFUNCTION("""COMPUTED_VALUE"""),"MULUNG KARANGTINGGIL RT 002 RW 001 PUCUK LAMONGAN")</f>
        <v>MULUNG KARANGTINGGIL RT 002 RW 001 PUCUK LAMONGAN</v>
      </c>
      <c r="K73" s="76" t="str">
        <f>IFERROR(__xludf.DUMMYFUNCTION("""COMPUTED_VALUE"""),"6282234537281")</f>
        <v>6282234537281</v>
      </c>
      <c r="L73" s="77">
        <f>IFERROR(__xludf.DUMMYFUNCTION("""COMPUTED_VALUE"""),0.0)</f>
        <v>0</v>
      </c>
      <c r="M73" s="77">
        <f>IFERROR(__xludf.DUMMYFUNCTION("""COMPUTED_VALUE"""),0.0)</f>
        <v>0</v>
      </c>
      <c r="N73" s="77">
        <f>IFERROR(__xludf.DUMMYFUNCTION("""COMPUTED_VALUE"""),0.0)</f>
        <v>0</v>
      </c>
      <c r="O73" s="77">
        <f>IFERROR(__xludf.DUMMYFUNCTION("""COMPUTED_VALUE"""),0.0)</f>
        <v>0</v>
      </c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74">
        <f t="shared" si="2"/>
        <v>80</v>
      </c>
    </row>
    <row r="74">
      <c r="A74" s="72">
        <f t="shared" si="1"/>
        <v>73</v>
      </c>
      <c r="B74" s="46" t="str">
        <f>IFERROR(__xludf.DUMMYFUNCTION("""COMPUTED_VALUE"""),"DWI MAULIDIYAH")</f>
        <v>DWI MAULIDIYAH</v>
      </c>
      <c r="C74" s="74">
        <f>IFERROR(__xludf.DUMMYFUNCTION("""COMPUTED_VALUE"""),2.024070596E9)</f>
        <v>2024070596</v>
      </c>
      <c r="D74" s="72" t="str">
        <f>IFERROR(__xludf.DUMMYFUNCTION("""COMPUTED_VALUE"""),"E")</f>
        <v>E</v>
      </c>
      <c r="E74" s="72" t="str">
        <f>IFERROR(__xludf.DUMMYFUNCTION("""COMPUTED_VALUE"""),"E-9")</f>
        <v>E-9</v>
      </c>
      <c r="F74" s="75">
        <f>IFERROR(__xludf.DUMMYFUNCTION("""COMPUTED_VALUE"""),3.0)</f>
        <v>3</v>
      </c>
      <c r="G74" s="46" t="str">
        <f>IFERROR(__xludf.DUMMYFUNCTION("""COMPUTED_VALUE"""),"3 ULA B PUTRI")</f>
        <v>3 ULA B PUTRI</v>
      </c>
      <c r="H74" s="46" t="str">
        <f>IFERROR(__xludf.DUMMYFUNCTION("""COMPUTED_VALUE"""),"USMAN HADI")</f>
        <v>USMAN HADI</v>
      </c>
      <c r="I74" s="46" t="str">
        <f>IFERROR(__xludf.DUMMYFUNCTION("""COMPUTED_VALUE"""),"ISLAMIYAH")</f>
        <v>ISLAMIYAH</v>
      </c>
      <c r="J74" s="46" t="str">
        <f>IFERROR(__xludf.DUMMYFUNCTION("""COMPUTED_VALUE"""),"KARANGTAPEN KARANGLANGIT RT 001 RW 003 LAMONGAN LAMONGAN")</f>
        <v>KARANGTAPEN KARANGLANGIT RT 001 RW 003 LAMONGAN LAMONGAN</v>
      </c>
      <c r="K74" s="76" t="str">
        <f>IFERROR(__xludf.DUMMYFUNCTION("""COMPUTED_VALUE"""),"6285853420436")</f>
        <v>6285853420436</v>
      </c>
      <c r="L74" s="77">
        <f>IFERROR(__xludf.DUMMYFUNCTION("""COMPUTED_VALUE"""),270000.0)</f>
        <v>270000</v>
      </c>
      <c r="M74" s="77">
        <f>IFERROR(__xludf.DUMMYFUNCTION("""COMPUTED_VALUE"""),0.0)</f>
        <v>0</v>
      </c>
      <c r="N74" s="77">
        <f>IFERROR(__xludf.DUMMYFUNCTION("""COMPUTED_VALUE"""),0.0)</f>
        <v>0</v>
      </c>
      <c r="O74" s="77">
        <f>IFERROR(__xludf.DUMMYFUNCTION("""COMPUTED_VALUE"""),270000.0)</f>
        <v>270000</v>
      </c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74">
        <f t="shared" si="2"/>
        <v>56</v>
      </c>
    </row>
    <row r="75">
      <c r="A75" s="72">
        <f t="shared" si="1"/>
        <v>74</v>
      </c>
      <c r="B75" s="46" t="str">
        <f>IFERROR(__xludf.DUMMYFUNCTION("""COMPUTED_VALUE"""),"FARAH OKTARIAN SYAHPUTRI")</f>
        <v>FARAH OKTARIAN SYAHPUTRI</v>
      </c>
      <c r="C75" s="74">
        <f>IFERROR(__xludf.DUMMYFUNCTION("""COMPUTED_VALUE"""),2.024070466E9)</f>
        <v>2024070466</v>
      </c>
      <c r="D75" s="72" t="str">
        <f>IFERROR(__xludf.DUMMYFUNCTION("""COMPUTED_VALUE"""),"E")</f>
        <v>E</v>
      </c>
      <c r="E75" s="72" t="str">
        <f>IFERROR(__xludf.DUMMYFUNCTION("""COMPUTED_VALUE"""),"E-9")</f>
        <v>E-9</v>
      </c>
      <c r="F75" s="75">
        <f>IFERROR(__xludf.DUMMYFUNCTION("""COMPUTED_VALUE"""),3.0)</f>
        <v>3</v>
      </c>
      <c r="G75" s="46" t="str">
        <f>IFERROR(__xludf.DUMMYFUNCTION("""COMPUTED_VALUE"""),"3 ULA C PUTRI")</f>
        <v>3 ULA C PUTRI</v>
      </c>
      <c r="H75" s="46" t="str">
        <f>IFERROR(__xludf.DUMMYFUNCTION("""COMPUTED_VALUE"""),"M. SARONI")</f>
        <v>M. SARONI</v>
      </c>
      <c r="I75" s="46" t="str">
        <f>IFERROR(__xludf.DUMMYFUNCTION("""COMPUTED_VALUE"""),"HUSNUL MUSTAFIDAH")</f>
        <v>HUSNUL MUSTAFIDAH</v>
      </c>
      <c r="J75" s="46" t="str">
        <f>IFERROR(__xludf.DUMMYFUNCTION("""COMPUTED_VALUE"""),"JL. RAYA SUGIO NO. 53 KEBET RT 004 RW 001 LAMONGAN LAMONGAN")</f>
        <v>JL. RAYA SUGIO NO. 53 KEBET RT 004 RW 001 LAMONGAN LAMONGAN</v>
      </c>
      <c r="K75" s="76" t="str">
        <f>IFERROR(__xludf.DUMMYFUNCTION("""COMPUTED_VALUE"""),"6281332772930")</f>
        <v>6281332772930</v>
      </c>
      <c r="L75" s="77">
        <f>IFERROR(__xludf.DUMMYFUNCTION("""COMPUTED_VALUE"""),0.0)</f>
        <v>0</v>
      </c>
      <c r="M75" s="77">
        <f>IFERROR(__xludf.DUMMYFUNCTION("""COMPUTED_VALUE"""),500000.0)</f>
        <v>500000</v>
      </c>
      <c r="N75" s="77">
        <f>IFERROR(__xludf.DUMMYFUNCTION("""COMPUTED_VALUE"""),0.0)</f>
        <v>0</v>
      </c>
      <c r="O75" s="77">
        <f>IFERROR(__xludf.DUMMYFUNCTION("""COMPUTED_VALUE"""),500000.0)</f>
        <v>500000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74">
        <f t="shared" si="2"/>
        <v>54</v>
      </c>
    </row>
    <row r="76">
      <c r="A76" s="72">
        <f t="shared" si="1"/>
        <v>75</v>
      </c>
      <c r="B76" s="46" t="str">
        <f>IFERROR(__xludf.DUMMYFUNCTION("""COMPUTED_VALUE"""),"LAILATUL MAGHFIROH")</f>
        <v>LAILATUL MAGHFIROH</v>
      </c>
      <c r="C76" s="74">
        <f>IFERROR(__xludf.DUMMYFUNCTION("""COMPUTED_VALUE"""),2.024070449E9)</f>
        <v>2024070449</v>
      </c>
      <c r="D76" s="72" t="str">
        <f>IFERROR(__xludf.DUMMYFUNCTION("""COMPUTED_VALUE"""),"E")</f>
        <v>E</v>
      </c>
      <c r="E76" s="72" t="str">
        <f>IFERROR(__xludf.DUMMYFUNCTION("""COMPUTED_VALUE"""),"E-9")</f>
        <v>E-9</v>
      </c>
      <c r="F76" s="75">
        <f>IFERROR(__xludf.DUMMYFUNCTION("""COMPUTED_VALUE"""),3.0)</f>
        <v>3</v>
      </c>
      <c r="G76" s="46" t="str">
        <f>IFERROR(__xludf.DUMMYFUNCTION("""COMPUTED_VALUE"""),"3 ULA A PUTRI")</f>
        <v>3 ULA A PUTRI</v>
      </c>
      <c r="H76" s="46" t="str">
        <f>IFERROR(__xludf.DUMMYFUNCTION("""COMPUTED_VALUE"""),"SUPARDI")</f>
        <v>SUPARDI</v>
      </c>
      <c r="I76" s="46" t="str">
        <f>IFERROR(__xludf.DUMMYFUNCTION("""COMPUTED_VALUE"""),"ARTI")</f>
        <v>ARTI</v>
      </c>
      <c r="J76" s="46" t="str">
        <f>IFERROR(__xludf.DUMMYFUNCTION("""COMPUTED_VALUE"""),"TUMENGGUNGBARU RT 003 RW 006 TUMENGGUNGAN LAMONGAN")</f>
        <v>TUMENGGUNGBARU RT 003 RW 006 TUMENGGUNGAN LAMONGAN</v>
      </c>
      <c r="K76" s="76" t="str">
        <f>IFERROR(__xludf.DUMMYFUNCTION("""COMPUTED_VALUE"""),"6285745981726")</f>
        <v>6285745981726</v>
      </c>
      <c r="L76" s="77">
        <f>IFERROR(__xludf.DUMMYFUNCTION("""COMPUTED_VALUE"""),0.0)</f>
        <v>0</v>
      </c>
      <c r="M76" s="77">
        <f>IFERROR(__xludf.DUMMYFUNCTION("""COMPUTED_VALUE"""),0.0)</f>
        <v>0</v>
      </c>
      <c r="N76" s="77">
        <f>IFERROR(__xludf.DUMMYFUNCTION("""COMPUTED_VALUE"""),0.0)</f>
        <v>0</v>
      </c>
      <c r="O76" s="77">
        <f>IFERROR(__xludf.DUMMYFUNCTION("""COMPUTED_VALUE"""),0.0)</f>
        <v>0</v>
      </c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74">
        <f t="shared" si="2"/>
        <v>81</v>
      </c>
    </row>
    <row r="77">
      <c r="A77" s="72">
        <f t="shared" si="1"/>
        <v>76</v>
      </c>
      <c r="B77" s="46" t="str">
        <f>IFERROR(__xludf.DUMMYFUNCTION("""COMPUTED_VALUE"""),"RENY ARYSTA MIERZA")</f>
        <v>RENY ARYSTA MIERZA</v>
      </c>
      <c r="C77" s="74">
        <f>IFERROR(__xludf.DUMMYFUNCTION("""COMPUTED_VALUE"""),2.024070583E9)</f>
        <v>2024070583</v>
      </c>
      <c r="D77" s="72" t="str">
        <f>IFERROR(__xludf.DUMMYFUNCTION("""COMPUTED_VALUE"""),"E")</f>
        <v>E</v>
      </c>
      <c r="E77" s="72" t="str">
        <f>IFERROR(__xludf.DUMMYFUNCTION("""COMPUTED_VALUE"""),"E-9")</f>
        <v>E-9</v>
      </c>
      <c r="F77" s="75">
        <f>IFERROR(__xludf.DUMMYFUNCTION("""COMPUTED_VALUE"""),3.0)</f>
        <v>3</v>
      </c>
      <c r="G77" s="46" t="str">
        <f>IFERROR(__xludf.DUMMYFUNCTION("""COMPUTED_VALUE"""),"3 ULA B PUTRI")</f>
        <v>3 ULA B PUTRI</v>
      </c>
      <c r="H77" s="46" t="str">
        <f>IFERROR(__xludf.DUMMYFUNCTION("""COMPUTED_VALUE"""),"RASMIDI")</f>
        <v>RASMIDI</v>
      </c>
      <c r="I77" s="46" t="str">
        <f>IFERROR(__xludf.DUMMYFUNCTION("""COMPUTED_VALUE"""),"MARDLUYATUS SHOIFAH")</f>
        <v>MARDLUYATUS SHOIFAH</v>
      </c>
      <c r="J77" s="46" t="str">
        <f>IFERROR(__xludf.DUMMYFUNCTION("""COMPUTED_VALUE"""),"BANGERAN GENENG RT 005 RW 003 DUKUN GRESIK")</f>
        <v>BANGERAN GENENG RT 005 RW 003 DUKUN GRESIK</v>
      </c>
      <c r="K77" s="76" t="str">
        <f>IFERROR(__xludf.DUMMYFUNCTION("""COMPUTED_VALUE"""),"6285655316635")</f>
        <v>6285655316635</v>
      </c>
      <c r="L77" s="77">
        <f>IFERROR(__xludf.DUMMYFUNCTION("""COMPUTED_VALUE"""),0.0)</f>
        <v>0</v>
      </c>
      <c r="M77" s="77">
        <f>IFERROR(__xludf.DUMMYFUNCTION("""COMPUTED_VALUE"""),1000000.0)</f>
        <v>1000000</v>
      </c>
      <c r="N77" s="77">
        <f>IFERROR(__xludf.DUMMYFUNCTION("""COMPUTED_VALUE"""),0.0)</f>
        <v>0</v>
      </c>
      <c r="O77" s="77">
        <f>IFERROR(__xludf.DUMMYFUNCTION("""COMPUTED_VALUE"""),1000000.0)</f>
        <v>1000000</v>
      </c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74">
        <f t="shared" si="2"/>
        <v>42</v>
      </c>
    </row>
    <row r="78">
      <c r="A78" s="72">
        <f t="shared" si="1"/>
        <v>77</v>
      </c>
      <c r="B78" s="46" t="str">
        <f>IFERROR(__xludf.DUMMYFUNCTION("""COMPUTED_VALUE"""),"RHEISYA BRILIANT OKTAVIANI")</f>
        <v>RHEISYA BRILIANT OKTAVIANI</v>
      </c>
      <c r="C78" s="74">
        <f>IFERROR(__xludf.DUMMYFUNCTION("""COMPUTED_VALUE"""),2.024070536E9)</f>
        <v>2024070536</v>
      </c>
      <c r="D78" s="72" t="str">
        <f>IFERROR(__xludf.DUMMYFUNCTION("""COMPUTED_VALUE"""),"E")</f>
        <v>E</v>
      </c>
      <c r="E78" s="72" t="str">
        <f>IFERROR(__xludf.DUMMYFUNCTION("""COMPUTED_VALUE"""),"E-9")</f>
        <v>E-9</v>
      </c>
      <c r="F78" s="75">
        <f>IFERROR(__xludf.DUMMYFUNCTION("""COMPUTED_VALUE"""),3.0)</f>
        <v>3</v>
      </c>
      <c r="G78" s="46" t="str">
        <f>IFERROR(__xludf.DUMMYFUNCTION("""COMPUTED_VALUE"""),"3 ULA C PUTRI")</f>
        <v>3 ULA C PUTRI</v>
      </c>
      <c r="H78" s="46" t="str">
        <f>IFERROR(__xludf.DUMMYFUNCTION("""COMPUTED_VALUE"""),"SUGIONO")</f>
        <v>SUGIONO</v>
      </c>
      <c r="I78" s="46" t="str">
        <f>IFERROR(__xludf.DUMMYFUNCTION("""COMPUTED_VALUE"""),"SITI QONIATIN NADZIROH")</f>
        <v>SITI QONIATIN NADZIROH</v>
      </c>
      <c r="J78" s="46" t="str">
        <f>IFERROR(__xludf.DUMMYFUNCTION("""COMPUTED_VALUE"""),"DAMPIT SUMBEREJO RT 001 RW 004 LAMONGAN LAMONGAN")</f>
        <v>DAMPIT SUMBEREJO RT 001 RW 004 LAMONGAN LAMONGAN</v>
      </c>
      <c r="K78" s="76" t="str">
        <f>IFERROR(__xludf.DUMMYFUNCTION("""COMPUTED_VALUE"""),"6289535203055")</f>
        <v>6289535203055</v>
      </c>
      <c r="L78" s="77">
        <f>IFERROR(__xludf.DUMMYFUNCTION("""COMPUTED_VALUE"""),0.0)</f>
        <v>0</v>
      </c>
      <c r="M78" s="77">
        <f>IFERROR(__xludf.DUMMYFUNCTION("""COMPUTED_VALUE"""),500000.0)</f>
        <v>500000</v>
      </c>
      <c r="N78" s="77">
        <f>IFERROR(__xludf.DUMMYFUNCTION("""COMPUTED_VALUE"""),0.0)</f>
        <v>0</v>
      </c>
      <c r="O78" s="77">
        <f>IFERROR(__xludf.DUMMYFUNCTION("""COMPUTED_VALUE"""),500000.0)</f>
        <v>500000</v>
      </c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74">
        <f t="shared" si="2"/>
        <v>55</v>
      </c>
    </row>
    <row r="79">
      <c r="A79" s="72">
        <f t="shared" si="1"/>
        <v>78</v>
      </c>
      <c r="B79" s="46" t="str">
        <f>IFERROR(__xludf.DUMMYFUNCTION("""COMPUTED_VALUE"""),"ROSSALIA BELLA RAISYA")</f>
        <v>ROSSALIA BELLA RAISYA</v>
      </c>
      <c r="C79" s="74">
        <f>IFERROR(__xludf.DUMMYFUNCTION("""COMPUTED_VALUE"""),2.024070443E9)</f>
        <v>2024070443</v>
      </c>
      <c r="D79" s="72" t="str">
        <f>IFERROR(__xludf.DUMMYFUNCTION("""COMPUTED_VALUE"""),"E")</f>
        <v>E</v>
      </c>
      <c r="E79" s="72" t="str">
        <f>IFERROR(__xludf.DUMMYFUNCTION("""COMPUTED_VALUE"""),"E-9")</f>
        <v>E-9</v>
      </c>
      <c r="F79" s="75">
        <f>IFERROR(__xludf.DUMMYFUNCTION("""COMPUTED_VALUE"""),3.0)</f>
        <v>3</v>
      </c>
      <c r="G79" s="46" t="str">
        <f>IFERROR(__xludf.DUMMYFUNCTION("""COMPUTED_VALUE"""),"3 ULA C PUTRI")</f>
        <v>3 ULA C PUTRI</v>
      </c>
      <c r="H79" s="46" t="str">
        <f>IFERROR(__xludf.DUMMYFUNCTION("""COMPUTED_VALUE"""),"RAIS")</f>
        <v>RAIS</v>
      </c>
      <c r="I79" s="46" t="str">
        <f>IFERROR(__xludf.DUMMYFUNCTION("""COMPUTED_VALUE"""),"TRIA VILIA")</f>
        <v>TRIA VILIA</v>
      </c>
      <c r="J79" s="46" t="str">
        <f>IFERROR(__xludf.DUMMYFUNCTION("""COMPUTED_VALUE"""),"LENJER DUKUHAGUNG RT 002 RW 002 TIKUNG LAMONGAN")</f>
        <v>LENJER DUKUHAGUNG RT 002 RW 002 TIKUNG LAMONGAN</v>
      </c>
      <c r="K79" s="76" t="str">
        <f>IFERROR(__xludf.DUMMYFUNCTION("""COMPUTED_VALUE"""),"6282175167141")</f>
        <v>6282175167141</v>
      </c>
      <c r="L79" s="77">
        <f>IFERROR(__xludf.DUMMYFUNCTION("""COMPUTED_VALUE"""),0.0)</f>
        <v>0</v>
      </c>
      <c r="M79" s="77">
        <f>IFERROR(__xludf.DUMMYFUNCTION("""COMPUTED_VALUE"""),0.0)</f>
        <v>0</v>
      </c>
      <c r="N79" s="77">
        <f>IFERROR(__xludf.DUMMYFUNCTION("""COMPUTED_VALUE"""),0.0)</f>
        <v>0</v>
      </c>
      <c r="O79" s="77">
        <f>IFERROR(__xludf.DUMMYFUNCTION("""COMPUTED_VALUE"""),0.0)</f>
        <v>0</v>
      </c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74">
        <f t="shared" si="2"/>
        <v>82</v>
      </c>
    </row>
    <row r="80">
      <c r="A80" s="72">
        <f t="shared" si="1"/>
        <v>79</v>
      </c>
      <c r="B80" s="46" t="str">
        <f>IFERROR(__xludf.DUMMYFUNCTION("""COMPUTED_VALUE"""),"ZALVI SYAFIRA SA`BANIA PUTRI")</f>
        <v>ZALVI SYAFIRA SA`BANIA PUTRI</v>
      </c>
      <c r="C80" s="74">
        <f>IFERROR(__xludf.DUMMYFUNCTION("""COMPUTED_VALUE"""),2.024070446E9)</f>
        <v>2024070446</v>
      </c>
      <c r="D80" s="72" t="str">
        <f>IFERROR(__xludf.DUMMYFUNCTION("""COMPUTED_VALUE"""),"E")</f>
        <v>E</v>
      </c>
      <c r="E80" s="72" t="str">
        <f>IFERROR(__xludf.DUMMYFUNCTION("""COMPUTED_VALUE"""),"E-9")</f>
        <v>E-9</v>
      </c>
      <c r="F80" s="75">
        <f>IFERROR(__xludf.DUMMYFUNCTION("""COMPUTED_VALUE"""),3.0)</f>
        <v>3</v>
      </c>
      <c r="G80" s="46" t="str">
        <f>IFERROR(__xludf.DUMMYFUNCTION("""COMPUTED_VALUE"""),"3 ULA A PUTRI")</f>
        <v>3 ULA A PUTRI</v>
      </c>
      <c r="H80" s="46" t="str">
        <f>IFERROR(__xludf.DUMMYFUNCTION("""COMPUTED_VALUE"""),"FAISOL MA'ARIF")</f>
        <v>FAISOL MA'ARIF</v>
      </c>
      <c r="I80" s="46" t="str">
        <f>IFERROR(__xludf.DUMMYFUNCTION("""COMPUTED_VALUE"""),"EVI MUKHOLIDA")</f>
        <v>EVI MUKHOLIDA</v>
      </c>
      <c r="J80" s="46" t="str">
        <f>IFERROR(__xludf.DUMMYFUNCTION("""COMPUTED_VALUE"""),"DEMANG SAMBOPINGGIR RT 003 RW 004 KARANGBINANGUN LAMONGAN")</f>
        <v>DEMANG SAMBOPINGGIR RT 003 RW 004 KARANGBINANGUN LAMONGAN</v>
      </c>
      <c r="K80" s="76" t="str">
        <f>IFERROR(__xludf.DUMMYFUNCTION("""COMPUTED_VALUE"""),"6285815817989")</f>
        <v>6285815817989</v>
      </c>
      <c r="L80" s="77">
        <f>IFERROR(__xludf.DUMMYFUNCTION("""COMPUTED_VALUE"""),0.0)</f>
        <v>0</v>
      </c>
      <c r="M80" s="77">
        <f>IFERROR(__xludf.DUMMYFUNCTION("""COMPUTED_VALUE"""),1000000.0)</f>
        <v>1000000</v>
      </c>
      <c r="N80" s="77">
        <f>IFERROR(__xludf.DUMMYFUNCTION("""COMPUTED_VALUE"""),0.0)</f>
        <v>0</v>
      </c>
      <c r="O80" s="77">
        <f>IFERROR(__xludf.DUMMYFUNCTION("""COMPUTED_VALUE"""),1000000.0)</f>
        <v>1000000</v>
      </c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74">
        <f t="shared" si="2"/>
        <v>43</v>
      </c>
    </row>
    <row r="81">
      <c r="A81" s="72">
        <f t="shared" si="1"/>
        <v>80</v>
      </c>
      <c r="B81" s="46" t="str">
        <f>IFERROR(__xludf.DUMMYFUNCTION("""COMPUTED_VALUE"""),"ZASKIA MAHARANI PUTRI")</f>
        <v>ZASKIA MAHARANI PUTRI</v>
      </c>
      <c r="C81" s="74">
        <f>IFERROR(__xludf.DUMMYFUNCTION("""COMPUTED_VALUE"""),2.024070586E9)</f>
        <v>2024070586</v>
      </c>
      <c r="D81" s="72" t="str">
        <f>IFERROR(__xludf.DUMMYFUNCTION("""COMPUTED_VALUE"""),"E")</f>
        <v>E</v>
      </c>
      <c r="E81" s="72" t="str">
        <f>IFERROR(__xludf.DUMMYFUNCTION("""COMPUTED_VALUE"""),"E-9")</f>
        <v>E-9</v>
      </c>
      <c r="F81" s="75">
        <f>IFERROR(__xludf.DUMMYFUNCTION("""COMPUTED_VALUE"""),3.0)</f>
        <v>3</v>
      </c>
      <c r="G81" s="46" t="str">
        <f>IFERROR(__xludf.DUMMYFUNCTION("""COMPUTED_VALUE"""),"3 ULA A PUTRI")</f>
        <v>3 ULA A PUTRI</v>
      </c>
      <c r="H81" s="46" t="str">
        <f>IFERROR(__xludf.DUMMYFUNCTION("""COMPUTED_VALUE"""),"ABDUL QODIR")</f>
        <v>ABDUL QODIR</v>
      </c>
      <c r="I81" s="46" t="str">
        <f>IFERROR(__xludf.DUMMYFUNCTION("""COMPUTED_VALUE"""),"OKTAVIANA SARI")</f>
        <v>OKTAVIANA SARI</v>
      </c>
      <c r="J81" s="46" t="str">
        <f>IFERROR(__xludf.DUMMYFUNCTION("""COMPUTED_VALUE"""),"CEKEL KRAMAT RT 001 RW 001 LAMONGAN LAMONGAN")</f>
        <v>CEKEL KRAMAT RT 001 RW 001 LAMONGAN LAMONGAN</v>
      </c>
      <c r="K81" s="76" t="str">
        <f>IFERROR(__xludf.DUMMYFUNCTION("""COMPUTED_VALUE"""),"6285852103712")</f>
        <v>6285852103712</v>
      </c>
      <c r="L81" s="77">
        <f>IFERROR(__xludf.DUMMYFUNCTION("""COMPUTED_VALUE"""),7500000.0)</f>
        <v>7500000</v>
      </c>
      <c r="M81" s="77">
        <f>IFERROR(__xludf.DUMMYFUNCTION("""COMPUTED_VALUE"""),1600000.0)</f>
        <v>1600000</v>
      </c>
      <c r="N81" s="77">
        <f>IFERROR(__xludf.DUMMYFUNCTION("""COMPUTED_VALUE"""),350000.0)</f>
        <v>350000</v>
      </c>
      <c r="O81" s="77">
        <f>IFERROR(__xludf.DUMMYFUNCTION("""COMPUTED_VALUE"""),9450000.0)</f>
        <v>9450000</v>
      </c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74">
        <f t="shared" si="2"/>
        <v>1</v>
      </c>
    </row>
    <row r="82">
      <c r="A82" s="72">
        <f t="shared" si="1"/>
        <v>81</v>
      </c>
      <c r="B82" s="46" t="str">
        <f>IFERROR(__xludf.DUMMYFUNCTION("""COMPUTED_VALUE"""),"ZHAFIRA MAULIDA")</f>
        <v>ZHAFIRA MAULIDA</v>
      </c>
      <c r="C82" s="74">
        <f>IFERROR(__xludf.DUMMYFUNCTION("""COMPUTED_VALUE"""),2.024070606E9)</f>
        <v>2024070606</v>
      </c>
      <c r="D82" s="72" t="str">
        <f>IFERROR(__xludf.DUMMYFUNCTION("""COMPUTED_VALUE"""),"E")</f>
        <v>E</v>
      </c>
      <c r="E82" s="72" t="str">
        <f>IFERROR(__xludf.DUMMYFUNCTION("""COMPUTED_VALUE"""),"E-9")</f>
        <v>E-9</v>
      </c>
      <c r="F82" s="75">
        <f>IFERROR(__xludf.DUMMYFUNCTION("""COMPUTED_VALUE"""),3.0)</f>
        <v>3</v>
      </c>
      <c r="G82" s="46" t="str">
        <f>IFERROR(__xludf.DUMMYFUNCTION("""COMPUTED_VALUE"""),"3 ULA B PUTRI")</f>
        <v>3 ULA B PUTRI</v>
      </c>
      <c r="H82" s="46" t="str">
        <f>IFERROR(__xludf.DUMMYFUNCTION("""COMPUTED_VALUE"""),"AGUS HANDOKO")</f>
        <v>AGUS HANDOKO</v>
      </c>
      <c r="I82" s="46" t="str">
        <f>IFERROR(__xludf.DUMMYFUNCTION("""COMPUTED_VALUE"""),"DEWI SUNDARI")</f>
        <v>DEWI SUNDARI</v>
      </c>
      <c r="J82" s="46" t="str">
        <f>IFERROR(__xludf.DUMMYFUNCTION("""COMPUTED_VALUE"""),"JL. RAYA BUNGAH MOJOPURO WETAN RT 003 RW 002 BUNGAH GRESIK")</f>
        <v>JL. RAYA BUNGAH MOJOPURO WETAN RT 003 RW 002 BUNGAH GRESIK</v>
      </c>
      <c r="K82" s="76" t="str">
        <f>IFERROR(__xludf.DUMMYFUNCTION("""COMPUTED_VALUE"""),"6285745828753")</f>
        <v>6285745828753</v>
      </c>
      <c r="L82" s="77">
        <f>IFERROR(__xludf.DUMMYFUNCTION("""COMPUTED_VALUE"""),0.0)</f>
        <v>0</v>
      </c>
      <c r="M82" s="77">
        <f>IFERROR(__xludf.DUMMYFUNCTION("""COMPUTED_VALUE"""),1000000.0)</f>
        <v>1000000</v>
      </c>
      <c r="N82" s="77">
        <f>IFERROR(__xludf.DUMMYFUNCTION("""COMPUTED_VALUE"""),0.0)</f>
        <v>0</v>
      </c>
      <c r="O82" s="77">
        <f>IFERROR(__xludf.DUMMYFUNCTION("""COMPUTED_VALUE"""),1000000.0)</f>
        <v>1000000</v>
      </c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74">
        <f t="shared" si="2"/>
        <v>44</v>
      </c>
    </row>
    <row r="83">
      <c r="A83" s="72">
        <f t="shared" si="1"/>
        <v>82</v>
      </c>
      <c r="B83" s="46" t="str">
        <f>IFERROR(__xludf.DUMMYFUNCTION("""COMPUTED_VALUE"""),"QUEENSHA KHAURA AFIQAH AL AZIFA")</f>
        <v>QUEENSHA KHAURA AFIQAH AL AZIFA</v>
      </c>
      <c r="C83" s="74">
        <f>IFERROR(__xludf.DUMMYFUNCTION("""COMPUTED_VALUE"""),2.024070647E9)</f>
        <v>2024070647</v>
      </c>
      <c r="D83" s="72" t="str">
        <f>IFERROR(__xludf.DUMMYFUNCTION("""COMPUTED_VALUE"""),"E")</f>
        <v>E</v>
      </c>
      <c r="E83" s="72" t="str">
        <f>IFERROR(__xludf.DUMMYFUNCTION("""COMPUTED_VALUE"""),"E-9")</f>
        <v>E-9</v>
      </c>
      <c r="F83" s="75">
        <f>IFERROR(__xludf.DUMMYFUNCTION("""COMPUTED_VALUE"""),3.0)</f>
        <v>3</v>
      </c>
      <c r="G83" s="46" t="str">
        <f>IFERROR(__xludf.DUMMYFUNCTION("""COMPUTED_VALUE"""),"3 ULA B PUTRI")</f>
        <v>3 ULA B PUTRI</v>
      </c>
      <c r="H83" s="46" t="str">
        <f>IFERROR(__xludf.DUMMYFUNCTION("""COMPUTED_VALUE"""),"AHMAD AFIF FITROHA")</f>
        <v>AHMAD AFIF FITROHA</v>
      </c>
      <c r="I83" s="46" t="str">
        <f>IFERROR(__xludf.DUMMYFUNCTION("""COMPUTED_VALUE"""),"FARIHATUN NI`MAH")</f>
        <v>FARIHATUN NI`MAH</v>
      </c>
      <c r="J83" s="46" t="str">
        <f>IFERROR(__xludf.DUMMYFUNCTION("""COMPUTED_VALUE"""),"JABANG LOR SIDOMULYO RT 002 RW 006 SEMEN KEDIRI")</f>
        <v>JABANG LOR SIDOMULYO RT 002 RW 006 SEMEN KEDIRI</v>
      </c>
      <c r="K83" s="76" t="str">
        <f>IFERROR(__xludf.DUMMYFUNCTION("""COMPUTED_VALUE"""),"628573050168")</f>
        <v>628573050168</v>
      </c>
      <c r="L83" s="77">
        <f>IFERROR(__xludf.DUMMYFUNCTION("""COMPUTED_VALUE"""),0.0)</f>
        <v>0</v>
      </c>
      <c r="M83" s="77">
        <f>IFERROR(__xludf.DUMMYFUNCTION("""COMPUTED_VALUE"""),1000000.0)</f>
        <v>1000000</v>
      </c>
      <c r="N83" s="77">
        <f>IFERROR(__xludf.DUMMYFUNCTION("""COMPUTED_VALUE"""),0.0)</f>
        <v>0</v>
      </c>
      <c r="O83" s="77">
        <f>IFERROR(__xludf.DUMMYFUNCTION("""COMPUTED_VALUE"""),1000000.0)</f>
        <v>1000000</v>
      </c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74">
        <f t="shared" si="2"/>
        <v>45</v>
      </c>
    </row>
    <row r="84">
      <c r="A84" s="72" t="str">
        <f t="shared" si="1"/>
        <v/>
      </c>
      <c r="B84" s="46"/>
      <c r="C84" s="74"/>
      <c r="D84" s="72"/>
      <c r="E84" s="72"/>
      <c r="F84" s="75"/>
      <c r="G84" s="46"/>
      <c r="H84" s="46"/>
      <c r="I84" s="46"/>
      <c r="J84" s="46"/>
      <c r="K84" s="76"/>
      <c r="L84" s="77"/>
      <c r="M84" s="77"/>
      <c r="N84" s="77"/>
      <c r="O84" s="77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74">
        <f t="shared" si="2"/>
        <v>58</v>
      </c>
    </row>
    <row r="85">
      <c r="A85" s="72" t="str">
        <f t="shared" si="1"/>
        <v/>
      </c>
      <c r="B85" s="46"/>
      <c r="C85" s="74"/>
      <c r="D85" s="72"/>
      <c r="E85" s="72"/>
      <c r="F85" s="75"/>
      <c r="G85" s="46"/>
      <c r="H85" s="46"/>
      <c r="I85" s="46"/>
      <c r="J85" s="46"/>
      <c r="K85" s="76"/>
      <c r="L85" s="77"/>
      <c r="M85" s="77"/>
      <c r="N85" s="77"/>
      <c r="O85" s="77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74">
        <f t="shared" si="2"/>
        <v>58</v>
      </c>
    </row>
    <row r="86">
      <c r="A86" s="72" t="str">
        <f t="shared" si="1"/>
        <v/>
      </c>
      <c r="B86" s="46"/>
      <c r="C86" s="74"/>
      <c r="D86" s="72"/>
      <c r="E86" s="72"/>
      <c r="F86" s="75"/>
      <c r="G86" s="46"/>
      <c r="H86" s="46"/>
      <c r="I86" s="46"/>
      <c r="J86" s="46"/>
      <c r="K86" s="76"/>
      <c r="L86" s="77"/>
      <c r="M86" s="77"/>
      <c r="N86" s="77"/>
      <c r="O86" s="77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74">
        <f t="shared" si="2"/>
        <v>58</v>
      </c>
    </row>
    <row r="87">
      <c r="A87" s="72" t="str">
        <f t="shared" si="1"/>
        <v/>
      </c>
      <c r="B87" s="46"/>
      <c r="C87" s="74"/>
      <c r="D87" s="72"/>
      <c r="E87" s="72"/>
      <c r="F87" s="75"/>
      <c r="G87" s="46"/>
      <c r="H87" s="46"/>
      <c r="I87" s="46"/>
      <c r="J87" s="46"/>
      <c r="K87" s="76"/>
      <c r="L87" s="77"/>
      <c r="M87" s="77"/>
      <c r="N87" s="77"/>
      <c r="O87" s="77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74">
        <f t="shared" si="2"/>
        <v>58</v>
      </c>
    </row>
    <row r="88">
      <c r="A88" s="72" t="str">
        <f t="shared" si="1"/>
        <v/>
      </c>
      <c r="B88" s="46"/>
      <c r="C88" s="74"/>
      <c r="D88" s="72"/>
      <c r="E88" s="72"/>
      <c r="F88" s="75"/>
      <c r="G88" s="46"/>
      <c r="H88" s="46"/>
      <c r="I88" s="46"/>
      <c r="J88" s="46"/>
      <c r="K88" s="76"/>
      <c r="L88" s="77"/>
      <c r="M88" s="77"/>
      <c r="N88" s="77"/>
      <c r="O88" s="77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74">
        <f t="shared" si="2"/>
        <v>58</v>
      </c>
    </row>
    <row r="89">
      <c r="A89" s="72" t="str">
        <f t="shared" si="1"/>
        <v/>
      </c>
      <c r="B89" s="46"/>
      <c r="C89" s="74"/>
      <c r="D89" s="72"/>
      <c r="E89" s="72"/>
      <c r="F89" s="75"/>
      <c r="G89" s="46"/>
      <c r="H89" s="46"/>
      <c r="I89" s="46"/>
      <c r="J89" s="46"/>
      <c r="K89" s="76"/>
      <c r="L89" s="77"/>
      <c r="M89" s="77"/>
      <c r="N89" s="77"/>
      <c r="O89" s="77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74">
        <f t="shared" si="2"/>
        <v>58</v>
      </c>
    </row>
    <row r="90">
      <c r="A90" s="72" t="str">
        <f t="shared" si="1"/>
        <v/>
      </c>
      <c r="B90" s="46"/>
      <c r="C90" s="74"/>
      <c r="D90" s="72"/>
      <c r="E90" s="72"/>
      <c r="F90" s="75"/>
      <c r="G90" s="46"/>
      <c r="H90" s="46"/>
      <c r="I90" s="46"/>
      <c r="J90" s="46"/>
      <c r="K90" s="76"/>
      <c r="L90" s="77"/>
      <c r="M90" s="77"/>
      <c r="N90" s="77"/>
      <c r="O90" s="77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74">
        <f t="shared" si="2"/>
        <v>58</v>
      </c>
    </row>
    <row r="91">
      <c r="A91" s="72" t="str">
        <f t="shared" si="1"/>
        <v/>
      </c>
      <c r="B91" s="46"/>
      <c r="C91" s="74"/>
      <c r="D91" s="72"/>
      <c r="E91" s="72"/>
      <c r="F91" s="75"/>
      <c r="G91" s="46"/>
      <c r="H91" s="46"/>
      <c r="I91" s="46"/>
      <c r="J91" s="46"/>
      <c r="K91" s="76"/>
      <c r="L91" s="77"/>
      <c r="M91" s="77"/>
      <c r="N91" s="77"/>
      <c r="O91" s="77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74">
        <f t="shared" si="2"/>
        <v>58</v>
      </c>
    </row>
    <row r="92">
      <c r="A92" s="72" t="str">
        <f t="shared" si="1"/>
        <v/>
      </c>
      <c r="B92" s="46"/>
      <c r="C92" s="74"/>
      <c r="D92" s="72"/>
      <c r="E92" s="72"/>
      <c r="F92" s="75"/>
      <c r="G92" s="46"/>
      <c r="H92" s="46"/>
      <c r="I92" s="46"/>
      <c r="J92" s="46"/>
      <c r="K92" s="76"/>
      <c r="L92" s="77"/>
      <c r="M92" s="77"/>
      <c r="N92" s="77"/>
      <c r="O92" s="77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74">
        <f t="shared" si="2"/>
        <v>58</v>
      </c>
    </row>
    <row r="93">
      <c r="A93" s="72" t="str">
        <f t="shared" si="1"/>
        <v/>
      </c>
      <c r="B93" s="46"/>
      <c r="C93" s="74"/>
      <c r="D93" s="72"/>
      <c r="E93" s="72"/>
      <c r="F93" s="75"/>
      <c r="G93" s="46"/>
      <c r="H93" s="46"/>
      <c r="I93" s="46"/>
      <c r="J93" s="46"/>
      <c r="K93" s="76"/>
      <c r="L93" s="77"/>
      <c r="M93" s="77"/>
      <c r="N93" s="77"/>
      <c r="O93" s="77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74">
        <f t="shared" si="2"/>
        <v>58</v>
      </c>
    </row>
    <row r="94">
      <c r="A94" s="72" t="str">
        <f t="shared" si="1"/>
        <v/>
      </c>
      <c r="B94" s="46"/>
      <c r="C94" s="74"/>
      <c r="D94" s="72"/>
      <c r="E94" s="72"/>
      <c r="F94" s="75"/>
      <c r="G94" s="46"/>
      <c r="H94" s="46"/>
      <c r="I94" s="46"/>
      <c r="J94" s="46"/>
      <c r="K94" s="76"/>
      <c r="L94" s="77"/>
      <c r="M94" s="77"/>
      <c r="N94" s="77"/>
      <c r="O94" s="77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74">
        <f t="shared" si="2"/>
        <v>58</v>
      </c>
    </row>
    <row r="95">
      <c r="A95" s="72" t="str">
        <f t="shared" si="1"/>
        <v/>
      </c>
      <c r="B95" s="46"/>
      <c r="C95" s="74"/>
      <c r="D95" s="72"/>
      <c r="E95" s="72"/>
      <c r="F95" s="75"/>
      <c r="G95" s="46"/>
      <c r="H95" s="46"/>
      <c r="I95" s="46"/>
      <c r="J95" s="46"/>
      <c r="K95" s="76"/>
      <c r="L95" s="77"/>
      <c r="M95" s="77"/>
      <c r="N95" s="77"/>
      <c r="O95" s="77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74">
        <f t="shared" si="2"/>
        <v>58</v>
      </c>
    </row>
    <row r="96">
      <c r="A96" s="72" t="str">
        <f t="shared" si="1"/>
        <v/>
      </c>
      <c r="B96" s="46"/>
      <c r="C96" s="74"/>
      <c r="D96" s="72"/>
      <c r="E96" s="72"/>
      <c r="F96" s="75"/>
      <c r="G96" s="46"/>
      <c r="H96" s="46"/>
      <c r="I96" s="46"/>
      <c r="J96" s="46"/>
      <c r="K96" s="76"/>
      <c r="L96" s="77"/>
      <c r="M96" s="77"/>
      <c r="N96" s="77"/>
      <c r="O96" s="77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74">
        <f t="shared" si="2"/>
        <v>58</v>
      </c>
    </row>
    <row r="97">
      <c r="A97" s="72" t="str">
        <f t="shared" si="1"/>
        <v/>
      </c>
      <c r="B97" s="46"/>
      <c r="C97" s="74"/>
      <c r="D97" s="72"/>
      <c r="E97" s="72"/>
      <c r="F97" s="75"/>
      <c r="G97" s="46"/>
      <c r="H97" s="46"/>
      <c r="I97" s="46"/>
      <c r="J97" s="46"/>
      <c r="K97" s="76"/>
      <c r="L97" s="77"/>
      <c r="M97" s="77"/>
      <c r="N97" s="77"/>
      <c r="O97" s="77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74">
        <f t="shared" si="2"/>
        <v>58</v>
      </c>
    </row>
    <row r="98">
      <c r="A98" s="72" t="str">
        <f t="shared" si="1"/>
        <v/>
      </c>
      <c r="B98" s="46"/>
      <c r="C98" s="74"/>
      <c r="D98" s="72"/>
      <c r="E98" s="72"/>
      <c r="F98" s="75"/>
      <c r="G98" s="46"/>
      <c r="H98" s="46"/>
      <c r="I98" s="46"/>
      <c r="J98" s="46"/>
      <c r="K98" s="76"/>
      <c r="L98" s="77"/>
      <c r="M98" s="77"/>
      <c r="N98" s="77"/>
      <c r="O98" s="77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74">
        <f t="shared" si="2"/>
        <v>58</v>
      </c>
    </row>
    <row r="99">
      <c r="A99" s="72" t="str">
        <f t="shared" si="1"/>
        <v/>
      </c>
      <c r="B99" s="46"/>
      <c r="C99" s="74"/>
      <c r="D99" s="72"/>
      <c r="E99" s="72"/>
      <c r="F99" s="75"/>
      <c r="G99" s="46"/>
      <c r="H99" s="46"/>
      <c r="I99" s="46"/>
      <c r="J99" s="46"/>
      <c r="K99" s="76"/>
      <c r="L99" s="77"/>
      <c r="M99" s="77"/>
      <c r="N99" s="77"/>
      <c r="O99" s="77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74">
        <f t="shared" si="2"/>
        <v>58</v>
      </c>
    </row>
    <row r="100">
      <c r="A100" s="72" t="str">
        <f t="shared" si="1"/>
        <v/>
      </c>
      <c r="B100" s="46"/>
      <c r="C100" s="74"/>
      <c r="D100" s="72"/>
      <c r="E100" s="72"/>
      <c r="F100" s="75"/>
      <c r="G100" s="46"/>
      <c r="H100" s="46"/>
      <c r="I100" s="46"/>
      <c r="J100" s="46"/>
      <c r="K100" s="76"/>
      <c r="L100" s="77"/>
      <c r="M100" s="77"/>
      <c r="N100" s="77"/>
      <c r="O100" s="77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74">
        <f t="shared" si="2"/>
        <v>58</v>
      </c>
    </row>
    <row r="101">
      <c r="A101" s="72" t="str">
        <f t="shared" si="1"/>
        <v/>
      </c>
      <c r="B101" s="46"/>
      <c r="C101" s="74"/>
      <c r="D101" s="72"/>
      <c r="E101" s="72"/>
      <c r="F101" s="75"/>
      <c r="G101" s="46"/>
      <c r="H101" s="46"/>
      <c r="I101" s="46"/>
      <c r="J101" s="46"/>
      <c r="K101" s="76"/>
      <c r="L101" s="77"/>
      <c r="M101" s="77"/>
      <c r="N101" s="77"/>
      <c r="O101" s="77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74">
        <f t="shared" si="2"/>
        <v>58</v>
      </c>
    </row>
    <row r="102">
      <c r="A102" s="72" t="str">
        <f t="shared" si="1"/>
        <v/>
      </c>
      <c r="B102" s="46"/>
      <c r="C102" s="74"/>
      <c r="D102" s="72"/>
      <c r="E102" s="72"/>
      <c r="F102" s="75"/>
      <c r="G102" s="46"/>
      <c r="H102" s="46"/>
      <c r="I102" s="46"/>
      <c r="J102" s="46"/>
      <c r="K102" s="76"/>
      <c r="L102" s="77"/>
      <c r="M102" s="77"/>
      <c r="N102" s="77"/>
      <c r="O102" s="77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74">
        <f t="shared" si="2"/>
        <v>58</v>
      </c>
    </row>
    <row r="103">
      <c r="A103" s="72" t="str">
        <f t="shared" si="1"/>
        <v/>
      </c>
      <c r="B103" s="46"/>
      <c r="C103" s="74"/>
      <c r="D103" s="72"/>
      <c r="E103" s="72"/>
      <c r="F103" s="75"/>
      <c r="G103" s="46"/>
      <c r="H103" s="46"/>
      <c r="I103" s="46"/>
      <c r="J103" s="46"/>
      <c r="K103" s="76"/>
      <c r="L103" s="77"/>
      <c r="M103" s="77"/>
      <c r="N103" s="77"/>
      <c r="O103" s="77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74">
        <f t="shared" si="2"/>
        <v>58</v>
      </c>
    </row>
    <row r="104">
      <c r="A104" s="72" t="str">
        <f t="shared" si="1"/>
        <v/>
      </c>
      <c r="B104" s="46"/>
      <c r="C104" s="74"/>
      <c r="D104" s="72"/>
      <c r="E104" s="72"/>
      <c r="F104" s="75"/>
      <c r="G104" s="46"/>
      <c r="H104" s="46"/>
      <c r="I104" s="46"/>
      <c r="J104" s="46"/>
      <c r="K104" s="76"/>
      <c r="L104" s="77"/>
      <c r="M104" s="77"/>
      <c r="N104" s="77"/>
      <c r="O104" s="77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74">
        <f t="shared" si="2"/>
        <v>58</v>
      </c>
    </row>
    <row r="105">
      <c r="A105" s="72" t="str">
        <f t="shared" si="1"/>
        <v/>
      </c>
      <c r="B105" s="46"/>
      <c r="C105" s="74"/>
      <c r="D105" s="72"/>
      <c r="E105" s="72"/>
      <c r="F105" s="75"/>
      <c r="G105" s="46"/>
      <c r="H105" s="46"/>
      <c r="I105" s="46"/>
      <c r="J105" s="46"/>
      <c r="K105" s="76"/>
      <c r="L105" s="77"/>
      <c r="M105" s="77"/>
      <c r="N105" s="77"/>
      <c r="O105" s="77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74">
        <f t="shared" si="2"/>
        <v>58</v>
      </c>
    </row>
    <row r="106">
      <c r="A106" s="72" t="str">
        <f t="shared" si="1"/>
        <v/>
      </c>
      <c r="B106" s="46"/>
      <c r="C106" s="74"/>
      <c r="D106" s="72"/>
      <c r="E106" s="72"/>
      <c r="F106" s="75"/>
      <c r="G106" s="46"/>
      <c r="H106" s="46"/>
      <c r="I106" s="46"/>
      <c r="J106" s="46"/>
      <c r="K106" s="76"/>
      <c r="L106" s="77"/>
      <c r="M106" s="77"/>
      <c r="N106" s="77"/>
      <c r="O106" s="77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74">
        <f t="shared" si="2"/>
        <v>58</v>
      </c>
    </row>
    <row r="107">
      <c r="A107" s="72" t="str">
        <f t="shared" si="1"/>
        <v/>
      </c>
      <c r="B107" s="46"/>
      <c r="C107" s="74"/>
      <c r="D107" s="72"/>
      <c r="E107" s="72"/>
      <c r="F107" s="75"/>
      <c r="G107" s="46"/>
      <c r="H107" s="46"/>
      <c r="I107" s="46"/>
      <c r="J107" s="46"/>
      <c r="K107" s="76"/>
      <c r="L107" s="77"/>
      <c r="M107" s="77"/>
      <c r="N107" s="77"/>
      <c r="O107" s="77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74">
        <f t="shared" si="2"/>
        <v>58</v>
      </c>
    </row>
    <row r="108">
      <c r="A108" s="72" t="str">
        <f t="shared" si="1"/>
        <v/>
      </c>
      <c r="B108" s="46"/>
      <c r="C108" s="74"/>
      <c r="D108" s="72"/>
      <c r="E108" s="72"/>
      <c r="F108" s="75"/>
      <c r="G108" s="46"/>
      <c r="H108" s="46"/>
      <c r="I108" s="46"/>
      <c r="J108" s="46"/>
      <c r="K108" s="76"/>
      <c r="L108" s="77"/>
      <c r="M108" s="77"/>
      <c r="N108" s="77"/>
      <c r="O108" s="77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74">
        <f t="shared" si="2"/>
        <v>58</v>
      </c>
    </row>
    <row r="109">
      <c r="A109" s="72" t="str">
        <f t="shared" si="1"/>
        <v/>
      </c>
      <c r="B109" s="46"/>
      <c r="C109" s="74"/>
      <c r="D109" s="72"/>
      <c r="E109" s="72"/>
      <c r="F109" s="75"/>
      <c r="G109" s="46"/>
      <c r="H109" s="46"/>
      <c r="I109" s="46"/>
      <c r="J109" s="46"/>
      <c r="K109" s="76"/>
      <c r="L109" s="77"/>
      <c r="M109" s="77"/>
      <c r="N109" s="77"/>
      <c r="O109" s="77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74">
        <f t="shared" si="2"/>
        <v>58</v>
      </c>
    </row>
    <row r="110">
      <c r="A110" s="72" t="str">
        <f t="shared" si="1"/>
        <v/>
      </c>
      <c r="B110" s="46"/>
      <c r="C110" s="74"/>
      <c r="D110" s="72"/>
      <c r="E110" s="72"/>
      <c r="F110" s="75"/>
      <c r="G110" s="46"/>
      <c r="H110" s="46"/>
      <c r="I110" s="46"/>
      <c r="J110" s="46"/>
      <c r="K110" s="76"/>
      <c r="L110" s="77"/>
      <c r="M110" s="77"/>
      <c r="N110" s="77"/>
      <c r="O110" s="77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74">
        <f t="shared" si="2"/>
        <v>58</v>
      </c>
    </row>
    <row r="111">
      <c r="A111" s="72" t="str">
        <f t="shared" si="1"/>
        <v/>
      </c>
      <c r="B111" s="46"/>
      <c r="C111" s="74"/>
      <c r="D111" s="72"/>
      <c r="E111" s="72"/>
      <c r="F111" s="75"/>
      <c r="G111" s="46"/>
      <c r="H111" s="46"/>
      <c r="I111" s="46"/>
      <c r="J111" s="46"/>
      <c r="K111" s="76"/>
      <c r="L111" s="77"/>
      <c r="M111" s="77"/>
      <c r="N111" s="77"/>
      <c r="O111" s="77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74">
        <f t="shared" si="2"/>
        <v>58</v>
      </c>
    </row>
    <row r="112">
      <c r="A112" s="72" t="str">
        <f t="shared" si="1"/>
        <v/>
      </c>
      <c r="B112" s="46"/>
      <c r="C112" s="74"/>
      <c r="D112" s="72"/>
      <c r="E112" s="72"/>
      <c r="F112" s="75"/>
      <c r="G112" s="46"/>
      <c r="H112" s="46"/>
      <c r="I112" s="46"/>
      <c r="J112" s="46"/>
      <c r="K112" s="76"/>
      <c r="L112" s="77"/>
      <c r="M112" s="77"/>
      <c r="N112" s="77"/>
      <c r="O112" s="77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74">
        <f t="shared" si="2"/>
        <v>58</v>
      </c>
    </row>
    <row r="113">
      <c r="A113" s="72" t="str">
        <f t="shared" si="1"/>
        <v/>
      </c>
      <c r="B113" s="46"/>
      <c r="C113" s="74"/>
      <c r="D113" s="72"/>
      <c r="E113" s="72"/>
      <c r="F113" s="75"/>
      <c r="G113" s="46"/>
      <c r="H113" s="46"/>
      <c r="I113" s="46"/>
      <c r="J113" s="46"/>
      <c r="K113" s="76"/>
      <c r="L113" s="77"/>
      <c r="M113" s="77"/>
      <c r="N113" s="77"/>
      <c r="O113" s="77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74">
        <f t="shared" si="2"/>
        <v>58</v>
      </c>
    </row>
    <row r="114">
      <c r="A114" s="72" t="str">
        <f t="shared" si="1"/>
        <v/>
      </c>
      <c r="B114" s="46"/>
      <c r="C114" s="74"/>
      <c r="D114" s="72"/>
      <c r="E114" s="72"/>
      <c r="F114" s="75"/>
      <c r="G114" s="46"/>
      <c r="H114" s="46"/>
      <c r="I114" s="46"/>
      <c r="J114" s="46"/>
      <c r="K114" s="76"/>
      <c r="L114" s="77"/>
      <c r="M114" s="77"/>
      <c r="N114" s="77"/>
      <c r="O114" s="77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74">
        <f t="shared" si="2"/>
        <v>58</v>
      </c>
    </row>
    <row r="115">
      <c r="A115" s="72" t="str">
        <f t="shared" si="1"/>
        <v/>
      </c>
      <c r="B115" s="46"/>
      <c r="C115" s="74"/>
      <c r="D115" s="72"/>
      <c r="E115" s="72"/>
      <c r="F115" s="75"/>
      <c r="G115" s="46"/>
      <c r="H115" s="46"/>
      <c r="I115" s="46"/>
      <c r="J115" s="46"/>
      <c r="K115" s="76"/>
      <c r="L115" s="77"/>
      <c r="M115" s="77"/>
      <c r="N115" s="77"/>
      <c r="O115" s="77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74">
        <f t="shared" si="2"/>
        <v>58</v>
      </c>
    </row>
    <row r="116">
      <c r="A116" s="72" t="str">
        <f t="shared" si="1"/>
        <v/>
      </c>
      <c r="B116" s="46"/>
      <c r="C116" s="74"/>
      <c r="D116" s="72"/>
      <c r="E116" s="72"/>
      <c r="F116" s="75"/>
      <c r="G116" s="46"/>
      <c r="H116" s="46"/>
      <c r="I116" s="46"/>
      <c r="J116" s="46"/>
      <c r="K116" s="76"/>
      <c r="L116" s="77"/>
      <c r="M116" s="77"/>
      <c r="N116" s="77"/>
      <c r="O116" s="77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74">
        <f t="shared" si="2"/>
        <v>58</v>
      </c>
    </row>
    <row r="117">
      <c r="A117" s="72" t="str">
        <f t="shared" si="1"/>
        <v/>
      </c>
      <c r="B117" s="46"/>
      <c r="C117" s="74"/>
      <c r="D117" s="72"/>
      <c r="E117" s="72"/>
      <c r="F117" s="75"/>
      <c r="G117" s="46"/>
      <c r="H117" s="46"/>
      <c r="I117" s="46"/>
      <c r="J117" s="46"/>
      <c r="K117" s="76"/>
      <c r="L117" s="77"/>
      <c r="M117" s="77"/>
      <c r="N117" s="77"/>
      <c r="O117" s="7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74">
        <f t="shared" si="2"/>
        <v>58</v>
      </c>
    </row>
    <row r="118">
      <c r="A118" s="72" t="str">
        <f t="shared" si="1"/>
        <v/>
      </c>
      <c r="B118" s="46"/>
      <c r="C118" s="74"/>
      <c r="D118" s="72"/>
      <c r="E118" s="72"/>
      <c r="F118" s="75"/>
      <c r="G118" s="46"/>
      <c r="H118" s="46"/>
      <c r="I118" s="46"/>
      <c r="J118" s="46"/>
      <c r="K118" s="76"/>
      <c r="L118" s="77"/>
      <c r="M118" s="77"/>
      <c r="N118" s="77"/>
      <c r="O118" s="77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74">
        <f t="shared" si="2"/>
        <v>58</v>
      </c>
    </row>
    <row r="119">
      <c r="A119" s="72" t="str">
        <f t="shared" si="1"/>
        <v/>
      </c>
      <c r="B119" s="46"/>
      <c r="C119" s="74"/>
      <c r="D119" s="72"/>
      <c r="E119" s="72"/>
      <c r="F119" s="75"/>
      <c r="G119" s="46"/>
      <c r="H119" s="46"/>
      <c r="I119" s="46"/>
      <c r="J119" s="46"/>
      <c r="K119" s="76"/>
      <c r="L119" s="77"/>
      <c r="M119" s="77"/>
      <c r="N119" s="77"/>
      <c r="O119" s="77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74">
        <f t="shared" si="2"/>
        <v>58</v>
      </c>
    </row>
    <row r="120">
      <c r="A120" s="72" t="str">
        <f t="shared" si="1"/>
        <v/>
      </c>
      <c r="B120" s="46"/>
      <c r="C120" s="74"/>
      <c r="D120" s="72"/>
      <c r="E120" s="72"/>
      <c r="F120" s="75"/>
      <c r="G120" s="46"/>
      <c r="H120" s="46"/>
      <c r="I120" s="46"/>
      <c r="J120" s="46"/>
      <c r="K120" s="76"/>
      <c r="L120" s="77"/>
      <c r="M120" s="77"/>
      <c r="N120" s="77"/>
      <c r="O120" s="77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74">
        <f t="shared" si="2"/>
        <v>58</v>
      </c>
    </row>
    <row r="121">
      <c r="A121" s="72" t="str">
        <f t="shared" si="1"/>
        <v/>
      </c>
      <c r="B121" s="46"/>
      <c r="C121" s="74"/>
      <c r="D121" s="72"/>
      <c r="E121" s="72"/>
      <c r="F121" s="75"/>
      <c r="G121" s="46"/>
      <c r="H121" s="46"/>
      <c r="I121" s="46"/>
      <c r="J121" s="46"/>
      <c r="K121" s="76"/>
      <c r="L121" s="77"/>
      <c r="M121" s="77"/>
      <c r="N121" s="77"/>
      <c r="O121" s="77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74">
        <f t="shared" si="2"/>
        <v>58</v>
      </c>
    </row>
    <row r="122">
      <c r="A122" s="72" t="str">
        <f t="shared" si="1"/>
        <v/>
      </c>
      <c r="B122" s="46"/>
      <c r="C122" s="74"/>
      <c r="D122" s="72"/>
      <c r="E122" s="72"/>
      <c r="F122" s="75"/>
      <c r="G122" s="46"/>
      <c r="H122" s="46"/>
      <c r="I122" s="46"/>
      <c r="J122" s="46"/>
      <c r="K122" s="76"/>
      <c r="L122" s="77"/>
      <c r="M122" s="77"/>
      <c r="N122" s="77"/>
      <c r="O122" s="77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74">
        <f t="shared" si="2"/>
        <v>58</v>
      </c>
    </row>
    <row r="123">
      <c r="A123" s="72" t="str">
        <f t="shared" si="1"/>
        <v/>
      </c>
      <c r="B123" s="46"/>
      <c r="C123" s="74"/>
      <c r="D123" s="72"/>
      <c r="E123" s="72"/>
      <c r="F123" s="75"/>
      <c r="G123" s="46"/>
      <c r="H123" s="46"/>
      <c r="I123" s="46"/>
      <c r="J123" s="46"/>
      <c r="K123" s="76"/>
      <c r="L123" s="77"/>
      <c r="M123" s="77"/>
      <c r="N123" s="77"/>
      <c r="O123" s="77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74">
        <f t="shared" si="2"/>
        <v>58</v>
      </c>
    </row>
    <row r="124">
      <c r="A124" s="72" t="str">
        <f t="shared" si="1"/>
        <v/>
      </c>
      <c r="B124" s="46"/>
      <c r="C124" s="74"/>
      <c r="D124" s="72"/>
      <c r="E124" s="72"/>
      <c r="F124" s="75"/>
      <c r="G124" s="46"/>
      <c r="H124" s="46"/>
      <c r="I124" s="46"/>
      <c r="J124" s="46"/>
      <c r="K124" s="76"/>
      <c r="L124" s="77"/>
      <c r="M124" s="77"/>
      <c r="N124" s="77"/>
      <c r="O124" s="77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74">
        <f t="shared" si="2"/>
        <v>58</v>
      </c>
    </row>
    <row r="125">
      <c r="A125" s="72" t="str">
        <f t="shared" si="1"/>
        <v/>
      </c>
      <c r="B125" s="46"/>
      <c r="C125" s="74"/>
      <c r="D125" s="72"/>
      <c r="E125" s="72"/>
      <c r="F125" s="75"/>
      <c r="G125" s="46"/>
      <c r="H125" s="46"/>
      <c r="I125" s="46"/>
      <c r="J125" s="46"/>
      <c r="K125" s="76"/>
      <c r="L125" s="77"/>
      <c r="M125" s="77"/>
      <c r="N125" s="77"/>
      <c r="O125" s="77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74">
        <f t="shared" si="2"/>
        <v>58</v>
      </c>
    </row>
    <row r="126">
      <c r="A126" s="72" t="str">
        <f t="shared" si="1"/>
        <v/>
      </c>
      <c r="B126" s="46"/>
      <c r="C126" s="74"/>
      <c r="D126" s="72"/>
      <c r="E126" s="72"/>
      <c r="F126" s="75"/>
      <c r="G126" s="46"/>
      <c r="H126" s="46"/>
      <c r="I126" s="46"/>
      <c r="J126" s="46"/>
      <c r="K126" s="76"/>
      <c r="L126" s="77"/>
      <c r="M126" s="77"/>
      <c r="N126" s="77"/>
      <c r="O126" s="77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74">
        <f t="shared" si="2"/>
        <v>58</v>
      </c>
    </row>
    <row r="127">
      <c r="A127" s="72" t="str">
        <f t="shared" si="1"/>
        <v/>
      </c>
      <c r="B127" s="46"/>
      <c r="C127" s="74"/>
      <c r="D127" s="72"/>
      <c r="E127" s="72"/>
      <c r="F127" s="75"/>
      <c r="G127" s="46"/>
      <c r="H127" s="46"/>
      <c r="I127" s="46"/>
      <c r="J127" s="46"/>
      <c r="K127" s="76"/>
      <c r="L127" s="77"/>
      <c r="M127" s="77"/>
      <c r="N127" s="77"/>
      <c r="O127" s="77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74">
        <f t="shared" si="2"/>
        <v>58</v>
      </c>
    </row>
    <row r="128">
      <c r="A128" s="72" t="str">
        <f t="shared" si="1"/>
        <v/>
      </c>
      <c r="B128" s="46"/>
      <c r="C128" s="74"/>
      <c r="D128" s="72"/>
      <c r="E128" s="72"/>
      <c r="F128" s="75"/>
      <c r="G128" s="46"/>
      <c r="H128" s="46"/>
      <c r="I128" s="46"/>
      <c r="J128" s="46"/>
      <c r="K128" s="76"/>
      <c r="L128" s="77"/>
      <c r="M128" s="77"/>
      <c r="N128" s="77"/>
      <c r="O128" s="77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74">
        <f t="shared" si="2"/>
        <v>58</v>
      </c>
    </row>
    <row r="129">
      <c r="A129" s="72" t="str">
        <f t="shared" si="1"/>
        <v/>
      </c>
      <c r="B129" s="46"/>
      <c r="C129" s="74"/>
      <c r="D129" s="72"/>
      <c r="E129" s="72"/>
      <c r="F129" s="75"/>
      <c r="G129" s="46"/>
      <c r="H129" s="46"/>
      <c r="I129" s="46"/>
      <c r="J129" s="46"/>
      <c r="K129" s="76"/>
      <c r="L129" s="77"/>
      <c r="M129" s="77"/>
      <c r="N129" s="77"/>
      <c r="O129" s="77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74">
        <f t="shared" si="2"/>
        <v>58</v>
      </c>
    </row>
    <row r="130">
      <c r="A130" s="72" t="str">
        <f t="shared" si="1"/>
        <v/>
      </c>
      <c r="B130" s="46"/>
      <c r="C130" s="74"/>
      <c r="D130" s="72"/>
      <c r="E130" s="72"/>
      <c r="F130" s="75"/>
      <c r="G130" s="46"/>
      <c r="H130" s="46"/>
      <c r="I130" s="46"/>
      <c r="J130" s="46"/>
      <c r="K130" s="76"/>
      <c r="L130" s="77"/>
      <c r="M130" s="77"/>
      <c r="N130" s="77"/>
      <c r="O130" s="77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74">
        <f t="shared" si="2"/>
        <v>58</v>
      </c>
    </row>
    <row r="131">
      <c r="A131" s="72" t="str">
        <f t="shared" si="1"/>
        <v/>
      </c>
      <c r="B131" s="46"/>
      <c r="C131" s="74"/>
      <c r="D131" s="72"/>
      <c r="E131" s="72"/>
      <c r="F131" s="75"/>
      <c r="G131" s="46"/>
      <c r="H131" s="46"/>
      <c r="I131" s="46"/>
      <c r="J131" s="46"/>
      <c r="K131" s="76"/>
      <c r="L131" s="77"/>
      <c r="M131" s="77"/>
      <c r="N131" s="77"/>
      <c r="O131" s="77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74">
        <f t="shared" si="2"/>
        <v>58</v>
      </c>
    </row>
    <row r="132">
      <c r="A132" s="72" t="str">
        <f t="shared" si="1"/>
        <v/>
      </c>
      <c r="B132" s="46"/>
      <c r="C132" s="74"/>
      <c r="D132" s="72"/>
      <c r="E132" s="72"/>
      <c r="F132" s="75"/>
      <c r="G132" s="46"/>
      <c r="H132" s="46"/>
      <c r="I132" s="46"/>
      <c r="J132" s="46"/>
      <c r="K132" s="76"/>
      <c r="L132" s="77"/>
      <c r="M132" s="77"/>
      <c r="N132" s="77"/>
      <c r="O132" s="77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74">
        <f t="shared" si="2"/>
        <v>58</v>
      </c>
    </row>
    <row r="133">
      <c r="A133" s="72" t="str">
        <f t="shared" si="1"/>
        <v/>
      </c>
      <c r="B133" s="46"/>
      <c r="C133" s="74"/>
      <c r="D133" s="72"/>
      <c r="E133" s="72"/>
      <c r="F133" s="75"/>
      <c r="G133" s="46"/>
      <c r="H133" s="46"/>
      <c r="I133" s="46"/>
      <c r="J133" s="46"/>
      <c r="K133" s="76"/>
      <c r="L133" s="77"/>
      <c r="M133" s="77"/>
      <c r="N133" s="77"/>
      <c r="O133" s="77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74">
        <f t="shared" si="2"/>
        <v>58</v>
      </c>
    </row>
    <row r="134">
      <c r="A134" s="72" t="str">
        <f t="shared" si="1"/>
        <v/>
      </c>
      <c r="B134" s="46"/>
      <c r="C134" s="74"/>
      <c r="D134" s="72"/>
      <c r="E134" s="72"/>
      <c r="F134" s="75"/>
      <c r="G134" s="46"/>
      <c r="H134" s="46"/>
      <c r="I134" s="46"/>
      <c r="J134" s="46"/>
      <c r="K134" s="76"/>
      <c r="L134" s="77"/>
      <c r="M134" s="77"/>
      <c r="N134" s="77"/>
      <c r="O134" s="77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74">
        <f t="shared" si="2"/>
        <v>58</v>
      </c>
    </row>
    <row r="135">
      <c r="A135" s="72" t="str">
        <f t="shared" si="1"/>
        <v/>
      </c>
      <c r="B135" s="46"/>
      <c r="C135" s="74"/>
      <c r="D135" s="72"/>
      <c r="E135" s="72"/>
      <c r="F135" s="75"/>
      <c r="G135" s="46"/>
      <c r="H135" s="46"/>
      <c r="I135" s="46"/>
      <c r="J135" s="46"/>
      <c r="K135" s="76"/>
      <c r="L135" s="77"/>
      <c r="M135" s="77"/>
      <c r="N135" s="77"/>
      <c r="O135" s="77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74">
        <f t="shared" si="2"/>
        <v>58</v>
      </c>
    </row>
    <row r="136">
      <c r="A136" s="72" t="str">
        <f t="shared" si="1"/>
        <v/>
      </c>
      <c r="B136" s="46"/>
      <c r="C136" s="74"/>
      <c r="D136" s="72"/>
      <c r="E136" s="72"/>
      <c r="F136" s="75"/>
      <c r="G136" s="46"/>
      <c r="H136" s="46"/>
      <c r="I136" s="46"/>
      <c r="J136" s="46"/>
      <c r="K136" s="76"/>
      <c r="L136" s="77"/>
      <c r="M136" s="77"/>
      <c r="N136" s="77"/>
      <c r="O136" s="77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74">
        <f t="shared" si="2"/>
        <v>58</v>
      </c>
    </row>
    <row r="137">
      <c r="A137" s="72" t="str">
        <f t="shared" si="1"/>
        <v/>
      </c>
      <c r="B137" s="46"/>
      <c r="C137" s="74"/>
      <c r="D137" s="72"/>
      <c r="E137" s="72"/>
      <c r="F137" s="75"/>
      <c r="G137" s="46"/>
      <c r="H137" s="46"/>
      <c r="I137" s="46"/>
      <c r="J137" s="46"/>
      <c r="K137" s="76"/>
      <c r="L137" s="77"/>
      <c r="M137" s="77"/>
      <c r="N137" s="77"/>
      <c r="O137" s="77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74">
        <f t="shared" si="2"/>
        <v>58</v>
      </c>
    </row>
    <row r="138">
      <c r="A138" s="72" t="str">
        <f t="shared" si="1"/>
        <v/>
      </c>
      <c r="B138" s="46"/>
      <c r="C138" s="74"/>
      <c r="D138" s="72"/>
      <c r="E138" s="72"/>
      <c r="F138" s="75"/>
      <c r="G138" s="46"/>
      <c r="H138" s="46"/>
      <c r="I138" s="46"/>
      <c r="J138" s="46"/>
      <c r="K138" s="76"/>
      <c r="L138" s="77"/>
      <c r="M138" s="77"/>
      <c r="N138" s="77"/>
      <c r="O138" s="77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74">
        <f t="shared" si="2"/>
        <v>58</v>
      </c>
    </row>
    <row r="139">
      <c r="A139" s="72" t="str">
        <f t="shared" si="1"/>
        <v/>
      </c>
      <c r="B139" s="46"/>
      <c r="C139" s="74"/>
      <c r="D139" s="72"/>
      <c r="E139" s="72"/>
      <c r="F139" s="75"/>
      <c r="G139" s="46"/>
      <c r="H139" s="46"/>
      <c r="I139" s="46"/>
      <c r="J139" s="46"/>
      <c r="K139" s="76"/>
      <c r="L139" s="77"/>
      <c r="M139" s="77"/>
      <c r="N139" s="77"/>
      <c r="O139" s="77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74">
        <f t="shared" si="2"/>
        <v>58</v>
      </c>
    </row>
    <row r="140">
      <c r="A140" s="72" t="str">
        <f t="shared" si="1"/>
        <v/>
      </c>
      <c r="B140" s="46"/>
      <c r="C140" s="74"/>
      <c r="D140" s="72"/>
      <c r="E140" s="72"/>
      <c r="F140" s="75"/>
      <c r="G140" s="46"/>
      <c r="H140" s="46"/>
      <c r="I140" s="46"/>
      <c r="J140" s="46"/>
      <c r="K140" s="76"/>
      <c r="L140" s="77"/>
      <c r="M140" s="77"/>
      <c r="N140" s="77"/>
      <c r="O140" s="77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</row>
    <row r="141">
      <c r="A141" s="72" t="str">
        <f t="shared" si="1"/>
        <v/>
      </c>
      <c r="B141" s="46"/>
      <c r="C141" s="74"/>
      <c r="D141" s="72"/>
      <c r="E141" s="72"/>
      <c r="F141" s="75"/>
      <c r="G141" s="46"/>
      <c r="H141" s="46"/>
      <c r="I141" s="46"/>
      <c r="J141" s="46"/>
      <c r="K141" s="76"/>
      <c r="L141" s="77"/>
      <c r="M141" s="77"/>
      <c r="N141" s="77"/>
      <c r="O141" s="77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</row>
    <row r="142">
      <c r="A142" s="72" t="str">
        <f t="shared" si="1"/>
        <v/>
      </c>
      <c r="B142" s="46"/>
      <c r="C142" s="74"/>
      <c r="D142" s="72"/>
      <c r="E142" s="72"/>
      <c r="F142" s="75"/>
      <c r="G142" s="46"/>
      <c r="H142" s="46"/>
      <c r="I142" s="46"/>
      <c r="J142" s="46"/>
      <c r="K142" s="76"/>
      <c r="L142" s="77"/>
      <c r="M142" s="77"/>
      <c r="N142" s="77"/>
      <c r="O142" s="77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</row>
    <row r="143">
      <c r="A143" s="72" t="str">
        <f t="shared" si="1"/>
        <v/>
      </c>
      <c r="B143" s="46"/>
      <c r="C143" s="74"/>
      <c r="D143" s="72"/>
      <c r="E143" s="72"/>
      <c r="F143" s="75"/>
      <c r="G143" s="46"/>
      <c r="H143" s="46"/>
      <c r="I143" s="46"/>
      <c r="J143" s="46"/>
      <c r="K143" s="76"/>
      <c r="L143" s="77"/>
      <c r="M143" s="77"/>
      <c r="N143" s="77"/>
      <c r="O143" s="77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</row>
    <row r="144">
      <c r="A144" s="72" t="str">
        <f t="shared" si="1"/>
        <v/>
      </c>
      <c r="B144" s="46"/>
      <c r="C144" s="74"/>
      <c r="D144" s="72"/>
      <c r="E144" s="72"/>
      <c r="F144" s="75"/>
      <c r="G144" s="46"/>
      <c r="H144" s="46"/>
      <c r="I144" s="46"/>
      <c r="J144" s="46"/>
      <c r="K144" s="76"/>
      <c r="L144" s="77"/>
      <c r="M144" s="77"/>
      <c r="N144" s="77"/>
      <c r="O144" s="77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</row>
    <row r="145">
      <c r="A145" s="72" t="str">
        <f t="shared" si="1"/>
        <v/>
      </c>
      <c r="B145" s="46"/>
      <c r="C145" s="74"/>
      <c r="D145" s="72"/>
      <c r="E145" s="72"/>
      <c r="F145" s="75"/>
      <c r="G145" s="46"/>
      <c r="H145" s="46"/>
      <c r="I145" s="46"/>
      <c r="J145" s="46"/>
      <c r="K145" s="76"/>
      <c r="L145" s="77"/>
      <c r="M145" s="77"/>
      <c r="N145" s="77"/>
      <c r="O145" s="77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</row>
    <row r="146">
      <c r="A146" s="72" t="str">
        <f t="shared" si="1"/>
        <v/>
      </c>
      <c r="B146" s="46"/>
      <c r="C146" s="74"/>
      <c r="D146" s="72"/>
      <c r="E146" s="72"/>
      <c r="F146" s="75"/>
      <c r="G146" s="46"/>
      <c r="H146" s="46"/>
      <c r="I146" s="46"/>
      <c r="J146" s="46"/>
      <c r="K146" s="76"/>
      <c r="L146" s="77"/>
      <c r="M146" s="77"/>
      <c r="N146" s="77"/>
      <c r="O146" s="77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</row>
    <row r="147">
      <c r="A147" s="72" t="str">
        <f t="shared" si="1"/>
        <v/>
      </c>
      <c r="B147" s="46"/>
      <c r="C147" s="74"/>
      <c r="D147" s="72"/>
      <c r="E147" s="72"/>
      <c r="F147" s="75"/>
      <c r="G147" s="46"/>
      <c r="H147" s="46"/>
      <c r="I147" s="46"/>
      <c r="J147" s="46"/>
      <c r="K147" s="76"/>
      <c r="L147" s="77"/>
      <c r="M147" s="77"/>
      <c r="N147" s="77"/>
      <c r="O147" s="77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</row>
    <row r="148">
      <c r="A148" s="72" t="str">
        <f t="shared" si="1"/>
        <v/>
      </c>
      <c r="B148" s="46"/>
      <c r="C148" s="74"/>
      <c r="D148" s="72"/>
      <c r="E148" s="72"/>
      <c r="F148" s="75"/>
      <c r="G148" s="46"/>
      <c r="H148" s="46"/>
      <c r="I148" s="46"/>
      <c r="J148" s="46"/>
      <c r="K148" s="76"/>
      <c r="L148" s="77"/>
      <c r="M148" s="77"/>
      <c r="N148" s="77"/>
      <c r="O148" s="77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</row>
    <row r="149">
      <c r="A149" s="72" t="str">
        <f t="shared" si="1"/>
        <v/>
      </c>
      <c r="B149" s="46"/>
      <c r="C149" s="74"/>
      <c r="D149" s="72"/>
      <c r="E149" s="72"/>
      <c r="F149" s="75"/>
      <c r="G149" s="46"/>
      <c r="H149" s="46"/>
      <c r="I149" s="46"/>
      <c r="J149" s="46"/>
      <c r="K149" s="76"/>
      <c r="L149" s="77"/>
      <c r="M149" s="77"/>
      <c r="N149" s="77"/>
      <c r="O149" s="77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</row>
    <row r="150">
      <c r="A150" s="72" t="str">
        <f t="shared" si="1"/>
        <v/>
      </c>
      <c r="B150" s="46"/>
      <c r="C150" s="74"/>
      <c r="D150" s="72"/>
      <c r="E150" s="72"/>
      <c r="F150" s="75"/>
      <c r="G150" s="46"/>
      <c r="H150" s="46"/>
      <c r="I150" s="46"/>
      <c r="J150" s="46"/>
      <c r="K150" s="76"/>
      <c r="L150" s="77"/>
      <c r="M150" s="77"/>
      <c r="N150" s="77"/>
      <c r="O150" s="77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</row>
    <row r="151">
      <c r="A151" s="72" t="str">
        <f t="shared" si="1"/>
        <v/>
      </c>
      <c r="B151" s="46"/>
      <c r="C151" s="74"/>
      <c r="D151" s="72"/>
      <c r="E151" s="72"/>
      <c r="F151" s="75"/>
      <c r="G151" s="46"/>
      <c r="H151" s="46"/>
      <c r="I151" s="46"/>
      <c r="J151" s="46"/>
      <c r="K151" s="76"/>
      <c r="L151" s="77"/>
      <c r="M151" s="77"/>
      <c r="N151" s="77"/>
      <c r="O151" s="77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</row>
    <row r="152">
      <c r="A152" s="72" t="str">
        <f t="shared" si="1"/>
        <v/>
      </c>
      <c r="B152" s="46"/>
      <c r="C152" s="74"/>
      <c r="D152" s="72"/>
      <c r="E152" s="72"/>
      <c r="F152" s="75"/>
      <c r="G152" s="46"/>
      <c r="H152" s="46"/>
      <c r="I152" s="46"/>
      <c r="J152" s="46"/>
      <c r="K152" s="76"/>
      <c r="L152" s="77"/>
      <c r="M152" s="77"/>
      <c r="N152" s="77"/>
      <c r="O152" s="77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</row>
    <row r="153">
      <c r="A153" s="72" t="str">
        <f t="shared" si="1"/>
        <v/>
      </c>
      <c r="B153" s="46"/>
      <c r="C153" s="74"/>
      <c r="D153" s="72"/>
      <c r="E153" s="72"/>
      <c r="F153" s="75"/>
      <c r="G153" s="46"/>
      <c r="H153" s="46"/>
      <c r="I153" s="46"/>
      <c r="J153" s="46"/>
      <c r="K153" s="76"/>
      <c r="L153" s="77"/>
      <c r="M153" s="77"/>
      <c r="N153" s="77"/>
      <c r="O153" s="77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</row>
    <row r="154">
      <c r="A154" s="72" t="str">
        <f t="shared" si="1"/>
        <v/>
      </c>
      <c r="B154" s="46"/>
      <c r="C154" s="74"/>
      <c r="D154" s="72"/>
      <c r="E154" s="72"/>
      <c r="F154" s="75"/>
      <c r="G154" s="46"/>
      <c r="H154" s="46"/>
      <c r="I154" s="46"/>
      <c r="J154" s="46"/>
      <c r="K154" s="76"/>
      <c r="L154" s="77"/>
      <c r="M154" s="77"/>
      <c r="N154" s="77"/>
      <c r="O154" s="77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</row>
    <row r="155">
      <c r="A155" s="72" t="str">
        <f t="shared" si="1"/>
        <v/>
      </c>
      <c r="B155" s="46"/>
      <c r="C155" s="74"/>
      <c r="D155" s="72"/>
      <c r="E155" s="72"/>
      <c r="F155" s="75"/>
      <c r="G155" s="46"/>
      <c r="H155" s="46"/>
      <c r="I155" s="46"/>
      <c r="J155" s="46"/>
      <c r="K155" s="76"/>
      <c r="L155" s="77"/>
      <c r="M155" s="77"/>
      <c r="N155" s="77"/>
      <c r="O155" s="77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</row>
    <row r="156">
      <c r="A156" s="72" t="str">
        <f t="shared" si="1"/>
        <v/>
      </c>
      <c r="B156" s="46"/>
      <c r="C156" s="74"/>
      <c r="D156" s="72"/>
      <c r="E156" s="72"/>
      <c r="F156" s="75"/>
      <c r="G156" s="46"/>
      <c r="H156" s="46"/>
      <c r="I156" s="46"/>
      <c r="J156" s="46"/>
      <c r="K156" s="76"/>
      <c r="L156" s="77"/>
      <c r="M156" s="77"/>
      <c r="N156" s="77"/>
      <c r="O156" s="77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</row>
    <row r="157">
      <c r="A157" s="72" t="str">
        <f t="shared" si="1"/>
        <v/>
      </c>
      <c r="B157" s="46"/>
      <c r="C157" s="74"/>
      <c r="D157" s="72"/>
      <c r="E157" s="72"/>
      <c r="F157" s="75"/>
      <c r="G157" s="46"/>
      <c r="H157" s="46"/>
      <c r="I157" s="46"/>
      <c r="J157" s="46"/>
      <c r="K157" s="76"/>
      <c r="L157" s="77"/>
      <c r="M157" s="77"/>
      <c r="N157" s="77"/>
      <c r="O157" s="77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</row>
    <row r="158">
      <c r="A158" s="72" t="str">
        <f t="shared" si="1"/>
        <v/>
      </c>
      <c r="B158" s="46"/>
      <c r="C158" s="74"/>
      <c r="D158" s="72"/>
      <c r="E158" s="72"/>
      <c r="F158" s="75"/>
      <c r="G158" s="46"/>
      <c r="H158" s="46"/>
      <c r="I158" s="46"/>
      <c r="J158" s="46"/>
      <c r="K158" s="76"/>
      <c r="L158" s="77"/>
      <c r="M158" s="77"/>
      <c r="N158" s="77"/>
      <c r="O158" s="77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</row>
    <row r="159">
      <c r="A159" s="72" t="str">
        <f t="shared" si="1"/>
        <v/>
      </c>
      <c r="B159" s="46"/>
      <c r="C159" s="74"/>
      <c r="D159" s="72"/>
      <c r="E159" s="72"/>
      <c r="F159" s="75"/>
      <c r="G159" s="46"/>
      <c r="H159" s="46"/>
      <c r="I159" s="46"/>
      <c r="J159" s="46"/>
      <c r="K159" s="76"/>
      <c r="L159" s="77"/>
      <c r="M159" s="77"/>
      <c r="N159" s="77"/>
      <c r="O159" s="77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</row>
    <row r="160">
      <c r="A160" s="72" t="str">
        <f t="shared" si="1"/>
        <v/>
      </c>
      <c r="B160" s="46"/>
      <c r="C160" s="74"/>
      <c r="D160" s="72"/>
      <c r="E160" s="72"/>
      <c r="F160" s="75"/>
      <c r="G160" s="46"/>
      <c r="H160" s="46"/>
      <c r="I160" s="46"/>
      <c r="J160" s="46"/>
      <c r="K160" s="76"/>
      <c r="L160" s="77"/>
      <c r="M160" s="77"/>
      <c r="N160" s="77"/>
      <c r="O160" s="77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</row>
    <row r="161">
      <c r="A161" s="72" t="str">
        <f t="shared" si="1"/>
        <v/>
      </c>
      <c r="B161" s="46"/>
      <c r="C161" s="74"/>
      <c r="D161" s="72"/>
      <c r="E161" s="72"/>
      <c r="F161" s="75"/>
      <c r="G161" s="46"/>
      <c r="H161" s="46"/>
      <c r="I161" s="46"/>
      <c r="J161" s="46"/>
      <c r="K161" s="76"/>
      <c r="L161" s="77"/>
      <c r="M161" s="77"/>
      <c r="N161" s="77"/>
      <c r="O161" s="77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</row>
    <row r="162">
      <c r="A162" s="72" t="str">
        <f t="shared" si="1"/>
        <v/>
      </c>
      <c r="B162" s="46"/>
      <c r="C162" s="74"/>
      <c r="D162" s="72"/>
      <c r="E162" s="72"/>
      <c r="F162" s="75"/>
      <c r="G162" s="46"/>
      <c r="H162" s="46"/>
      <c r="I162" s="46"/>
      <c r="J162" s="46"/>
      <c r="K162" s="76"/>
      <c r="L162" s="77"/>
      <c r="M162" s="77"/>
      <c r="N162" s="77"/>
      <c r="O162" s="77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</row>
    <row r="163">
      <c r="A163" s="72" t="str">
        <f t="shared" si="1"/>
        <v/>
      </c>
      <c r="B163" s="46"/>
      <c r="C163" s="74"/>
      <c r="D163" s="72"/>
      <c r="E163" s="72"/>
      <c r="F163" s="75"/>
      <c r="G163" s="46"/>
      <c r="H163" s="46"/>
      <c r="I163" s="46"/>
      <c r="J163" s="46"/>
      <c r="K163" s="76"/>
      <c r="L163" s="77"/>
      <c r="M163" s="77"/>
      <c r="N163" s="77"/>
      <c r="O163" s="77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</row>
    <row r="164">
      <c r="A164" s="72" t="str">
        <f t="shared" si="1"/>
        <v/>
      </c>
      <c r="B164" s="46"/>
      <c r="C164" s="74"/>
      <c r="D164" s="72"/>
      <c r="E164" s="72"/>
      <c r="F164" s="75"/>
      <c r="G164" s="46"/>
      <c r="H164" s="46"/>
      <c r="I164" s="46"/>
      <c r="J164" s="46"/>
      <c r="K164" s="76"/>
      <c r="L164" s="77"/>
      <c r="M164" s="77"/>
      <c r="N164" s="77"/>
      <c r="O164" s="77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</row>
    <row r="165">
      <c r="A165" s="72" t="str">
        <f t="shared" si="1"/>
        <v/>
      </c>
      <c r="B165" s="46"/>
      <c r="C165" s="74"/>
      <c r="D165" s="72"/>
      <c r="E165" s="72"/>
      <c r="F165" s="75"/>
      <c r="G165" s="46"/>
      <c r="H165" s="46"/>
      <c r="I165" s="46"/>
      <c r="J165" s="46"/>
      <c r="K165" s="76"/>
      <c r="L165" s="77"/>
      <c r="M165" s="77"/>
      <c r="N165" s="77"/>
      <c r="O165" s="77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</row>
    <row r="166">
      <c r="A166" s="72" t="str">
        <f t="shared" si="1"/>
        <v/>
      </c>
      <c r="B166" s="46"/>
      <c r="C166" s="74"/>
      <c r="D166" s="72"/>
      <c r="E166" s="72"/>
      <c r="F166" s="75"/>
      <c r="G166" s="46"/>
      <c r="H166" s="46"/>
      <c r="I166" s="46"/>
      <c r="J166" s="46"/>
      <c r="K166" s="76"/>
      <c r="L166" s="77"/>
      <c r="M166" s="77"/>
      <c r="N166" s="77"/>
      <c r="O166" s="77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</row>
    <row r="167">
      <c r="A167" s="72" t="str">
        <f t="shared" si="1"/>
        <v/>
      </c>
      <c r="B167" s="46"/>
      <c r="C167" s="74"/>
      <c r="D167" s="72"/>
      <c r="E167" s="72"/>
      <c r="F167" s="75"/>
      <c r="G167" s="46"/>
      <c r="H167" s="46"/>
      <c r="I167" s="46"/>
      <c r="J167" s="46"/>
      <c r="K167" s="76"/>
      <c r="L167" s="77"/>
      <c r="M167" s="77"/>
      <c r="N167" s="77"/>
      <c r="O167" s="77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</row>
    <row r="168">
      <c r="A168" s="72" t="str">
        <f t="shared" si="1"/>
        <v/>
      </c>
      <c r="B168" s="46"/>
      <c r="C168" s="74"/>
      <c r="D168" s="72"/>
      <c r="E168" s="72"/>
      <c r="F168" s="75"/>
      <c r="G168" s="46"/>
      <c r="H168" s="46"/>
      <c r="I168" s="46"/>
      <c r="J168" s="46"/>
      <c r="K168" s="76"/>
      <c r="L168" s="77"/>
      <c r="M168" s="77"/>
      <c r="N168" s="77"/>
      <c r="O168" s="77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</row>
    <row r="169">
      <c r="A169" s="72" t="str">
        <f t="shared" si="1"/>
        <v/>
      </c>
      <c r="B169" s="46"/>
      <c r="C169" s="74"/>
      <c r="D169" s="72"/>
      <c r="E169" s="72"/>
      <c r="F169" s="75"/>
      <c r="G169" s="46"/>
      <c r="H169" s="46"/>
      <c r="I169" s="46"/>
      <c r="J169" s="46"/>
      <c r="K169" s="76"/>
      <c r="L169" s="77"/>
      <c r="M169" s="77"/>
      <c r="N169" s="77"/>
      <c r="O169" s="77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</row>
    <row r="170">
      <c r="A170" s="72" t="str">
        <f t="shared" si="1"/>
        <v/>
      </c>
      <c r="B170" s="46"/>
      <c r="C170" s="74"/>
      <c r="D170" s="72"/>
      <c r="E170" s="72"/>
      <c r="F170" s="75"/>
      <c r="G170" s="46"/>
      <c r="H170" s="46"/>
      <c r="I170" s="46"/>
      <c r="J170" s="46"/>
      <c r="K170" s="76"/>
      <c r="L170" s="77"/>
      <c r="M170" s="77"/>
      <c r="N170" s="77"/>
      <c r="O170" s="77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</row>
    <row r="171">
      <c r="A171" s="72" t="str">
        <f t="shared" si="1"/>
        <v/>
      </c>
      <c r="B171" s="46"/>
      <c r="C171" s="74"/>
      <c r="D171" s="72"/>
      <c r="E171" s="72"/>
      <c r="F171" s="75"/>
      <c r="G171" s="46"/>
      <c r="H171" s="46"/>
      <c r="I171" s="46"/>
      <c r="J171" s="46"/>
      <c r="K171" s="76"/>
      <c r="L171" s="77"/>
      <c r="M171" s="77"/>
      <c r="N171" s="77"/>
      <c r="O171" s="77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</row>
    <row r="172">
      <c r="A172" s="72" t="str">
        <f t="shared" si="1"/>
        <v/>
      </c>
      <c r="B172" s="46"/>
      <c r="C172" s="74"/>
      <c r="D172" s="72"/>
      <c r="E172" s="72"/>
      <c r="F172" s="75"/>
      <c r="G172" s="46"/>
      <c r="H172" s="46"/>
      <c r="I172" s="46"/>
      <c r="J172" s="46"/>
      <c r="K172" s="76"/>
      <c r="L172" s="77"/>
      <c r="M172" s="77"/>
      <c r="N172" s="77"/>
      <c r="O172" s="77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</row>
    <row r="173">
      <c r="A173" s="72" t="str">
        <f t="shared" si="1"/>
        <v/>
      </c>
      <c r="B173" s="46"/>
      <c r="C173" s="74"/>
      <c r="D173" s="72"/>
      <c r="E173" s="72"/>
      <c r="F173" s="75"/>
      <c r="G173" s="46"/>
      <c r="H173" s="46"/>
      <c r="I173" s="46"/>
      <c r="J173" s="46"/>
      <c r="K173" s="76"/>
      <c r="L173" s="77"/>
      <c r="M173" s="77"/>
      <c r="N173" s="77"/>
      <c r="O173" s="77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</row>
    <row r="174">
      <c r="A174" s="72" t="str">
        <f t="shared" si="1"/>
        <v/>
      </c>
      <c r="B174" s="46"/>
      <c r="C174" s="74"/>
      <c r="D174" s="72"/>
      <c r="E174" s="72"/>
      <c r="F174" s="75"/>
      <c r="G174" s="46"/>
      <c r="H174" s="46"/>
      <c r="I174" s="46"/>
      <c r="J174" s="46"/>
      <c r="K174" s="76"/>
      <c r="L174" s="77"/>
      <c r="M174" s="77"/>
      <c r="N174" s="77"/>
      <c r="O174" s="77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</row>
    <row r="175">
      <c r="A175" s="72" t="str">
        <f t="shared" si="1"/>
        <v/>
      </c>
      <c r="B175" s="46"/>
      <c r="C175" s="74"/>
      <c r="D175" s="72"/>
      <c r="E175" s="72"/>
      <c r="F175" s="75"/>
      <c r="G175" s="46"/>
      <c r="H175" s="46"/>
      <c r="I175" s="46"/>
      <c r="J175" s="46"/>
      <c r="K175" s="76"/>
      <c r="L175" s="77"/>
      <c r="M175" s="77"/>
      <c r="N175" s="77"/>
      <c r="O175" s="77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</row>
    <row r="176">
      <c r="A176" s="72" t="str">
        <f t="shared" si="1"/>
        <v/>
      </c>
      <c r="B176" s="46"/>
      <c r="C176" s="74"/>
      <c r="D176" s="72"/>
      <c r="E176" s="72"/>
      <c r="F176" s="75"/>
      <c r="G176" s="46"/>
      <c r="H176" s="46"/>
      <c r="I176" s="46"/>
      <c r="J176" s="46"/>
      <c r="K176" s="76"/>
      <c r="L176" s="77"/>
      <c r="M176" s="77"/>
      <c r="N176" s="77"/>
      <c r="O176" s="77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</row>
    <row r="177">
      <c r="A177" s="72" t="str">
        <f t="shared" si="1"/>
        <v/>
      </c>
      <c r="B177" s="46"/>
      <c r="C177" s="74"/>
      <c r="D177" s="72"/>
      <c r="E177" s="72"/>
      <c r="F177" s="75"/>
      <c r="G177" s="46"/>
      <c r="H177" s="46"/>
      <c r="I177" s="46"/>
      <c r="J177" s="46"/>
      <c r="K177" s="76"/>
      <c r="L177" s="77"/>
      <c r="M177" s="77"/>
      <c r="N177" s="77"/>
      <c r="O177" s="77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</row>
    <row r="178">
      <c r="A178" s="72" t="str">
        <f t="shared" si="1"/>
        <v/>
      </c>
      <c r="B178" s="46"/>
      <c r="C178" s="74"/>
      <c r="D178" s="72"/>
      <c r="E178" s="72"/>
      <c r="F178" s="75"/>
      <c r="G178" s="46"/>
      <c r="H178" s="46"/>
      <c r="I178" s="46"/>
      <c r="J178" s="46"/>
      <c r="K178" s="76"/>
      <c r="L178" s="77"/>
      <c r="M178" s="77"/>
      <c r="N178" s="77"/>
      <c r="O178" s="77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</row>
    <row r="179">
      <c r="A179" s="72" t="str">
        <f t="shared" si="1"/>
        <v/>
      </c>
      <c r="B179" s="46"/>
      <c r="C179" s="74"/>
      <c r="D179" s="72"/>
      <c r="E179" s="72"/>
      <c r="F179" s="75"/>
      <c r="G179" s="46"/>
      <c r="H179" s="46"/>
      <c r="I179" s="46"/>
      <c r="J179" s="46"/>
      <c r="K179" s="76"/>
      <c r="L179" s="77"/>
      <c r="M179" s="77"/>
      <c r="N179" s="77"/>
      <c r="O179" s="77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</row>
    <row r="180">
      <c r="A180" s="72" t="str">
        <f t="shared" si="1"/>
        <v/>
      </c>
      <c r="B180" s="46"/>
      <c r="C180" s="74"/>
      <c r="D180" s="72"/>
      <c r="E180" s="72"/>
      <c r="F180" s="75"/>
      <c r="G180" s="46"/>
      <c r="H180" s="46"/>
      <c r="I180" s="46"/>
      <c r="J180" s="46"/>
      <c r="K180" s="76"/>
      <c r="L180" s="77"/>
      <c r="M180" s="77"/>
      <c r="N180" s="77"/>
      <c r="O180" s="77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</row>
    <row r="181">
      <c r="A181" s="72" t="str">
        <f t="shared" si="1"/>
        <v/>
      </c>
      <c r="B181" s="46"/>
      <c r="C181" s="74"/>
      <c r="D181" s="72"/>
      <c r="E181" s="72"/>
      <c r="F181" s="75"/>
      <c r="G181" s="46"/>
      <c r="H181" s="46"/>
      <c r="I181" s="46"/>
      <c r="J181" s="46"/>
      <c r="K181" s="76"/>
      <c r="L181" s="77"/>
      <c r="M181" s="77"/>
      <c r="N181" s="77"/>
      <c r="O181" s="77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</row>
    <row r="182">
      <c r="A182" s="72" t="str">
        <f t="shared" si="1"/>
        <v/>
      </c>
      <c r="B182" s="46"/>
      <c r="C182" s="74"/>
      <c r="D182" s="72"/>
      <c r="E182" s="72"/>
      <c r="F182" s="75"/>
      <c r="G182" s="46"/>
      <c r="H182" s="46"/>
      <c r="I182" s="46"/>
      <c r="J182" s="46"/>
      <c r="K182" s="76"/>
      <c r="L182" s="77"/>
      <c r="M182" s="77"/>
      <c r="N182" s="77"/>
      <c r="O182" s="77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</row>
    <row r="183">
      <c r="A183" s="72" t="str">
        <f t="shared" si="1"/>
        <v/>
      </c>
      <c r="B183" s="46"/>
      <c r="C183" s="74"/>
      <c r="D183" s="72"/>
      <c r="E183" s="72"/>
      <c r="F183" s="75"/>
      <c r="G183" s="46"/>
      <c r="H183" s="46"/>
      <c r="I183" s="46"/>
      <c r="J183" s="46"/>
      <c r="K183" s="76"/>
      <c r="L183" s="77"/>
      <c r="M183" s="77"/>
      <c r="N183" s="77"/>
      <c r="O183" s="77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</row>
    <row r="184">
      <c r="A184" s="72" t="str">
        <f t="shared" si="1"/>
        <v/>
      </c>
      <c r="B184" s="46"/>
      <c r="C184" s="74"/>
      <c r="D184" s="72"/>
      <c r="E184" s="72"/>
      <c r="F184" s="75"/>
      <c r="G184" s="46"/>
      <c r="H184" s="46"/>
      <c r="I184" s="46"/>
      <c r="J184" s="46"/>
      <c r="K184" s="76"/>
      <c r="L184" s="77"/>
      <c r="M184" s="77"/>
      <c r="N184" s="77"/>
      <c r="O184" s="77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</row>
    <row r="185">
      <c r="A185" s="72" t="str">
        <f t="shared" si="1"/>
        <v/>
      </c>
      <c r="B185" s="46"/>
      <c r="C185" s="74"/>
      <c r="D185" s="72"/>
      <c r="E185" s="72"/>
      <c r="F185" s="75"/>
      <c r="G185" s="46"/>
      <c r="H185" s="46"/>
      <c r="I185" s="46"/>
      <c r="J185" s="46"/>
      <c r="K185" s="76"/>
      <c r="L185" s="77"/>
      <c r="M185" s="77"/>
      <c r="N185" s="77"/>
      <c r="O185" s="77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</row>
    <row r="186">
      <c r="A186" s="72" t="str">
        <f t="shared" si="1"/>
        <v/>
      </c>
      <c r="B186" s="46"/>
      <c r="C186" s="74"/>
      <c r="D186" s="72"/>
      <c r="E186" s="72"/>
      <c r="F186" s="75"/>
      <c r="G186" s="46"/>
      <c r="H186" s="46"/>
      <c r="I186" s="46"/>
      <c r="J186" s="46"/>
      <c r="K186" s="76"/>
      <c r="L186" s="77"/>
      <c r="M186" s="77"/>
      <c r="N186" s="77"/>
      <c r="O186" s="77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</row>
    <row r="187">
      <c r="A187" s="72" t="str">
        <f t="shared" si="1"/>
        <v/>
      </c>
      <c r="B187" s="46"/>
      <c r="C187" s="74"/>
      <c r="D187" s="72"/>
      <c r="E187" s="72"/>
      <c r="F187" s="75"/>
      <c r="G187" s="46"/>
      <c r="H187" s="46"/>
      <c r="I187" s="46"/>
      <c r="J187" s="46"/>
      <c r="K187" s="76"/>
      <c r="L187" s="77"/>
      <c r="M187" s="77"/>
      <c r="N187" s="77"/>
      <c r="O187" s="77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</row>
    <row r="188">
      <c r="A188" s="72" t="str">
        <f t="shared" si="1"/>
        <v/>
      </c>
      <c r="B188" s="46"/>
      <c r="C188" s="74"/>
      <c r="D188" s="72"/>
      <c r="E188" s="72"/>
      <c r="F188" s="75"/>
      <c r="G188" s="46"/>
      <c r="H188" s="46"/>
      <c r="I188" s="46"/>
      <c r="J188" s="46"/>
      <c r="K188" s="76"/>
      <c r="L188" s="77"/>
      <c r="M188" s="77"/>
      <c r="N188" s="77"/>
      <c r="O188" s="77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</row>
    <row r="189">
      <c r="A189" s="72" t="str">
        <f t="shared" si="1"/>
        <v/>
      </c>
      <c r="B189" s="46"/>
      <c r="C189" s="74"/>
      <c r="D189" s="72"/>
      <c r="E189" s="72"/>
      <c r="F189" s="75"/>
      <c r="G189" s="46"/>
      <c r="H189" s="46"/>
      <c r="I189" s="46"/>
      <c r="J189" s="46"/>
      <c r="K189" s="76"/>
      <c r="L189" s="77"/>
      <c r="M189" s="77"/>
      <c r="N189" s="77"/>
      <c r="O189" s="77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</row>
    <row r="190">
      <c r="A190" s="72" t="str">
        <f t="shared" si="1"/>
        <v/>
      </c>
      <c r="B190" s="46"/>
      <c r="C190" s="74"/>
      <c r="D190" s="72"/>
      <c r="E190" s="72"/>
      <c r="F190" s="75"/>
      <c r="G190" s="46"/>
      <c r="H190" s="46"/>
      <c r="I190" s="46"/>
      <c r="J190" s="46"/>
      <c r="K190" s="76"/>
      <c r="L190" s="77"/>
      <c r="M190" s="77"/>
      <c r="N190" s="77"/>
      <c r="O190" s="77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</row>
    <row r="191">
      <c r="A191" s="72" t="str">
        <f t="shared" si="1"/>
        <v/>
      </c>
      <c r="B191" s="46"/>
      <c r="C191" s="74"/>
      <c r="D191" s="72"/>
      <c r="E191" s="72"/>
      <c r="F191" s="75"/>
      <c r="G191" s="46"/>
      <c r="H191" s="46"/>
      <c r="I191" s="46"/>
      <c r="J191" s="46"/>
      <c r="K191" s="76"/>
      <c r="L191" s="77"/>
      <c r="M191" s="77"/>
      <c r="N191" s="77"/>
      <c r="O191" s="77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</row>
    <row r="192">
      <c r="A192" s="72" t="str">
        <f t="shared" si="1"/>
        <v/>
      </c>
      <c r="B192" s="46"/>
      <c r="C192" s="74"/>
      <c r="D192" s="72"/>
      <c r="E192" s="72"/>
      <c r="F192" s="75"/>
      <c r="G192" s="46"/>
      <c r="H192" s="46"/>
      <c r="I192" s="46"/>
      <c r="J192" s="46"/>
      <c r="K192" s="76"/>
      <c r="L192" s="77"/>
      <c r="M192" s="77"/>
      <c r="N192" s="77"/>
      <c r="O192" s="77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</row>
    <row r="193">
      <c r="A193" s="72" t="str">
        <f t="shared" si="1"/>
        <v/>
      </c>
      <c r="B193" s="46"/>
      <c r="C193" s="74"/>
      <c r="D193" s="72"/>
      <c r="E193" s="72"/>
      <c r="F193" s="75"/>
      <c r="G193" s="46"/>
      <c r="H193" s="46"/>
      <c r="I193" s="46"/>
      <c r="J193" s="46"/>
      <c r="K193" s="76"/>
      <c r="L193" s="77"/>
      <c r="M193" s="77"/>
      <c r="N193" s="77"/>
      <c r="O193" s="77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</row>
    <row r="194">
      <c r="A194" s="72" t="str">
        <f t="shared" si="1"/>
        <v/>
      </c>
      <c r="B194" s="46"/>
      <c r="C194" s="74"/>
      <c r="D194" s="72"/>
      <c r="E194" s="72"/>
      <c r="F194" s="75"/>
      <c r="G194" s="46"/>
      <c r="H194" s="46"/>
      <c r="I194" s="46"/>
      <c r="J194" s="46"/>
      <c r="K194" s="76"/>
      <c r="L194" s="77"/>
      <c r="M194" s="77"/>
      <c r="N194" s="77"/>
      <c r="O194" s="77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</row>
    <row r="195">
      <c r="A195" s="72" t="str">
        <f t="shared" si="1"/>
        <v/>
      </c>
      <c r="B195" s="46"/>
      <c r="C195" s="74"/>
      <c r="D195" s="72"/>
      <c r="E195" s="72"/>
      <c r="F195" s="75"/>
      <c r="G195" s="46"/>
      <c r="H195" s="46"/>
      <c r="I195" s="46"/>
      <c r="J195" s="46"/>
      <c r="K195" s="76"/>
      <c r="L195" s="77"/>
      <c r="M195" s="77"/>
      <c r="N195" s="77"/>
      <c r="O195" s="77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</row>
    <row r="196">
      <c r="A196" s="72" t="str">
        <f t="shared" si="1"/>
        <v/>
      </c>
      <c r="B196" s="46"/>
      <c r="C196" s="74"/>
      <c r="D196" s="72"/>
      <c r="E196" s="72"/>
      <c r="F196" s="75"/>
      <c r="G196" s="46"/>
      <c r="H196" s="46"/>
      <c r="I196" s="46"/>
      <c r="J196" s="46"/>
      <c r="K196" s="76"/>
      <c r="L196" s="77"/>
      <c r="M196" s="77"/>
      <c r="N196" s="77"/>
      <c r="O196" s="77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</row>
    <row r="197">
      <c r="A197" s="72" t="str">
        <f t="shared" si="1"/>
        <v/>
      </c>
      <c r="B197" s="46"/>
      <c r="C197" s="74"/>
      <c r="D197" s="72"/>
      <c r="E197" s="72"/>
      <c r="F197" s="75"/>
      <c r="G197" s="46"/>
      <c r="H197" s="46"/>
      <c r="I197" s="46"/>
      <c r="J197" s="46"/>
      <c r="K197" s="76"/>
      <c r="L197" s="77"/>
      <c r="M197" s="77"/>
      <c r="N197" s="77"/>
      <c r="O197" s="77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</row>
    <row r="198">
      <c r="A198" s="72" t="str">
        <f t="shared" si="1"/>
        <v/>
      </c>
      <c r="B198" s="46"/>
      <c r="C198" s="74"/>
      <c r="D198" s="72"/>
      <c r="E198" s="72"/>
      <c r="F198" s="75"/>
      <c r="G198" s="46"/>
      <c r="H198" s="46"/>
      <c r="I198" s="46"/>
      <c r="J198" s="46"/>
      <c r="K198" s="76"/>
      <c r="L198" s="77"/>
      <c r="M198" s="77"/>
      <c r="N198" s="77"/>
      <c r="O198" s="77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</row>
    <row r="199">
      <c r="A199" s="72" t="str">
        <f t="shared" si="1"/>
        <v/>
      </c>
      <c r="B199" s="46"/>
      <c r="C199" s="74"/>
      <c r="D199" s="72"/>
      <c r="E199" s="72"/>
      <c r="F199" s="75"/>
      <c r="G199" s="46"/>
      <c r="H199" s="46"/>
      <c r="I199" s="46"/>
      <c r="J199" s="46"/>
      <c r="K199" s="76"/>
      <c r="L199" s="77"/>
      <c r="M199" s="77"/>
      <c r="N199" s="77"/>
      <c r="O199" s="77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</row>
    <row r="200">
      <c r="A200" s="72" t="str">
        <f t="shared" si="1"/>
        <v/>
      </c>
      <c r="B200" s="46"/>
      <c r="C200" s="74"/>
      <c r="D200" s="72"/>
      <c r="E200" s="72"/>
      <c r="F200" s="75"/>
      <c r="G200" s="46"/>
      <c r="H200" s="46"/>
      <c r="I200" s="46"/>
      <c r="J200" s="46"/>
      <c r="K200" s="76"/>
      <c r="L200" s="77"/>
      <c r="M200" s="77"/>
      <c r="N200" s="77"/>
      <c r="O200" s="77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</row>
    <row r="201">
      <c r="A201" s="72" t="str">
        <f t="shared" si="1"/>
        <v/>
      </c>
      <c r="B201" s="46"/>
      <c r="C201" s="74"/>
      <c r="D201" s="72"/>
      <c r="E201" s="72"/>
      <c r="F201" s="75"/>
      <c r="G201" s="46"/>
      <c r="H201" s="46"/>
      <c r="I201" s="46"/>
      <c r="J201" s="46"/>
      <c r="K201" s="76"/>
      <c r="L201" s="77"/>
      <c r="M201" s="77"/>
      <c r="N201" s="77"/>
      <c r="O201" s="77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</row>
    <row r="202">
      <c r="A202" s="72" t="str">
        <f t="shared" si="1"/>
        <v/>
      </c>
      <c r="B202" s="46"/>
      <c r="C202" s="74"/>
      <c r="D202" s="72"/>
      <c r="E202" s="72"/>
      <c r="F202" s="75"/>
      <c r="G202" s="46"/>
      <c r="H202" s="46"/>
      <c r="I202" s="46"/>
      <c r="J202" s="46"/>
      <c r="K202" s="76"/>
      <c r="L202" s="77"/>
      <c r="M202" s="77"/>
      <c r="N202" s="77"/>
      <c r="O202" s="77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</row>
    <row r="203">
      <c r="A203" s="72" t="str">
        <f t="shared" si="1"/>
        <v/>
      </c>
      <c r="B203" s="46"/>
      <c r="C203" s="74"/>
      <c r="D203" s="72"/>
      <c r="E203" s="72"/>
      <c r="F203" s="75"/>
      <c r="G203" s="46"/>
      <c r="H203" s="46"/>
      <c r="I203" s="46"/>
      <c r="J203" s="46"/>
      <c r="K203" s="76"/>
      <c r="L203" s="77"/>
      <c r="M203" s="77"/>
      <c r="N203" s="77"/>
      <c r="O203" s="77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</row>
    <row r="204">
      <c r="A204" s="72" t="str">
        <f t="shared" si="1"/>
        <v/>
      </c>
      <c r="B204" s="46"/>
      <c r="C204" s="74"/>
      <c r="D204" s="72"/>
      <c r="E204" s="72"/>
      <c r="F204" s="75"/>
      <c r="G204" s="46"/>
      <c r="H204" s="46"/>
      <c r="I204" s="46"/>
      <c r="J204" s="46"/>
      <c r="K204" s="76"/>
      <c r="L204" s="77"/>
      <c r="M204" s="77"/>
      <c r="N204" s="77"/>
      <c r="O204" s="77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</row>
    <row r="205">
      <c r="A205" s="72" t="str">
        <f t="shared" si="1"/>
        <v/>
      </c>
      <c r="B205" s="46"/>
      <c r="C205" s="74"/>
      <c r="D205" s="72"/>
      <c r="E205" s="72"/>
      <c r="F205" s="75"/>
      <c r="G205" s="46"/>
      <c r="H205" s="46"/>
      <c r="I205" s="46"/>
      <c r="J205" s="46"/>
      <c r="K205" s="76"/>
      <c r="L205" s="77"/>
      <c r="M205" s="77"/>
      <c r="N205" s="77"/>
      <c r="O205" s="77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</row>
    <row r="206">
      <c r="A206" s="72" t="str">
        <f t="shared" si="1"/>
        <v/>
      </c>
      <c r="B206" s="46"/>
      <c r="C206" s="74"/>
      <c r="D206" s="72"/>
      <c r="E206" s="72"/>
      <c r="F206" s="75"/>
      <c r="G206" s="46"/>
      <c r="H206" s="46"/>
      <c r="I206" s="46"/>
      <c r="J206" s="46"/>
      <c r="K206" s="76"/>
      <c r="L206" s="77"/>
      <c r="M206" s="77"/>
      <c r="N206" s="77"/>
      <c r="O206" s="77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</row>
    <row r="207">
      <c r="A207" s="72" t="str">
        <f t="shared" si="1"/>
        <v/>
      </c>
      <c r="B207" s="46"/>
      <c r="C207" s="74"/>
      <c r="D207" s="72"/>
      <c r="E207" s="72"/>
      <c r="F207" s="75"/>
      <c r="G207" s="46"/>
      <c r="H207" s="46"/>
      <c r="I207" s="46"/>
      <c r="J207" s="46"/>
      <c r="K207" s="76"/>
      <c r="L207" s="77"/>
      <c r="M207" s="77"/>
      <c r="N207" s="77"/>
      <c r="O207" s="77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</row>
    <row r="208">
      <c r="A208" s="72" t="str">
        <f t="shared" si="1"/>
        <v/>
      </c>
      <c r="B208" s="46"/>
      <c r="C208" s="74"/>
      <c r="D208" s="72"/>
      <c r="E208" s="72"/>
      <c r="F208" s="75"/>
      <c r="G208" s="46"/>
      <c r="H208" s="46"/>
      <c r="I208" s="46"/>
      <c r="J208" s="46"/>
      <c r="K208" s="76"/>
      <c r="L208" s="77"/>
      <c r="M208" s="77"/>
      <c r="N208" s="77"/>
      <c r="O208" s="77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</row>
    <row r="209">
      <c r="A209" s="72" t="str">
        <f t="shared" si="1"/>
        <v/>
      </c>
      <c r="B209" s="46"/>
      <c r="C209" s="74"/>
      <c r="D209" s="72"/>
      <c r="E209" s="72"/>
      <c r="F209" s="75"/>
      <c r="G209" s="46"/>
      <c r="H209" s="46"/>
      <c r="I209" s="46"/>
      <c r="J209" s="46"/>
      <c r="K209" s="76"/>
      <c r="L209" s="77"/>
      <c r="M209" s="77"/>
      <c r="N209" s="77"/>
      <c r="O209" s="77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</row>
    <row r="210">
      <c r="A210" s="72" t="str">
        <f t="shared" si="1"/>
        <v/>
      </c>
      <c r="B210" s="46"/>
      <c r="C210" s="74"/>
      <c r="D210" s="72"/>
      <c r="E210" s="72"/>
      <c r="F210" s="75"/>
      <c r="G210" s="46"/>
      <c r="H210" s="46"/>
      <c r="I210" s="46"/>
      <c r="J210" s="46"/>
      <c r="K210" s="76"/>
      <c r="L210" s="77"/>
      <c r="M210" s="77"/>
      <c r="N210" s="77"/>
      <c r="O210" s="77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</row>
    <row r="211">
      <c r="A211" s="72" t="str">
        <f t="shared" si="1"/>
        <v/>
      </c>
      <c r="B211" s="46"/>
      <c r="C211" s="74"/>
      <c r="D211" s="72"/>
      <c r="E211" s="72"/>
      <c r="F211" s="75"/>
      <c r="G211" s="46"/>
      <c r="H211" s="46"/>
      <c r="I211" s="46"/>
      <c r="J211" s="46"/>
      <c r="K211" s="76"/>
      <c r="L211" s="77"/>
      <c r="M211" s="77"/>
      <c r="N211" s="77"/>
      <c r="O211" s="77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</row>
    <row r="212">
      <c r="A212" s="72" t="str">
        <f t="shared" si="1"/>
        <v/>
      </c>
      <c r="B212" s="46"/>
      <c r="C212" s="74"/>
      <c r="D212" s="72"/>
      <c r="E212" s="72"/>
      <c r="F212" s="75"/>
      <c r="G212" s="46"/>
      <c r="H212" s="46"/>
      <c r="I212" s="46"/>
      <c r="J212" s="46"/>
      <c r="K212" s="76"/>
      <c r="L212" s="77"/>
      <c r="M212" s="77"/>
      <c r="N212" s="77"/>
      <c r="O212" s="77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</row>
    <row r="213">
      <c r="A213" s="72" t="str">
        <f t="shared" si="1"/>
        <v/>
      </c>
      <c r="B213" s="46"/>
      <c r="C213" s="74"/>
      <c r="D213" s="72"/>
      <c r="E213" s="72"/>
      <c r="F213" s="75"/>
      <c r="G213" s="46"/>
      <c r="H213" s="46"/>
      <c r="I213" s="46"/>
      <c r="J213" s="46"/>
      <c r="K213" s="76"/>
      <c r="L213" s="77"/>
      <c r="M213" s="77"/>
      <c r="N213" s="77"/>
      <c r="O213" s="77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</row>
    <row r="214">
      <c r="A214" s="72" t="str">
        <f t="shared" si="1"/>
        <v/>
      </c>
      <c r="B214" s="46"/>
      <c r="C214" s="74"/>
      <c r="D214" s="72"/>
      <c r="E214" s="72"/>
      <c r="F214" s="75"/>
      <c r="G214" s="46"/>
      <c r="H214" s="46"/>
      <c r="I214" s="46"/>
      <c r="J214" s="46"/>
      <c r="K214" s="76"/>
      <c r="L214" s="77"/>
      <c r="M214" s="77"/>
      <c r="N214" s="77"/>
      <c r="O214" s="77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</row>
    <row r="215">
      <c r="A215" s="72" t="str">
        <f t="shared" si="1"/>
        <v/>
      </c>
      <c r="B215" s="46"/>
      <c r="C215" s="74"/>
      <c r="D215" s="72"/>
      <c r="E215" s="72"/>
      <c r="F215" s="75"/>
      <c r="G215" s="46"/>
      <c r="H215" s="46"/>
      <c r="I215" s="46"/>
      <c r="J215" s="46"/>
      <c r="K215" s="76"/>
      <c r="L215" s="77"/>
      <c r="M215" s="77"/>
      <c r="N215" s="77"/>
      <c r="O215" s="77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</row>
    <row r="216">
      <c r="A216" s="72" t="str">
        <f t="shared" si="1"/>
        <v/>
      </c>
      <c r="B216" s="46"/>
      <c r="C216" s="74"/>
      <c r="D216" s="72"/>
      <c r="E216" s="72"/>
      <c r="F216" s="75"/>
      <c r="G216" s="46"/>
      <c r="H216" s="46"/>
      <c r="I216" s="46"/>
      <c r="J216" s="46"/>
      <c r="K216" s="76"/>
      <c r="L216" s="77"/>
      <c r="M216" s="77"/>
      <c r="N216" s="77"/>
      <c r="O216" s="77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</row>
    <row r="217">
      <c r="A217" s="72" t="str">
        <f t="shared" si="1"/>
        <v/>
      </c>
      <c r="B217" s="46"/>
      <c r="C217" s="74"/>
      <c r="D217" s="72"/>
      <c r="E217" s="72"/>
      <c r="F217" s="75"/>
      <c r="G217" s="46"/>
      <c r="H217" s="46"/>
      <c r="I217" s="46"/>
      <c r="J217" s="46"/>
      <c r="K217" s="76"/>
      <c r="L217" s="77"/>
      <c r="M217" s="77"/>
      <c r="N217" s="77"/>
      <c r="O217" s="77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</row>
    <row r="218">
      <c r="A218" s="72" t="str">
        <f t="shared" si="1"/>
        <v/>
      </c>
      <c r="B218" s="46"/>
      <c r="C218" s="74"/>
      <c r="D218" s="72"/>
      <c r="E218" s="72"/>
      <c r="F218" s="75"/>
      <c r="G218" s="46"/>
      <c r="H218" s="46"/>
      <c r="I218" s="46"/>
      <c r="J218" s="46"/>
      <c r="K218" s="76"/>
      <c r="L218" s="77"/>
      <c r="M218" s="77"/>
      <c r="N218" s="77"/>
      <c r="O218" s="77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</row>
    <row r="219">
      <c r="A219" s="72" t="str">
        <f t="shared" si="1"/>
        <v/>
      </c>
      <c r="B219" s="46"/>
      <c r="C219" s="74"/>
      <c r="D219" s="72"/>
      <c r="E219" s="72"/>
      <c r="F219" s="75"/>
      <c r="G219" s="46"/>
      <c r="H219" s="46"/>
      <c r="I219" s="46"/>
      <c r="J219" s="46"/>
      <c r="K219" s="76"/>
      <c r="L219" s="77"/>
      <c r="M219" s="77"/>
      <c r="N219" s="77"/>
      <c r="O219" s="77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</row>
    <row r="220">
      <c r="A220" s="72" t="str">
        <f t="shared" si="1"/>
        <v/>
      </c>
      <c r="B220" s="46"/>
      <c r="C220" s="74"/>
      <c r="D220" s="72"/>
      <c r="E220" s="72"/>
      <c r="F220" s="75"/>
      <c r="G220" s="46"/>
      <c r="H220" s="46"/>
      <c r="I220" s="46"/>
      <c r="J220" s="46"/>
      <c r="K220" s="76"/>
      <c r="L220" s="77"/>
      <c r="M220" s="77"/>
      <c r="N220" s="77"/>
      <c r="O220" s="77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</row>
    <row r="221">
      <c r="A221" s="72" t="str">
        <f t="shared" si="1"/>
        <v/>
      </c>
      <c r="B221" s="46"/>
      <c r="C221" s="74"/>
      <c r="D221" s="72"/>
      <c r="E221" s="72"/>
      <c r="F221" s="75"/>
      <c r="G221" s="46"/>
      <c r="H221" s="46"/>
      <c r="I221" s="46"/>
      <c r="J221" s="46"/>
      <c r="K221" s="76"/>
      <c r="L221" s="77"/>
      <c r="M221" s="77"/>
      <c r="N221" s="77"/>
      <c r="O221" s="77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</row>
    <row r="222">
      <c r="A222" s="72" t="str">
        <f t="shared" si="1"/>
        <v/>
      </c>
      <c r="B222" s="46"/>
      <c r="C222" s="74"/>
      <c r="D222" s="72"/>
      <c r="E222" s="72"/>
      <c r="F222" s="75"/>
      <c r="G222" s="46"/>
      <c r="H222" s="46"/>
      <c r="I222" s="46"/>
      <c r="J222" s="46"/>
      <c r="K222" s="76"/>
      <c r="L222" s="77"/>
      <c r="M222" s="77"/>
      <c r="N222" s="77"/>
      <c r="O222" s="77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</row>
    <row r="223">
      <c r="A223" s="72" t="str">
        <f t="shared" si="1"/>
        <v/>
      </c>
      <c r="B223" s="46"/>
      <c r="C223" s="74"/>
      <c r="D223" s="72"/>
      <c r="E223" s="72"/>
      <c r="F223" s="75"/>
      <c r="G223" s="46"/>
      <c r="H223" s="46"/>
      <c r="I223" s="46"/>
      <c r="J223" s="46"/>
      <c r="K223" s="76"/>
      <c r="L223" s="77"/>
      <c r="M223" s="77"/>
      <c r="N223" s="77"/>
      <c r="O223" s="77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</row>
    <row r="224">
      <c r="A224" s="72" t="str">
        <f t="shared" si="1"/>
        <v/>
      </c>
      <c r="B224" s="46"/>
      <c r="C224" s="74"/>
      <c r="D224" s="72"/>
      <c r="E224" s="72"/>
      <c r="F224" s="75"/>
      <c r="G224" s="46"/>
      <c r="H224" s="46"/>
      <c r="I224" s="46"/>
      <c r="J224" s="46"/>
      <c r="K224" s="76"/>
      <c r="L224" s="77"/>
      <c r="M224" s="77"/>
      <c r="N224" s="77"/>
      <c r="O224" s="77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</row>
    <row r="225">
      <c r="A225" s="72" t="str">
        <f t="shared" si="1"/>
        <v/>
      </c>
      <c r="B225" s="46"/>
      <c r="C225" s="74"/>
      <c r="D225" s="72"/>
      <c r="E225" s="72"/>
      <c r="F225" s="75"/>
      <c r="G225" s="46"/>
      <c r="H225" s="46"/>
      <c r="I225" s="46"/>
      <c r="J225" s="46"/>
      <c r="K225" s="76"/>
      <c r="L225" s="77"/>
      <c r="M225" s="77"/>
      <c r="N225" s="77"/>
      <c r="O225" s="77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</row>
    <row r="226">
      <c r="A226" s="72" t="str">
        <f t="shared" si="1"/>
        <v/>
      </c>
      <c r="B226" s="46"/>
      <c r="C226" s="74"/>
      <c r="D226" s="72"/>
      <c r="E226" s="72"/>
      <c r="F226" s="75"/>
      <c r="G226" s="46"/>
      <c r="H226" s="46"/>
      <c r="I226" s="46"/>
      <c r="J226" s="46"/>
      <c r="K226" s="76"/>
      <c r="L226" s="77"/>
      <c r="M226" s="77"/>
      <c r="N226" s="77"/>
      <c r="O226" s="77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</row>
    <row r="227">
      <c r="A227" s="72" t="str">
        <f t="shared" si="1"/>
        <v/>
      </c>
      <c r="B227" s="46"/>
      <c r="C227" s="74"/>
      <c r="D227" s="72"/>
      <c r="E227" s="72"/>
      <c r="F227" s="75"/>
      <c r="G227" s="46"/>
      <c r="H227" s="46"/>
      <c r="I227" s="46"/>
      <c r="J227" s="46"/>
      <c r="K227" s="76"/>
      <c r="L227" s="77"/>
      <c r="M227" s="77"/>
      <c r="N227" s="77"/>
      <c r="O227" s="77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</row>
    <row r="228">
      <c r="A228" s="72" t="str">
        <f t="shared" si="1"/>
        <v/>
      </c>
      <c r="B228" s="46"/>
      <c r="C228" s="74"/>
      <c r="D228" s="72"/>
      <c r="E228" s="72"/>
      <c r="F228" s="75"/>
      <c r="G228" s="46"/>
      <c r="H228" s="46"/>
      <c r="I228" s="46"/>
      <c r="J228" s="46"/>
      <c r="K228" s="76"/>
      <c r="L228" s="77"/>
      <c r="M228" s="77"/>
      <c r="N228" s="77"/>
      <c r="O228" s="77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</row>
    <row r="229">
      <c r="A229" s="72" t="str">
        <f t="shared" si="1"/>
        <v/>
      </c>
      <c r="B229" s="46"/>
      <c r="C229" s="74"/>
      <c r="D229" s="72"/>
      <c r="E229" s="72"/>
      <c r="F229" s="75"/>
      <c r="G229" s="46"/>
      <c r="H229" s="46"/>
      <c r="I229" s="46"/>
      <c r="J229" s="46"/>
      <c r="K229" s="76"/>
      <c r="L229" s="77"/>
      <c r="M229" s="77"/>
      <c r="N229" s="77"/>
      <c r="O229" s="77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</row>
    <row r="230">
      <c r="A230" s="72" t="str">
        <f t="shared" si="1"/>
        <v/>
      </c>
      <c r="B230" s="46"/>
      <c r="C230" s="74"/>
      <c r="D230" s="72"/>
      <c r="E230" s="72"/>
      <c r="F230" s="75"/>
      <c r="G230" s="46"/>
      <c r="H230" s="46"/>
      <c r="I230" s="46"/>
      <c r="J230" s="46"/>
      <c r="K230" s="76"/>
      <c r="L230" s="77"/>
      <c r="M230" s="77"/>
      <c r="N230" s="77"/>
      <c r="O230" s="77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</row>
    <row r="231">
      <c r="A231" s="72" t="str">
        <f t="shared" si="1"/>
        <v/>
      </c>
      <c r="B231" s="46"/>
      <c r="C231" s="74"/>
      <c r="D231" s="72"/>
      <c r="E231" s="72"/>
      <c r="F231" s="75"/>
      <c r="G231" s="46"/>
      <c r="H231" s="46"/>
      <c r="I231" s="46"/>
      <c r="J231" s="46"/>
      <c r="K231" s="76"/>
      <c r="L231" s="77"/>
      <c r="M231" s="77"/>
      <c r="N231" s="77"/>
      <c r="O231" s="77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</row>
    <row r="232">
      <c r="A232" s="72" t="str">
        <f t="shared" si="1"/>
        <v/>
      </c>
      <c r="B232" s="46"/>
      <c r="C232" s="74"/>
      <c r="D232" s="72"/>
      <c r="E232" s="72"/>
      <c r="F232" s="75"/>
      <c r="G232" s="46"/>
      <c r="H232" s="46"/>
      <c r="I232" s="46"/>
      <c r="J232" s="46"/>
      <c r="K232" s="76"/>
      <c r="L232" s="77"/>
      <c r="M232" s="77"/>
      <c r="N232" s="77"/>
      <c r="O232" s="77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</row>
    <row r="233">
      <c r="A233" s="72" t="str">
        <f t="shared" si="1"/>
        <v/>
      </c>
      <c r="B233" s="46"/>
      <c r="C233" s="74"/>
      <c r="D233" s="72"/>
      <c r="E233" s="72"/>
      <c r="F233" s="75"/>
      <c r="G233" s="46"/>
      <c r="H233" s="46"/>
      <c r="I233" s="46"/>
      <c r="J233" s="46"/>
      <c r="K233" s="76"/>
      <c r="L233" s="77"/>
      <c r="M233" s="77"/>
      <c r="N233" s="77"/>
      <c r="O233" s="77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</row>
    <row r="234">
      <c r="A234" s="72" t="str">
        <f t="shared" si="1"/>
        <v/>
      </c>
      <c r="B234" s="46"/>
      <c r="C234" s="74"/>
      <c r="D234" s="72"/>
      <c r="E234" s="72"/>
      <c r="F234" s="75"/>
      <c r="G234" s="46"/>
      <c r="H234" s="46"/>
      <c r="I234" s="46"/>
      <c r="J234" s="46"/>
      <c r="K234" s="76"/>
      <c r="L234" s="77"/>
      <c r="M234" s="77"/>
      <c r="N234" s="77"/>
      <c r="O234" s="77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</row>
    <row r="235">
      <c r="A235" s="72" t="str">
        <f t="shared" si="1"/>
        <v/>
      </c>
      <c r="B235" s="46"/>
      <c r="C235" s="74"/>
      <c r="D235" s="72"/>
      <c r="E235" s="72"/>
      <c r="F235" s="75"/>
      <c r="G235" s="46"/>
      <c r="H235" s="46"/>
      <c r="I235" s="46"/>
      <c r="J235" s="46"/>
      <c r="K235" s="76"/>
      <c r="L235" s="77"/>
      <c r="M235" s="77"/>
      <c r="N235" s="77"/>
      <c r="O235" s="77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</row>
    <row r="236">
      <c r="A236" s="72" t="str">
        <f t="shared" si="1"/>
        <v/>
      </c>
      <c r="B236" s="46"/>
      <c r="C236" s="74"/>
      <c r="D236" s="72"/>
      <c r="E236" s="72"/>
      <c r="F236" s="75"/>
      <c r="G236" s="46"/>
      <c r="H236" s="46"/>
      <c r="I236" s="46"/>
      <c r="J236" s="46"/>
      <c r="K236" s="76"/>
      <c r="L236" s="77"/>
      <c r="M236" s="77"/>
      <c r="N236" s="77"/>
      <c r="O236" s="77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</row>
    <row r="237">
      <c r="A237" s="72" t="str">
        <f t="shared" si="1"/>
        <v/>
      </c>
      <c r="B237" s="46"/>
      <c r="C237" s="74"/>
      <c r="D237" s="72"/>
      <c r="E237" s="72"/>
      <c r="F237" s="75"/>
      <c r="G237" s="46"/>
      <c r="H237" s="46"/>
      <c r="I237" s="46"/>
      <c r="J237" s="46"/>
      <c r="K237" s="76"/>
      <c r="L237" s="77"/>
      <c r="M237" s="77"/>
      <c r="N237" s="77"/>
      <c r="O237" s="77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</row>
    <row r="238">
      <c r="A238" s="72" t="str">
        <f t="shared" si="1"/>
        <v/>
      </c>
      <c r="B238" s="46"/>
      <c r="C238" s="74"/>
      <c r="D238" s="72"/>
      <c r="E238" s="72"/>
      <c r="F238" s="75"/>
      <c r="G238" s="46"/>
      <c r="H238" s="46"/>
      <c r="I238" s="46"/>
      <c r="J238" s="46"/>
      <c r="K238" s="76"/>
      <c r="L238" s="77"/>
      <c r="M238" s="77"/>
      <c r="N238" s="77"/>
      <c r="O238" s="77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</row>
    <row r="239">
      <c r="A239" s="72" t="str">
        <f t="shared" si="1"/>
        <v/>
      </c>
      <c r="B239" s="46"/>
      <c r="C239" s="74"/>
      <c r="D239" s="72"/>
      <c r="E239" s="72"/>
      <c r="F239" s="75"/>
      <c r="G239" s="46"/>
      <c r="H239" s="46"/>
      <c r="I239" s="46"/>
      <c r="J239" s="46"/>
      <c r="K239" s="76"/>
      <c r="L239" s="77"/>
      <c r="M239" s="77"/>
      <c r="N239" s="77"/>
      <c r="O239" s="77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</row>
    <row r="240">
      <c r="A240" s="72" t="str">
        <f t="shared" si="1"/>
        <v/>
      </c>
      <c r="B240" s="46"/>
      <c r="C240" s="74"/>
      <c r="D240" s="72"/>
      <c r="E240" s="72"/>
      <c r="F240" s="75"/>
      <c r="G240" s="46"/>
      <c r="H240" s="46"/>
      <c r="I240" s="46"/>
      <c r="J240" s="46"/>
      <c r="K240" s="76"/>
      <c r="L240" s="77"/>
      <c r="M240" s="77"/>
      <c r="N240" s="77"/>
      <c r="O240" s="77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</row>
    <row r="241">
      <c r="A241" s="72" t="str">
        <f t="shared" si="1"/>
        <v/>
      </c>
      <c r="B241" s="46"/>
      <c r="C241" s="74"/>
      <c r="D241" s="72"/>
      <c r="E241" s="72"/>
      <c r="F241" s="75"/>
      <c r="G241" s="46"/>
      <c r="H241" s="46"/>
      <c r="I241" s="46"/>
      <c r="J241" s="46"/>
      <c r="K241" s="76"/>
      <c r="L241" s="77"/>
      <c r="M241" s="77"/>
      <c r="N241" s="77"/>
      <c r="O241" s="77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</row>
    <row r="242">
      <c r="A242" s="72" t="str">
        <f t="shared" si="1"/>
        <v/>
      </c>
      <c r="B242" s="46"/>
      <c r="C242" s="74"/>
      <c r="D242" s="72"/>
      <c r="E242" s="72"/>
      <c r="F242" s="75"/>
      <c r="G242" s="46"/>
      <c r="H242" s="46"/>
      <c r="I242" s="46"/>
      <c r="J242" s="46"/>
      <c r="K242" s="76"/>
      <c r="L242" s="77"/>
      <c r="M242" s="77"/>
      <c r="N242" s="77"/>
      <c r="O242" s="77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</row>
    <row r="243">
      <c r="A243" s="72" t="str">
        <f t="shared" si="1"/>
        <v/>
      </c>
      <c r="B243" s="46"/>
      <c r="C243" s="74"/>
      <c r="D243" s="72"/>
      <c r="E243" s="72"/>
      <c r="F243" s="75"/>
      <c r="G243" s="46"/>
      <c r="H243" s="46"/>
      <c r="I243" s="46"/>
      <c r="J243" s="46"/>
      <c r="K243" s="76"/>
      <c r="L243" s="77"/>
      <c r="M243" s="77"/>
      <c r="N243" s="77"/>
      <c r="O243" s="77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</row>
    <row r="244">
      <c r="A244" s="72" t="str">
        <f t="shared" si="1"/>
        <v/>
      </c>
      <c r="B244" s="46"/>
      <c r="C244" s="74"/>
      <c r="D244" s="72"/>
      <c r="E244" s="72"/>
      <c r="F244" s="75"/>
      <c r="G244" s="46"/>
      <c r="H244" s="46"/>
      <c r="I244" s="46"/>
      <c r="J244" s="46"/>
      <c r="K244" s="76"/>
      <c r="L244" s="77"/>
      <c r="M244" s="77"/>
      <c r="N244" s="77"/>
      <c r="O244" s="77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</row>
    <row r="245">
      <c r="A245" s="72" t="str">
        <f t="shared" si="1"/>
        <v/>
      </c>
      <c r="B245" s="46"/>
      <c r="C245" s="74"/>
      <c r="D245" s="72"/>
      <c r="E245" s="72"/>
      <c r="F245" s="75"/>
      <c r="G245" s="46"/>
      <c r="H245" s="46"/>
      <c r="I245" s="46"/>
      <c r="J245" s="46"/>
      <c r="K245" s="76"/>
      <c r="L245" s="77"/>
      <c r="M245" s="77"/>
      <c r="N245" s="77"/>
      <c r="O245" s="77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</row>
    <row r="246">
      <c r="A246" s="72" t="str">
        <f t="shared" si="1"/>
        <v/>
      </c>
      <c r="B246" s="46"/>
      <c r="C246" s="74"/>
      <c r="D246" s="72"/>
      <c r="E246" s="72"/>
      <c r="F246" s="75"/>
      <c r="G246" s="46"/>
      <c r="H246" s="46"/>
      <c r="I246" s="46"/>
      <c r="J246" s="46"/>
      <c r="K246" s="76"/>
      <c r="L246" s="77"/>
      <c r="M246" s="77"/>
      <c r="N246" s="77"/>
      <c r="O246" s="77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</row>
    <row r="247">
      <c r="A247" s="72" t="str">
        <f t="shared" si="1"/>
        <v/>
      </c>
      <c r="B247" s="46"/>
      <c r="C247" s="74"/>
      <c r="D247" s="72"/>
      <c r="E247" s="72"/>
      <c r="F247" s="75"/>
      <c r="G247" s="46"/>
      <c r="H247" s="46"/>
      <c r="I247" s="46"/>
      <c r="J247" s="46"/>
      <c r="K247" s="76"/>
      <c r="L247" s="77"/>
      <c r="M247" s="77"/>
      <c r="N247" s="77"/>
      <c r="O247" s="77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</row>
    <row r="248">
      <c r="A248" s="72" t="str">
        <f t="shared" si="1"/>
        <v/>
      </c>
      <c r="B248" s="46"/>
      <c r="C248" s="74"/>
      <c r="D248" s="72"/>
      <c r="E248" s="72"/>
      <c r="F248" s="75"/>
      <c r="G248" s="46"/>
      <c r="H248" s="46"/>
      <c r="I248" s="46"/>
      <c r="J248" s="46"/>
      <c r="K248" s="76"/>
      <c r="L248" s="77"/>
      <c r="M248" s="77"/>
      <c r="N248" s="77"/>
      <c r="O248" s="77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</row>
    <row r="249">
      <c r="A249" s="72" t="str">
        <f t="shared" si="1"/>
        <v/>
      </c>
      <c r="B249" s="46"/>
      <c r="C249" s="74"/>
      <c r="D249" s="72"/>
      <c r="E249" s="72"/>
      <c r="F249" s="75"/>
      <c r="G249" s="46"/>
      <c r="H249" s="46"/>
      <c r="I249" s="46"/>
      <c r="J249" s="46"/>
      <c r="K249" s="76"/>
      <c r="L249" s="77"/>
      <c r="M249" s="77"/>
      <c r="N249" s="77"/>
      <c r="O249" s="77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</row>
    <row r="250">
      <c r="A250" s="72" t="str">
        <f t="shared" si="1"/>
        <v/>
      </c>
      <c r="B250" s="46"/>
      <c r="C250" s="74"/>
      <c r="D250" s="72"/>
      <c r="E250" s="72"/>
      <c r="F250" s="75"/>
      <c r="G250" s="46"/>
      <c r="H250" s="46"/>
      <c r="I250" s="46"/>
      <c r="J250" s="46"/>
      <c r="K250" s="76"/>
      <c r="L250" s="77"/>
      <c r="M250" s="77"/>
      <c r="N250" s="77"/>
      <c r="O250" s="77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</row>
    <row r="251">
      <c r="A251" s="72" t="str">
        <f t="shared" si="1"/>
        <v/>
      </c>
      <c r="B251" s="46"/>
      <c r="C251" s="74"/>
      <c r="D251" s="72"/>
      <c r="E251" s="72"/>
      <c r="F251" s="75"/>
      <c r="G251" s="46"/>
      <c r="H251" s="46"/>
      <c r="I251" s="46"/>
      <c r="J251" s="46"/>
      <c r="K251" s="76"/>
      <c r="L251" s="77"/>
      <c r="M251" s="77"/>
      <c r="N251" s="77"/>
      <c r="O251" s="77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</row>
    <row r="252">
      <c r="A252" s="72" t="str">
        <f t="shared" si="1"/>
        <v/>
      </c>
      <c r="B252" s="46"/>
      <c r="C252" s="74"/>
      <c r="D252" s="72"/>
      <c r="E252" s="72"/>
      <c r="F252" s="75"/>
      <c r="G252" s="46"/>
      <c r="H252" s="46"/>
      <c r="I252" s="46"/>
      <c r="J252" s="46"/>
      <c r="K252" s="76"/>
      <c r="L252" s="77"/>
      <c r="M252" s="77"/>
      <c r="N252" s="77"/>
      <c r="O252" s="77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</row>
    <row r="253">
      <c r="A253" s="72" t="str">
        <f t="shared" si="1"/>
        <v/>
      </c>
      <c r="B253" s="46"/>
      <c r="C253" s="74"/>
      <c r="D253" s="72"/>
      <c r="E253" s="72"/>
      <c r="F253" s="75"/>
      <c r="G253" s="46"/>
      <c r="H253" s="46"/>
      <c r="I253" s="46"/>
      <c r="J253" s="46"/>
      <c r="K253" s="76"/>
      <c r="L253" s="77"/>
      <c r="M253" s="77"/>
      <c r="N253" s="77"/>
      <c r="O253" s="77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</row>
    <row r="254">
      <c r="A254" s="72" t="str">
        <f t="shared" si="1"/>
        <v/>
      </c>
      <c r="B254" s="46"/>
      <c r="C254" s="74"/>
      <c r="D254" s="72"/>
      <c r="E254" s="72"/>
      <c r="F254" s="75"/>
      <c r="G254" s="46"/>
      <c r="H254" s="46"/>
      <c r="I254" s="46"/>
      <c r="J254" s="46"/>
      <c r="K254" s="76"/>
      <c r="L254" s="77"/>
      <c r="M254" s="77"/>
      <c r="N254" s="77"/>
      <c r="O254" s="77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</row>
    <row r="255">
      <c r="A255" s="72" t="str">
        <f t="shared" si="1"/>
        <v/>
      </c>
      <c r="B255" s="46"/>
      <c r="C255" s="74"/>
      <c r="D255" s="72"/>
      <c r="E255" s="72"/>
      <c r="F255" s="75"/>
      <c r="G255" s="46"/>
      <c r="H255" s="46"/>
      <c r="I255" s="46"/>
      <c r="J255" s="46"/>
      <c r="K255" s="76"/>
      <c r="L255" s="77"/>
      <c r="M255" s="77"/>
      <c r="N255" s="77"/>
      <c r="O255" s="77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</row>
    <row r="256">
      <c r="A256" s="72" t="str">
        <f t="shared" si="1"/>
        <v/>
      </c>
      <c r="B256" s="46"/>
      <c r="C256" s="74"/>
      <c r="D256" s="72"/>
      <c r="E256" s="72"/>
      <c r="F256" s="75"/>
      <c r="G256" s="46"/>
      <c r="H256" s="46"/>
      <c r="I256" s="46"/>
      <c r="J256" s="46"/>
      <c r="K256" s="76"/>
      <c r="L256" s="77"/>
      <c r="M256" s="77"/>
      <c r="N256" s="77"/>
      <c r="O256" s="77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</row>
    <row r="257">
      <c r="A257" s="72" t="str">
        <f t="shared" si="1"/>
        <v/>
      </c>
      <c r="B257" s="46"/>
      <c r="C257" s="74"/>
      <c r="D257" s="72"/>
      <c r="E257" s="72"/>
      <c r="F257" s="75"/>
      <c r="G257" s="46"/>
      <c r="H257" s="46"/>
      <c r="I257" s="46"/>
      <c r="J257" s="46"/>
      <c r="K257" s="76"/>
      <c r="L257" s="77"/>
      <c r="M257" s="77"/>
      <c r="N257" s="77"/>
      <c r="O257" s="77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</row>
    <row r="258">
      <c r="A258" s="72" t="str">
        <f t="shared" si="1"/>
        <v/>
      </c>
      <c r="B258" s="46"/>
      <c r="C258" s="74"/>
      <c r="D258" s="72"/>
      <c r="E258" s="72"/>
      <c r="F258" s="75"/>
      <c r="G258" s="46"/>
      <c r="H258" s="46"/>
      <c r="I258" s="46"/>
      <c r="J258" s="46"/>
      <c r="K258" s="76"/>
      <c r="L258" s="77"/>
      <c r="M258" s="77"/>
      <c r="N258" s="77"/>
      <c r="O258" s="77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</row>
    <row r="259">
      <c r="A259" s="72" t="str">
        <f t="shared" si="1"/>
        <v/>
      </c>
      <c r="B259" s="46"/>
      <c r="C259" s="74"/>
      <c r="D259" s="72"/>
      <c r="E259" s="72"/>
      <c r="F259" s="75"/>
      <c r="G259" s="46"/>
      <c r="H259" s="46"/>
      <c r="I259" s="46"/>
      <c r="J259" s="46"/>
      <c r="K259" s="76"/>
      <c r="L259" s="77"/>
      <c r="M259" s="77"/>
      <c r="N259" s="77"/>
      <c r="O259" s="77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</row>
    <row r="260">
      <c r="A260" s="72" t="str">
        <f t="shared" si="1"/>
        <v/>
      </c>
      <c r="B260" s="46"/>
      <c r="C260" s="74"/>
      <c r="D260" s="72"/>
      <c r="E260" s="72"/>
      <c r="F260" s="75"/>
      <c r="G260" s="46"/>
      <c r="H260" s="46"/>
      <c r="I260" s="46"/>
      <c r="J260" s="46"/>
      <c r="K260" s="76"/>
      <c r="L260" s="77"/>
      <c r="M260" s="77"/>
      <c r="N260" s="77"/>
      <c r="O260" s="77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</row>
    <row r="261">
      <c r="A261" s="72" t="str">
        <f t="shared" si="1"/>
        <v/>
      </c>
      <c r="B261" s="46"/>
      <c r="C261" s="74"/>
      <c r="D261" s="72"/>
      <c r="E261" s="72"/>
      <c r="F261" s="75"/>
      <c r="G261" s="46"/>
      <c r="H261" s="46"/>
      <c r="I261" s="46"/>
      <c r="J261" s="46"/>
      <c r="K261" s="76"/>
      <c r="L261" s="77"/>
      <c r="M261" s="77"/>
      <c r="N261" s="77"/>
      <c r="O261" s="77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</row>
    <row r="262">
      <c r="A262" s="72" t="str">
        <f t="shared" si="1"/>
        <v/>
      </c>
      <c r="B262" s="46"/>
      <c r="C262" s="74"/>
      <c r="D262" s="72"/>
      <c r="E262" s="72"/>
      <c r="F262" s="75"/>
      <c r="G262" s="46"/>
      <c r="H262" s="46"/>
      <c r="I262" s="46"/>
      <c r="J262" s="46"/>
      <c r="K262" s="76"/>
      <c r="L262" s="77"/>
      <c r="M262" s="77"/>
      <c r="N262" s="77"/>
      <c r="O262" s="77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</row>
    <row r="263">
      <c r="A263" s="72" t="str">
        <f t="shared" si="1"/>
        <v/>
      </c>
      <c r="B263" s="46"/>
      <c r="C263" s="74"/>
      <c r="D263" s="72"/>
      <c r="E263" s="72"/>
      <c r="F263" s="75"/>
      <c r="G263" s="46"/>
      <c r="H263" s="46"/>
      <c r="I263" s="46"/>
      <c r="J263" s="46"/>
      <c r="K263" s="76"/>
      <c r="L263" s="77"/>
      <c r="M263" s="77"/>
      <c r="N263" s="77"/>
      <c r="O263" s="77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</row>
    <row r="264">
      <c r="A264" s="72" t="str">
        <f t="shared" si="1"/>
        <v/>
      </c>
      <c r="B264" s="46"/>
      <c r="C264" s="74"/>
      <c r="D264" s="72"/>
      <c r="E264" s="72"/>
      <c r="F264" s="75"/>
      <c r="G264" s="46"/>
      <c r="H264" s="46"/>
      <c r="I264" s="46"/>
      <c r="J264" s="46"/>
      <c r="K264" s="76"/>
      <c r="L264" s="77"/>
      <c r="M264" s="77"/>
      <c r="N264" s="77"/>
      <c r="O264" s="77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</row>
    <row r="265">
      <c r="A265" s="72" t="str">
        <f t="shared" si="1"/>
        <v/>
      </c>
      <c r="B265" s="46"/>
      <c r="C265" s="74"/>
      <c r="D265" s="72"/>
      <c r="E265" s="72"/>
      <c r="F265" s="75"/>
      <c r="G265" s="46"/>
      <c r="H265" s="46"/>
      <c r="I265" s="46"/>
      <c r="J265" s="46"/>
      <c r="K265" s="76"/>
      <c r="L265" s="77"/>
      <c r="M265" s="77"/>
      <c r="N265" s="77"/>
      <c r="O265" s="77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</row>
    <row r="266">
      <c r="A266" s="72" t="str">
        <f t="shared" si="1"/>
        <v/>
      </c>
      <c r="B266" s="46"/>
      <c r="C266" s="74"/>
      <c r="D266" s="72"/>
      <c r="E266" s="72"/>
      <c r="F266" s="75"/>
      <c r="G266" s="46"/>
      <c r="H266" s="46"/>
      <c r="I266" s="46"/>
      <c r="J266" s="46"/>
      <c r="K266" s="76"/>
      <c r="L266" s="77"/>
      <c r="M266" s="77"/>
      <c r="N266" s="77"/>
      <c r="O266" s="77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</row>
    <row r="267">
      <c r="A267" s="72" t="str">
        <f t="shared" si="1"/>
        <v/>
      </c>
      <c r="B267" s="46"/>
      <c r="C267" s="74"/>
      <c r="D267" s="72"/>
      <c r="E267" s="72"/>
      <c r="F267" s="75"/>
      <c r="G267" s="46"/>
      <c r="H267" s="46"/>
      <c r="I267" s="46"/>
      <c r="J267" s="46"/>
      <c r="K267" s="76"/>
      <c r="L267" s="77"/>
      <c r="M267" s="77"/>
      <c r="N267" s="77"/>
      <c r="O267" s="77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</row>
    <row r="268">
      <c r="A268" s="72" t="str">
        <f t="shared" si="1"/>
        <v/>
      </c>
      <c r="B268" s="46"/>
      <c r="C268" s="74"/>
      <c r="D268" s="72"/>
      <c r="E268" s="72"/>
      <c r="F268" s="75"/>
      <c r="G268" s="46"/>
      <c r="H268" s="46"/>
      <c r="I268" s="46"/>
      <c r="J268" s="46"/>
      <c r="K268" s="76"/>
      <c r="L268" s="77"/>
      <c r="M268" s="77"/>
      <c r="N268" s="77"/>
      <c r="O268" s="77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</row>
    <row r="269">
      <c r="A269" s="72" t="str">
        <f t="shared" si="1"/>
        <v/>
      </c>
      <c r="B269" s="46"/>
      <c r="C269" s="74"/>
      <c r="D269" s="72"/>
      <c r="E269" s="72"/>
      <c r="F269" s="75"/>
      <c r="G269" s="46"/>
      <c r="H269" s="46"/>
      <c r="I269" s="46"/>
      <c r="J269" s="46"/>
      <c r="K269" s="76"/>
      <c r="L269" s="77"/>
      <c r="M269" s="77"/>
      <c r="N269" s="77"/>
      <c r="O269" s="77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</row>
    <row r="270">
      <c r="A270" s="72" t="str">
        <f t="shared" si="1"/>
        <v/>
      </c>
      <c r="B270" s="46"/>
      <c r="C270" s="74"/>
      <c r="D270" s="72"/>
      <c r="E270" s="72"/>
      <c r="F270" s="75"/>
      <c r="G270" s="46"/>
      <c r="H270" s="46"/>
      <c r="I270" s="46"/>
      <c r="J270" s="46"/>
      <c r="K270" s="76"/>
      <c r="L270" s="77"/>
      <c r="M270" s="77"/>
      <c r="N270" s="77"/>
      <c r="O270" s="77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</row>
    <row r="271">
      <c r="A271" s="72" t="str">
        <f t="shared" si="1"/>
        <v/>
      </c>
      <c r="B271" s="46"/>
      <c r="C271" s="74"/>
      <c r="D271" s="72"/>
      <c r="E271" s="72"/>
      <c r="F271" s="75"/>
      <c r="G271" s="46"/>
      <c r="H271" s="46"/>
      <c r="I271" s="46"/>
      <c r="J271" s="46"/>
      <c r="K271" s="76"/>
      <c r="L271" s="77"/>
      <c r="M271" s="77"/>
      <c r="N271" s="77"/>
      <c r="O271" s="77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</row>
    <row r="272">
      <c r="A272" s="72" t="str">
        <f t="shared" si="1"/>
        <v/>
      </c>
      <c r="B272" s="46"/>
      <c r="C272" s="74"/>
      <c r="D272" s="72"/>
      <c r="E272" s="72"/>
      <c r="F272" s="75"/>
      <c r="G272" s="46"/>
      <c r="H272" s="46"/>
      <c r="I272" s="46"/>
      <c r="J272" s="46"/>
      <c r="K272" s="76"/>
      <c r="L272" s="77"/>
      <c r="M272" s="77"/>
      <c r="N272" s="77"/>
      <c r="O272" s="77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</row>
    <row r="273">
      <c r="A273" s="72" t="str">
        <f t="shared" si="1"/>
        <v/>
      </c>
      <c r="B273" s="46"/>
      <c r="C273" s="74"/>
      <c r="D273" s="72"/>
      <c r="E273" s="72"/>
      <c r="F273" s="75"/>
      <c r="G273" s="46"/>
      <c r="H273" s="46"/>
      <c r="I273" s="46"/>
      <c r="J273" s="46"/>
      <c r="K273" s="76"/>
      <c r="L273" s="77"/>
      <c r="M273" s="77"/>
      <c r="N273" s="77"/>
      <c r="O273" s="77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</row>
    <row r="274">
      <c r="A274" s="72" t="str">
        <f t="shared" si="1"/>
        <v/>
      </c>
      <c r="B274" s="46"/>
      <c r="C274" s="74"/>
      <c r="D274" s="72"/>
      <c r="E274" s="72"/>
      <c r="F274" s="75"/>
      <c r="G274" s="46"/>
      <c r="H274" s="46"/>
      <c r="I274" s="46"/>
      <c r="J274" s="46"/>
      <c r="K274" s="76"/>
      <c r="L274" s="77"/>
      <c r="M274" s="77"/>
      <c r="N274" s="77"/>
      <c r="O274" s="77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</row>
    <row r="275">
      <c r="A275" s="72" t="str">
        <f t="shared" si="1"/>
        <v/>
      </c>
      <c r="B275" s="46"/>
      <c r="C275" s="74"/>
      <c r="D275" s="72"/>
      <c r="E275" s="72"/>
      <c r="F275" s="75"/>
      <c r="G275" s="46"/>
      <c r="H275" s="46"/>
      <c r="I275" s="46"/>
      <c r="J275" s="46"/>
      <c r="K275" s="76"/>
      <c r="L275" s="77"/>
      <c r="M275" s="77"/>
      <c r="N275" s="77"/>
      <c r="O275" s="77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</row>
    <row r="276">
      <c r="A276" s="72" t="str">
        <f t="shared" si="1"/>
        <v/>
      </c>
      <c r="B276" s="46"/>
      <c r="C276" s="74"/>
      <c r="D276" s="72"/>
      <c r="E276" s="72"/>
      <c r="F276" s="75"/>
      <c r="G276" s="46"/>
      <c r="H276" s="46"/>
      <c r="I276" s="46"/>
      <c r="J276" s="46"/>
      <c r="K276" s="76"/>
      <c r="L276" s="77"/>
      <c r="M276" s="77"/>
      <c r="N276" s="77"/>
      <c r="O276" s="77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</row>
    <row r="277">
      <c r="A277" s="72" t="str">
        <f t="shared" si="1"/>
        <v/>
      </c>
      <c r="B277" s="46"/>
      <c r="C277" s="74"/>
      <c r="D277" s="72"/>
      <c r="E277" s="72"/>
      <c r="F277" s="75"/>
      <c r="G277" s="46"/>
      <c r="H277" s="46"/>
      <c r="I277" s="46"/>
      <c r="J277" s="46"/>
      <c r="K277" s="76"/>
      <c r="L277" s="77"/>
      <c r="M277" s="77"/>
      <c r="N277" s="77"/>
      <c r="O277" s="77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</row>
    <row r="278">
      <c r="A278" s="72" t="str">
        <f t="shared" si="1"/>
        <v/>
      </c>
      <c r="B278" s="46"/>
      <c r="C278" s="74"/>
      <c r="D278" s="72"/>
      <c r="E278" s="72"/>
      <c r="F278" s="75"/>
      <c r="G278" s="46"/>
      <c r="H278" s="46"/>
      <c r="I278" s="46"/>
      <c r="J278" s="46"/>
      <c r="K278" s="76"/>
      <c r="L278" s="77"/>
      <c r="M278" s="77"/>
      <c r="N278" s="77"/>
      <c r="O278" s="77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</row>
    <row r="279">
      <c r="A279" s="72" t="str">
        <f t="shared" si="1"/>
        <v/>
      </c>
      <c r="B279" s="46"/>
      <c r="C279" s="74"/>
      <c r="D279" s="72"/>
      <c r="E279" s="72"/>
      <c r="F279" s="75"/>
      <c r="G279" s="46"/>
      <c r="H279" s="46"/>
      <c r="I279" s="46"/>
      <c r="J279" s="46"/>
      <c r="K279" s="76"/>
      <c r="L279" s="77"/>
      <c r="M279" s="77"/>
      <c r="N279" s="77"/>
      <c r="O279" s="77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</row>
    <row r="280">
      <c r="A280" s="72" t="str">
        <f t="shared" si="1"/>
        <v/>
      </c>
      <c r="B280" s="46"/>
      <c r="C280" s="74"/>
      <c r="D280" s="72"/>
      <c r="E280" s="72"/>
      <c r="F280" s="75"/>
      <c r="G280" s="46"/>
      <c r="H280" s="46"/>
      <c r="I280" s="46"/>
      <c r="J280" s="46"/>
      <c r="K280" s="76"/>
      <c r="L280" s="77"/>
      <c r="M280" s="77"/>
      <c r="N280" s="77"/>
      <c r="O280" s="77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</row>
    <row r="281">
      <c r="A281" s="72" t="str">
        <f t="shared" si="1"/>
        <v/>
      </c>
      <c r="B281" s="46"/>
      <c r="C281" s="74"/>
      <c r="D281" s="72"/>
      <c r="E281" s="72"/>
      <c r="F281" s="75"/>
      <c r="G281" s="46"/>
      <c r="H281" s="46"/>
      <c r="I281" s="46"/>
      <c r="J281" s="46"/>
      <c r="K281" s="76"/>
      <c r="L281" s="77"/>
      <c r="M281" s="77"/>
      <c r="N281" s="77"/>
      <c r="O281" s="77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</row>
    <row r="282">
      <c r="A282" s="72" t="str">
        <f t="shared" si="1"/>
        <v/>
      </c>
      <c r="B282" s="46"/>
      <c r="C282" s="74"/>
      <c r="D282" s="72"/>
      <c r="E282" s="72"/>
      <c r="F282" s="75"/>
      <c r="G282" s="46"/>
      <c r="H282" s="46"/>
      <c r="I282" s="46"/>
      <c r="J282" s="46"/>
      <c r="K282" s="76"/>
      <c r="L282" s="77"/>
      <c r="M282" s="77"/>
      <c r="N282" s="77"/>
      <c r="O282" s="77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</row>
    <row r="283">
      <c r="A283" s="72" t="str">
        <f t="shared" si="1"/>
        <v/>
      </c>
      <c r="B283" s="46"/>
      <c r="C283" s="74"/>
      <c r="D283" s="72"/>
      <c r="E283" s="72"/>
      <c r="F283" s="75"/>
      <c r="G283" s="46"/>
      <c r="H283" s="46"/>
      <c r="I283" s="46"/>
      <c r="J283" s="46"/>
      <c r="K283" s="76"/>
      <c r="L283" s="77"/>
      <c r="M283" s="77"/>
      <c r="N283" s="77"/>
      <c r="O283" s="77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</row>
    <row r="284">
      <c r="A284" s="72" t="str">
        <f t="shared" si="1"/>
        <v/>
      </c>
      <c r="B284" s="46"/>
      <c r="C284" s="74"/>
      <c r="D284" s="72"/>
      <c r="E284" s="72"/>
      <c r="F284" s="75"/>
      <c r="G284" s="46"/>
      <c r="H284" s="46"/>
      <c r="I284" s="46"/>
      <c r="J284" s="46"/>
      <c r="K284" s="76"/>
      <c r="L284" s="77"/>
      <c r="M284" s="77"/>
      <c r="N284" s="77"/>
      <c r="O284" s="77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</row>
    <row r="285">
      <c r="A285" s="72" t="str">
        <f t="shared" si="1"/>
        <v/>
      </c>
      <c r="B285" s="46"/>
      <c r="C285" s="74"/>
      <c r="D285" s="72"/>
      <c r="E285" s="72"/>
      <c r="F285" s="75"/>
      <c r="G285" s="46"/>
      <c r="H285" s="46"/>
      <c r="I285" s="46"/>
      <c r="J285" s="46"/>
      <c r="K285" s="76"/>
      <c r="L285" s="77"/>
      <c r="M285" s="77"/>
      <c r="N285" s="77"/>
      <c r="O285" s="77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</row>
    <row r="286">
      <c r="A286" s="72" t="str">
        <f t="shared" si="1"/>
        <v/>
      </c>
      <c r="B286" s="46"/>
      <c r="C286" s="74"/>
      <c r="D286" s="72"/>
      <c r="E286" s="72"/>
      <c r="F286" s="75"/>
      <c r="G286" s="46"/>
      <c r="H286" s="46"/>
      <c r="I286" s="46"/>
      <c r="J286" s="46"/>
      <c r="K286" s="76"/>
      <c r="L286" s="77"/>
      <c r="M286" s="77"/>
      <c r="N286" s="77"/>
      <c r="O286" s="77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</row>
    <row r="287">
      <c r="A287" s="72" t="str">
        <f t="shared" si="1"/>
        <v/>
      </c>
      <c r="B287" s="46"/>
      <c r="C287" s="74"/>
      <c r="D287" s="72"/>
      <c r="E287" s="72"/>
      <c r="F287" s="75"/>
      <c r="G287" s="46"/>
      <c r="H287" s="46"/>
      <c r="I287" s="46"/>
      <c r="J287" s="46"/>
      <c r="K287" s="76"/>
      <c r="L287" s="77"/>
      <c r="M287" s="77"/>
      <c r="N287" s="77"/>
      <c r="O287" s="77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</row>
    <row r="288">
      <c r="A288" s="72" t="str">
        <f t="shared" si="1"/>
        <v/>
      </c>
      <c r="B288" s="46"/>
      <c r="C288" s="74"/>
      <c r="D288" s="72"/>
      <c r="E288" s="72"/>
      <c r="F288" s="75"/>
      <c r="G288" s="46"/>
      <c r="H288" s="46"/>
      <c r="I288" s="46"/>
      <c r="J288" s="46"/>
      <c r="K288" s="76"/>
      <c r="L288" s="77"/>
      <c r="M288" s="77"/>
      <c r="N288" s="77"/>
      <c r="O288" s="77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</row>
    <row r="289">
      <c r="A289" s="72" t="str">
        <f t="shared" si="1"/>
        <v/>
      </c>
      <c r="B289" s="46"/>
      <c r="C289" s="74"/>
      <c r="D289" s="72"/>
      <c r="E289" s="72"/>
      <c r="F289" s="75"/>
      <c r="G289" s="46"/>
      <c r="H289" s="46"/>
      <c r="I289" s="46"/>
      <c r="J289" s="46"/>
      <c r="K289" s="76"/>
      <c r="L289" s="77"/>
      <c r="M289" s="77"/>
      <c r="N289" s="77"/>
      <c r="O289" s="77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</row>
    <row r="290">
      <c r="A290" s="72" t="str">
        <f t="shared" si="1"/>
        <v/>
      </c>
      <c r="B290" s="46"/>
      <c r="C290" s="74"/>
      <c r="D290" s="72"/>
      <c r="E290" s="72"/>
      <c r="F290" s="75"/>
      <c r="G290" s="46"/>
      <c r="H290" s="46"/>
      <c r="I290" s="46"/>
      <c r="J290" s="46"/>
      <c r="K290" s="76"/>
      <c r="L290" s="77"/>
      <c r="M290" s="77"/>
      <c r="N290" s="77"/>
      <c r="O290" s="77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</row>
    <row r="291">
      <c r="A291" s="72" t="str">
        <f t="shared" si="1"/>
        <v/>
      </c>
      <c r="B291" s="46"/>
      <c r="C291" s="74"/>
      <c r="D291" s="72"/>
      <c r="E291" s="72"/>
      <c r="F291" s="75"/>
      <c r="G291" s="46"/>
      <c r="H291" s="46"/>
      <c r="I291" s="46"/>
      <c r="J291" s="46"/>
      <c r="K291" s="76"/>
      <c r="L291" s="77"/>
      <c r="M291" s="77"/>
      <c r="N291" s="77"/>
      <c r="O291" s="77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</row>
    <row r="292">
      <c r="A292" s="72" t="str">
        <f t="shared" si="1"/>
        <v/>
      </c>
      <c r="B292" s="46"/>
      <c r="C292" s="74"/>
      <c r="D292" s="72"/>
      <c r="E292" s="72"/>
      <c r="F292" s="75"/>
      <c r="G292" s="46"/>
      <c r="H292" s="46"/>
      <c r="I292" s="46"/>
      <c r="J292" s="46"/>
      <c r="K292" s="76"/>
      <c r="L292" s="77"/>
      <c r="M292" s="77"/>
      <c r="N292" s="77"/>
      <c r="O292" s="77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</row>
    <row r="293">
      <c r="A293" s="72" t="str">
        <f t="shared" si="1"/>
        <v/>
      </c>
      <c r="B293" s="46"/>
      <c r="C293" s="74"/>
      <c r="D293" s="72"/>
      <c r="E293" s="72"/>
      <c r="F293" s="75"/>
      <c r="G293" s="46"/>
      <c r="H293" s="46"/>
      <c r="I293" s="46"/>
      <c r="J293" s="46"/>
      <c r="K293" s="76"/>
      <c r="L293" s="77"/>
      <c r="M293" s="77"/>
      <c r="N293" s="77"/>
      <c r="O293" s="77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</row>
    <row r="294">
      <c r="A294" s="72" t="str">
        <f t="shared" si="1"/>
        <v/>
      </c>
      <c r="B294" s="46"/>
      <c r="C294" s="74"/>
      <c r="D294" s="72"/>
      <c r="E294" s="72"/>
      <c r="F294" s="75"/>
      <c r="G294" s="46"/>
      <c r="H294" s="46"/>
      <c r="I294" s="46"/>
      <c r="J294" s="46"/>
      <c r="K294" s="76"/>
      <c r="L294" s="77"/>
      <c r="M294" s="77"/>
      <c r="N294" s="77"/>
      <c r="O294" s="77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</row>
    <row r="295">
      <c r="A295" s="72" t="str">
        <f t="shared" si="1"/>
        <v/>
      </c>
      <c r="B295" s="46"/>
      <c r="C295" s="74"/>
      <c r="D295" s="72"/>
      <c r="E295" s="72"/>
      <c r="F295" s="75"/>
      <c r="G295" s="46"/>
      <c r="H295" s="46"/>
      <c r="I295" s="46"/>
      <c r="J295" s="46"/>
      <c r="K295" s="76"/>
      <c r="L295" s="77"/>
      <c r="M295" s="77"/>
      <c r="N295" s="77"/>
      <c r="O295" s="77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</row>
    <row r="296">
      <c r="A296" s="72" t="str">
        <f t="shared" si="1"/>
        <v/>
      </c>
      <c r="B296" s="46"/>
      <c r="C296" s="74"/>
      <c r="D296" s="72"/>
      <c r="E296" s="72"/>
      <c r="F296" s="75"/>
      <c r="G296" s="46"/>
      <c r="H296" s="46"/>
      <c r="I296" s="46"/>
      <c r="J296" s="46"/>
      <c r="K296" s="76"/>
      <c r="L296" s="77"/>
      <c r="M296" s="77"/>
      <c r="N296" s="77"/>
      <c r="O296" s="77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</row>
    <row r="297">
      <c r="A297" s="72" t="str">
        <f t="shared" si="1"/>
        <v/>
      </c>
      <c r="B297" s="46"/>
      <c r="C297" s="74"/>
      <c r="D297" s="72"/>
      <c r="E297" s="72"/>
      <c r="F297" s="75"/>
      <c r="G297" s="46"/>
      <c r="H297" s="46"/>
      <c r="I297" s="46"/>
      <c r="J297" s="46"/>
      <c r="K297" s="76"/>
      <c r="L297" s="77"/>
      <c r="M297" s="77"/>
      <c r="N297" s="77"/>
      <c r="O297" s="77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</row>
    <row r="298">
      <c r="A298" s="72" t="str">
        <f t="shared" si="1"/>
        <v/>
      </c>
      <c r="B298" s="46"/>
      <c r="C298" s="74"/>
      <c r="D298" s="72"/>
      <c r="E298" s="72"/>
      <c r="F298" s="75"/>
      <c r="G298" s="46"/>
      <c r="H298" s="46"/>
      <c r="I298" s="46"/>
      <c r="J298" s="46"/>
      <c r="K298" s="76"/>
      <c r="L298" s="77"/>
      <c r="M298" s="77"/>
      <c r="N298" s="77"/>
      <c r="O298" s="77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</row>
    <row r="299">
      <c r="A299" s="72" t="str">
        <f t="shared" si="1"/>
        <v/>
      </c>
      <c r="B299" s="46"/>
      <c r="C299" s="74"/>
      <c r="D299" s="72"/>
      <c r="E299" s="72"/>
      <c r="F299" s="75"/>
      <c r="G299" s="46"/>
      <c r="H299" s="46"/>
      <c r="I299" s="46"/>
      <c r="J299" s="46"/>
      <c r="K299" s="76"/>
      <c r="L299" s="77"/>
      <c r="M299" s="77"/>
      <c r="N299" s="77"/>
      <c r="O299" s="77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</row>
    <row r="300">
      <c r="A300" s="72" t="str">
        <f t="shared" si="1"/>
        <v/>
      </c>
      <c r="B300" s="46"/>
      <c r="C300" s="74"/>
      <c r="D300" s="72"/>
      <c r="E300" s="72"/>
      <c r="F300" s="75"/>
      <c r="G300" s="46"/>
      <c r="H300" s="46"/>
      <c r="I300" s="46"/>
      <c r="J300" s="46"/>
      <c r="K300" s="76"/>
      <c r="L300" s="77"/>
      <c r="M300" s="77"/>
      <c r="N300" s="77"/>
      <c r="O300" s="77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</row>
    <row r="301">
      <c r="A301" s="72" t="str">
        <f t="shared" si="1"/>
        <v/>
      </c>
      <c r="B301" s="46"/>
      <c r="C301" s="74"/>
      <c r="D301" s="72"/>
      <c r="E301" s="72"/>
      <c r="F301" s="75"/>
      <c r="G301" s="46"/>
      <c r="H301" s="46"/>
      <c r="I301" s="46"/>
      <c r="J301" s="46"/>
      <c r="K301" s="76"/>
      <c r="L301" s="77"/>
      <c r="M301" s="77"/>
      <c r="N301" s="77"/>
      <c r="O301" s="77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</row>
    <row r="302">
      <c r="A302" s="72" t="str">
        <f t="shared" si="1"/>
        <v/>
      </c>
      <c r="B302" s="46"/>
      <c r="C302" s="74"/>
      <c r="D302" s="72"/>
      <c r="E302" s="72"/>
      <c r="F302" s="75"/>
      <c r="G302" s="46"/>
      <c r="H302" s="46"/>
      <c r="I302" s="46"/>
      <c r="J302" s="46"/>
      <c r="K302" s="76"/>
      <c r="L302" s="77"/>
      <c r="M302" s="77"/>
      <c r="N302" s="77"/>
      <c r="O302" s="77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</row>
    <row r="303">
      <c r="A303" s="72" t="str">
        <f t="shared" si="1"/>
        <v/>
      </c>
      <c r="B303" s="46"/>
      <c r="C303" s="74"/>
      <c r="D303" s="72"/>
      <c r="E303" s="72"/>
      <c r="F303" s="75"/>
      <c r="G303" s="46"/>
      <c r="H303" s="46"/>
      <c r="I303" s="46"/>
      <c r="J303" s="46"/>
      <c r="K303" s="76"/>
      <c r="L303" s="77"/>
      <c r="M303" s="77"/>
      <c r="N303" s="77"/>
      <c r="O303" s="77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</row>
    <row r="304">
      <c r="A304" s="72" t="str">
        <f t="shared" si="1"/>
        <v/>
      </c>
      <c r="B304" s="46"/>
      <c r="C304" s="74"/>
      <c r="D304" s="72"/>
      <c r="E304" s="72"/>
      <c r="F304" s="75"/>
      <c r="G304" s="46"/>
      <c r="H304" s="46"/>
      <c r="I304" s="46"/>
      <c r="J304" s="46"/>
      <c r="K304" s="76"/>
      <c r="L304" s="77"/>
      <c r="M304" s="77"/>
      <c r="N304" s="77"/>
      <c r="O304" s="77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</row>
    <row r="305">
      <c r="A305" s="72" t="str">
        <f t="shared" si="1"/>
        <v/>
      </c>
      <c r="B305" s="46"/>
      <c r="C305" s="74"/>
      <c r="D305" s="72"/>
      <c r="E305" s="72"/>
      <c r="F305" s="75"/>
      <c r="G305" s="46"/>
      <c r="H305" s="46"/>
      <c r="I305" s="46"/>
      <c r="J305" s="46"/>
      <c r="K305" s="76"/>
      <c r="L305" s="77"/>
      <c r="M305" s="77"/>
      <c r="N305" s="77"/>
      <c r="O305" s="77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</row>
    <row r="306">
      <c r="A306" s="72" t="str">
        <f t="shared" si="1"/>
        <v/>
      </c>
      <c r="B306" s="46"/>
      <c r="C306" s="74"/>
      <c r="D306" s="72"/>
      <c r="E306" s="72"/>
      <c r="F306" s="75"/>
      <c r="G306" s="46"/>
      <c r="H306" s="46"/>
      <c r="I306" s="46"/>
      <c r="J306" s="46"/>
      <c r="K306" s="76"/>
      <c r="L306" s="77"/>
      <c r="M306" s="77"/>
      <c r="N306" s="77"/>
      <c r="O306" s="77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</row>
    <row r="307">
      <c r="A307" s="72" t="str">
        <f t="shared" si="1"/>
        <v/>
      </c>
      <c r="B307" s="46"/>
      <c r="C307" s="74"/>
      <c r="D307" s="72"/>
      <c r="E307" s="72"/>
      <c r="F307" s="75"/>
      <c r="G307" s="46"/>
      <c r="H307" s="46"/>
      <c r="I307" s="46"/>
      <c r="J307" s="46"/>
      <c r="K307" s="76"/>
      <c r="L307" s="77"/>
      <c r="M307" s="77"/>
      <c r="N307" s="77"/>
      <c r="O307" s="77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</row>
    <row r="308">
      <c r="A308" s="72" t="str">
        <f t="shared" si="1"/>
        <v/>
      </c>
      <c r="B308" s="46"/>
      <c r="C308" s="74"/>
      <c r="D308" s="72"/>
      <c r="E308" s="72"/>
      <c r="F308" s="75"/>
      <c r="G308" s="46"/>
      <c r="H308" s="46"/>
      <c r="I308" s="46"/>
      <c r="J308" s="46"/>
      <c r="K308" s="76"/>
      <c r="L308" s="77"/>
      <c r="M308" s="77"/>
      <c r="N308" s="77"/>
      <c r="O308" s="77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</row>
    <row r="309">
      <c r="A309" s="72" t="str">
        <f t="shared" si="1"/>
        <v/>
      </c>
      <c r="B309" s="46"/>
      <c r="C309" s="74"/>
      <c r="D309" s="72"/>
      <c r="E309" s="72"/>
      <c r="F309" s="75"/>
      <c r="G309" s="46"/>
      <c r="H309" s="46"/>
      <c r="I309" s="46"/>
      <c r="J309" s="46"/>
      <c r="K309" s="76"/>
      <c r="L309" s="77"/>
      <c r="M309" s="77"/>
      <c r="N309" s="77"/>
      <c r="O309" s="77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</row>
    <row r="310">
      <c r="A310" s="72" t="str">
        <f t="shared" si="1"/>
        <v/>
      </c>
      <c r="B310" s="46"/>
      <c r="C310" s="74"/>
      <c r="D310" s="72"/>
      <c r="E310" s="72"/>
      <c r="F310" s="75"/>
      <c r="G310" s="46"/>
      <c r="H310" s="46"/>
      <c r="I310" s="46"/>
      <c r="J310" s="46"/>
      <c r="K310" s="76"/>
      <c r="L310" s="77"/>
      <c r="M310" s="77"/>
      <c r="N310" s="77"/>
      <c r="O310" s="77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</row>
    <row r="311">
      <c r="A311" s="72" t="str">
        <f t="shared" si="1"/>
        <v/>
      </c>
      <c r="B311" s="46"/>
      <c r="C311" s="74"/>
      <c r="D311" s="72"/>
      <c r="E311" s="72"/>
      <c r="F311" s="75"/>
      <c r="G311" s="46"/>
      <c r="H311" s="46"/>
      <c r="I311" s="46"/>
      <c r="J311" s="46"/>
      <c r="K311" s="76"/>
      <c r="L311" s="77"/>
      <c r="M311" s="77"/>
      <c r="N311" s="77"/>
      <c r="O311" s="77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</row>
    <row r="312">
      <c r="A312" s="72" t="str">
        <f t="shared" si="1"/>
        <v/>
      </c>
      <c r="B312" s="46"/>
      <c r="C312" s="74"/>
      <c r="D312" s="72"/>
      <c r="E312" s="72"/>
      <c r="F312" s="75"/>
      <c r="G312" s="46"/>
      <c r="H312" s="46"/>
      <c r="I312" s="46"/>
      <c r="J312" s="46"/>
      <c r="K312" s="76"/>
      <c r="L312" s="77"/>
      <c r="M312" s="77"/>
      <c r="N312" s="77"/>
      <c r="O312" s="77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</row>
    <row r="313">
      <c r="A313" s="72" t="str">
        <f t="shared" si="1"/>
        <v/>
      </c>
      <c r="B313" s="46"/>
      <c r="C313" s="74"/>
      <c r="D313" s="72"/>
      <c r="E313" s="72"/>
      <c r="F313" s="75"/>
      <c r="G313" s="46"/>
      <c r="H313" s="46"/>
      <c r="I313" s="46"/>
      <c r="J313" s="46"/>
      <c r="K313" s="76"/>
      <c r="L313" s="77"/>
      <c r="M313" s="77"/>
      <c r="N313" s="77"/>
      <c r="O313" s="77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</row>
    <row r="314">
      <c r="A314" s="72" t="str">
        <f t="shared" si="1"/>
        <v/>
      </c>
      <c r="B314" s="46"/>
      <c r="C314" s="74"/>
      <c r="D314" s="72"/>
      <c r="E314" s="72"/>
      <c r="F314" s="75"/>
      <c r="G314" s="46"/>
      <c r="H314" s="46"/>
      <c r="I314" s="46"/>
      <c r="J314" s="46"/>
      <c r="K314" s="76"/>
      <c r="L314" s="77"/>
      <c r="M314" s="77"/>
      <c r="N314" s="77"/>
      <c r="O314" s="77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</row>
    <row r="315">
      <c r="A315" s="72" t="str">
        <f t="shared" si="1"/>
        <v/>
      </c>
      <c r="B315" s="46"/>
      <c r="C315" s="74"/>
      <c r="D315" s="72"/>
      <c r="E315" s="72"/>
      <c r="F315" s="75"/>
      <c r="G315" s="46"/>
      <c r="H315" s="46"/>
      <c r="I315" s="46"/>
      <c r="J315" s="46"/>
      <c r="K315" s="76"/>
      <c r="L315" s="77"/>
      <c r="M315" s="77"/>
      <c r="N315" s="77"/>
      <c r="O315" s="77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</row>
    <row r="316">
      <c r="A316" s="72" t="str">
        <f t="shared" si="1"/>
        <v/>
      </c>
      <c r="B316" s="46"/>
      <c r="C316" s="74"/>
      <c r="D316" s="72"/>
      <c r="E316" s="72"/>
      <c r="F316" s="75"/>
      <c r="G316" s="46"/>
      <c r="H316" s="46"/>
      <c r="I316" s="46"/>
      <c r="J316" s="46"/>
      <c r="K316" s="76"/>
      <c r="L316" s="77"/>
      <c r="M316" s="77"/>
      <c r="N316" s="77"/>
      <c r="O316" s="77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</row>
    <row r="317">
      <c r="A317" s="72" t="str">
        <f t="shared" si="1"/>
        <v/>
      </c>
      <c r="B317" s="46"/>
      <c r="C317" s="74"/>
      <c r="D317" s="72"/>
      <c r="E317" s="72"/>
      <c r="F317" s="75"/>
      <c r="G317" s="46"/>
      <c r="H317" s="46"/>
      <c r="I317" s="46"/>
      <c r="J317" s="46"/>
      <c r="K317" s="76"/>
      <c r="L317" s="77"/>
      <c r="M317" s="77"/>
      <c r="N317" s="77"/>
      <c r="O317" s="77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</row>
    <row r="318">
      <c r="A318" s="72" t="str">
        <f t="shared" si="1"/>
        <v/>
      </c>
      <c r="B318" s="46"/>
      <c r="C318" s="74"/>
      <c r="D318" s="72"/>
      <c r="E318" s="72"/>
      <c r="F318" s="75"/>
      <c r="G318" s="46"/>
      <c r="H318" s="46"/>
      <c r="I318" s="46"/>
      <c r="J318" s="46"/>
      <c r="K318" s="76"/>
      <c r="L318" s="77"/>
      <c r="M318" s="77"/>
      <c r="N318" s="77"/>
      <c r="O318" s="77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</row>
    <row r="319">
      <c r="A319" s="72" t="str">
        <f t="shared" si="1"/>
        <v/>
      </c>
      <c r="B319" s="46"/>
      <c r="C319" s="74"/>
      <c r="D319" s="72"/>
      <c r="E319" s="72"/>
      <c r="F319" s="75"/>
      <c r="G319" s="46"/>
      <c r="H319" s="46"/>
      <c r="I319" s="46"/>
      <c r="J319" s="46"/>
      <c r="K319" s="76"/>
      <c r="L319" s="77"/>
      <c r="M319" s="77"/>
      <c r="N319" s="77"/>
      <c r="O319" s="77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</row>
    <row r="320">
      <c r="A320" s="72" t="str">
        <f t="shared" si="1"/>
        <v/>
      </c>
      <c r="B320" s="46"/>
      <c r="C320" s="74"/>
      <c r="D320" s="72"/>
      <c r="E320" s="72"/>
      <c r="F320" s="75"/>
      <c r="G320" s="46"/>
      <c r="H320" s="46"/>
      <c r="I320" s="46"/>
      <c r="J320" s="46"/>
      <c r="K320" s="76"/>
      <c r="L320" s="77"/>
      <c r="M320" s="77"/>
      <c r="N320" s="77"/>
      <c r="O320" s="77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</row>
    <row r="321">
      <c r="A321" s="72" t="str">
        <f t="shared" si="1"/>
        <v/>
      </c>
      <c r="B321" s="46"/>
      <c r="C321" s="74"/>
      <c r="D321" s="72"/>
      <c r="E321" s="72"/>
      <c r="F321" s="75"/>
      <c r="G321" s="46"/>
      <c r="H321" s="46"/>
      <c r="I321" s="46"/>
      <c r="J321" s="46"/>
      <c r="K321" s="76"/>
      <c r="L321" s="77"/>
      <c r="M321" s="77"/>
      <c r="N321" s="77"/>
      <c r="O321" s="77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</row>
    <row r="322">
      <c r="A322" s="72" t="str">
        <f t="shared" si="1"/>
        <v/>
      </c>
      <c r="B322" s="46"/>
      <c r="C322" s="74"/>
      <c r="D322" s="72"/>
      <c r="E322" s="72"/>
      <c r="F322" s="75"/>
      <c r="G322" s="46"/>
      <c r="H322" s="46"/>
      <c r="I322" s="46"/>
      <c r="J322" s="46"/>
      <c r="K322" s="76"/>
      <c r="L322" s="77"/>
      <c r="M322" s="77"/>
      <c r="N322" s="77"/>
      <c r="O322" s="77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</row>
    <row r="323">
      <c r="A323" s="72" t="str">
        <f t="shared" si="1"/>
        <v/>
      </c>
      <c r="B323" s="46"/>
      <c r="C323" s="74"/>
      <c r="D323" s="72"/>
      <c r="E323" s="72"/>
      <c r="F323" s="75"/>
      <c r="G323" s="46"/>
      <c r="H323" s="46"/>
      <c r="I323" s="46"/>
      <c r="J323" s="46"/>
      <c r="K323" s="76"/>
      <c r="L323" s="77"/>
      <c r="M323" s="77"/>
      <c r="N323" s="77"/>
      <c r="O323" s="77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</row>
    <row r="324">
      <c r="A324" s="72" t="str">
        <f t="shared" si="1"/>
        <v/>
      </c>
      <c r="B324" s="46"/>
      <c r="C324" s="74"/>
      <c r="D324" s="72"/>
      <c r="E324" s="72"/>
      <c r="F324" s="75"/>
      <c r="G324" s="46"/>
      <c r="H324" s="46"/>
      <c r="I324" s="46"/>
      <c r="J324" s="46"/>
      <c r="K324" s="76"/>
      <c r="L324" s="77"/>
      <c r="M324" s="77"/>
      <c r="N324" s="77"/>
      <c r="O324" s="77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</row>
    <row r="325">
      <c r="A325" s="72" t="str">
        <f t="shared" si="1"/>
        <v/>
      </c>
      <c r="B325" s="46"/>
      <c r="C325" s="74"/>
      <c r="D325" s="72"/>
      <c r="E325" s="72"/>
      <c r="F325" s="75"/>
      <c r="G325" s="46"/>
      <c r="H325" s="46"/>
      <c r="I325" s="46"/>
      <c r="J325" s="46"/>
      <c r="K325" s="76"/>
      <c r="L325" s="77"/>
      <c r="M325" s="77"/>
      <c r="N325" s="77"/>
      <c r="O325" s="77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</row>
    <row r="326">
      <c r="A326" s="72" t="str">
        <f t="shared" si="1"/>
        <v/>
      </c>
      <c r="B326" s="46"/>
      <c r="C326" s="74"/>
      <c r="D326" s="72"/>
      <c r="E326" s="72"/>
      <c r="F326" s="75"/>
      <c r="G326" s="46"/>
      <c r="H326" s="46"/>
      <c r="I326" s="46"/>
      <c r="J326" s="46"/>
      <c r="K326" s="76"/>
      <c r="L326" s="77"/>
      <c r="M326" s="77"/>
      <c r="N326" s="77"/>
      <c r="O326" s="77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</row>
    <row r="327">
      <c r="A327" s="72" t="str">
        <f t="shared" si="1"/>
        <v/>
      </c>
      <c r="B327" s="46"/>
      <c r="C327" s="74"/>
      <c r="D327" s="72"/>
      <c r="E327" s="72"/>
      <c r="F327" s="75"/>
      <c r="G327" s="46"/>
      <c r="H327" s="46"/>
      <c r="I327" s="46"/>
      <c r="J327" s="46"/>
      <c r="K327" s="76"/>
      <c r="L327" s="77"/>
      <c r="M327" s="77"/>
      <c r="N327" s="77"/>
      <c r="O327" s="77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</row>
    <row r="328">
      <c r="A328" s="72" t="str">
        <f t="shared" si="1"/>
        <v/>
      </c>
      <c r="B328" s="46"/>
      <c r="C328" s="74"/>
      <c r="D328" s="72"/>
      <c r="E328" s="72"/>
      <c r="F328" s="75"/>
      <c r="G328" s="46"/>
      <c r="H328" s="46"/>
      <c r="I328" s="46"/>
      <c r="J328" s="46"/>
      <c r="K328" s="76"/>
      <c r="L328" s="77"/>
      <c r="M328" s="77"/>
      <c r="N328" s="77"/>
      <c r="O328" s="77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</row>
    <row r="329">
      <c r="A329" s="72" t="str">
        <f t="shared" si="1"/>
        <v/>
      </c>
      <c r="B329" s="46"/>
      <c r="C329" s="74"/>
      <c r="D329" s="72"/>
      <c r="E329" s="72"/>
      <c r="F329" s="75"/>
      <c r="G329" s="46"/>
      <c r="H329" s="46"/>
      <c r="I329" s="46"/>
      <c r="J329" s="46"/>
      <c r="K329" s="76"/>
      <c r="L329" s="77"/>
      <c r="M329" s="77"/>
      <c r="N329" s="77"/>
      <c r="O329" s="77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</row>
    <row r="330">
      <c r="A330" s="72" t="str">
        <f t="shared" si="1"/>
        <v/>
      </c>
      <c r="B330" s="46"/>
      <c r="C330" s="74"/>
      <c r="D330" s="72"/>
      <c r="E330" s="72"/>
      <c r="F330" s="75"/>
      <c r="G330" s="46"/>
      <c r="H330" s="46"/>
      <c r="I330" s="46"/>
      <c r="J330" s="46"/>
      <c r="K330" s="76"/>
      <c r="L330" s="77"/>
      <c r="M330" s="77"/>
      <c r="N330" s="77"/>
      <c r="O330" s="77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</row>
    <row r="331">
      <c r="A331" s="72" t="str">
        <f t="shared" si="1"/>
        <v/>
      </c>
      <c r="B331" s="46"/>
      <c r="C331" s="74"/>
      <c r="D331" s="72"/>
      <c r="E331" s="72"/>
      <c r="F331" s="75"/>
      <c r="G331" s="46"/>
      <c r="H331" s="46"/>
      <c r="I331" s="46"/>
      <c r="J331" s="46"/>
      <c r="K331" s="76"/>
      <c r="L331" s="77"/>
      <c r="M331" s="77"/>
      <c r="N331" s="77"/>
      <c r="O331" s="77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</row>
    <row r="332">
      <c r="A332" s="72" t="str">
        <f t="shared" si="1"/>
        <v/>
      </c>
      <c r="B332" s="46"/>
      <c r="C332" s="74"/>
      <c r="D332" s="72"/>
      <c r="E332" s="72"/>
      <c r="F332" s="75"/>
      <c r="G332" s="46"/>
      <c r="H332" s="46"/>
      <c r="I332" s="46"/>
      <c r="J332" s="46"/>
      <c r="K332" s="76"/>
      <c r="L332" s="77"/>
      <c r="M332" s="77"/>
      <c r="N332" s="77"/>
      <c r="O332" s="77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</row>
    <row r="333">
      <c r="A333" s="72" t="str">
        <f t="shared" si="1"/>
        <v/>
      </c>
      <c r="B333" s="46"/>
      <c r="C333" s="74"/>
      <c r="D333" s="72"/>
      <c r="E333" s="72"/>
      <c r="F333" s="75"/>
      <c r="G333" s="46"/>
      <c r="H333" s="46"/>
      <c r="I333" s="46"/>
      <c r="J333" s="46"/>
      <c r="K333" s="76"/>
      <c r="L333" s="77"/>
      <c r="M333" s="77"/>
      <c r="N333" s="77"/>
      <c r="O333" s="77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</row>
    <row r="334">
      <c r="A334" s="72" t="str">
        <f t="shared" si="1"/>
        <v/>
      </c>
      <c r="B334" s="46"/>
      <c r="C334" s="74"/>
      <c r="D334" s="72"/>
      <c r="E334" s="72"/>
      <c r="F334" s="75"/>
      <c r="G334" s="46"/>
      <c r="H334" s="46"/>
      <c r="I334" s="46"/>
      <c r="J334" s="46"/>
      <c r="K334" s="76"/>
      <c r="L334" s="77"/>
      <c r="M334" s="77"/>
      <c r="N334" s="77"/>
      <c r="O334" s="77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</row>
    <row r="335">
      <c r="A335" s="72" t="str">
        <f t="shared" si="1"/>
        <v/>
      </c>
      <c r="B335" s="46"/>
      <c r="C335" s="74"/>
      <c r="D335" s="72"/>
      <c r="E335" s="72"/>
      <c r="F335" s="75"/>
      <c r="G335" s="46"/>
      <c r="H335" s="46"/>
      <c r="I335" s="46"/>
      <c r="J335" s="46"/>
      <c r="K335" s="76"/>
      <c r="L335" s="77"/>
      <c r="M335" s="77"/>
      <c r="N335" s="77"/>
      <c r="O335" s="77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</row>
    <row r="336">
      <c r="A336" s="72" t="str">
        <f t="shared" si="1"/>
        <v/>
      </c>
      <c r="B336" s="46"/>
      <c r="C336" s="74"/>
      <c r="D336" s="72"/>
      <c r="E336" s="72"/>
      <c r="F336" s="75"/>
      <c r="G336" s="46"/>
      <c r="H336" s="46"/>
      <c r="I336" s="46"/>
      <c r="J336" s="46"/>
      <c r="K336" s="76"/>
      <c r="L336" s="77"/>
      <c r="M336" s="77"/>
      <c r="N336" s="77"/>
      <c r="O336" s="77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</row>
    <row r="337">
      <c r="A337" s="72" t="str">
        <f t="shared" si="1"/>
        <v/>
      </c>
      <c r="B337" s="46"/>
      <c r="C337" s="74"/>
      <c r="D337" s="72"/>
      <c r="E337" s="72"/>
      <c r="F337" s="75"/>
      <c r="G337" s="46"/>
      <c r="H337" s="46"/>
      <c r="I337" s="46"/>
      <c r="J337" s="46"/>
      <c r="K337" s="76"/>
      <c r="L337" s="77"/>
      <c r="M337" s="77"/>
      <c r="N337" s="77"/>
      <c r="O337" s="77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</row>
    <row r="338">
      <c r="A338" s="72" t="str">
        <f t="shared" si="1"/>
        <v/>
      </c>
      <c r="B338" s="46"/>
      <c r="C338" s="74"/>
      <c r="D338" s="72"/>
      <c r="E338" s="72"/>
      <c r="F338" s="75"/>
      <c r="G338" s="46"/>
      <c r="H338" s="46"/>
      <c r="I338" s="46"/>
      <c r="J338" s="46"/>
      <c r="K338" s="76"/>
      <c r="L338" s="77"/>
      <c r="M338" s="77"/>
      <c r="N338" s="77"/>
      <c r="O338" s="77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</row>
    <row r="339">
      <c r="A339" s="72" t="str">
        <f t="shared" si="1"/>
        <v/>
      </c>
      <c r="B339" s="46"/>
      <c r="C339" s="74"/>
      <c r="D339" s="72"/>
      <c r="E339" s="72"/>
      <c r="F339" s="75"/>
      <c r="G339" s="46"/>
      <c r="H339" s="46"/>
      <c r="I339" s="46"/>
      <c r="J339" s="46"/>
      <c r="K339" s="76"/>
      <c r="L339" s="77"/>
      <c r="M339" s="77"/>
      <c r="N339" s="77"/>
      <c r="O339" s="77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</row>
    <row r="340">
      <c r="A340" s="72" t="str">
        <f t="shared" si="1"/>
        <v/>
      </c>
      <c r="B340" s="46"/>
      <c r="C340" s="74"/>
      <c r="D340" s="72"/>
      <c r="E340" s="72"/>
      <c r="F340" s="75"/>
      <c r="G340" s="46"/>
      <c r="H340" s="46"/>
      <c r="I340" s="46"/>
      <c r="J340" s="46"/>
      <c r="K340" s="76"/>
      <c r="L340" s="77"/>
      <c r="M340" s="77"/>
      <c r="N340" s="77"/>
      <c r="O340" s="77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</row>
    <row r="341">
      <c r="A341" s="72" t="str">
        <f t="shared" si="1"/>
        <v/>
      </c>
      <c r="B341" s="46"/>
      <c r="C341" s="74"/>
      <c r="D341" s="72"/>
      <c r="E341" s="72"/>
      <c r="F341" s="75"/>
      <c r="G341" s="46"/>
      <c r="H341" s="46"/>
      <c r="I341" s="46"/>
      <c r="J341" s="46"/>
      <c r="K341" s="76"/>
      <c r="L341" s="77"/>
      <c r="M341" s="77"/>
      <c r="N341" s="77"/>
      <c r="O341" s="77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</row>
    <row r="342">
      <c r="A342" s="72" t="str">
        <f t="shared" si="1"/>
        <v/>
      </c>
      <c r="B342" s="46"/>
      <c r="C342" s="74"/>
      <c r="D342" s="72"/>
      <c r="E342" s="72"/>
      <c r="F342" s="75"/>
      <c r="G342" s="46"/>
      <c r="H342" s="46"/>
      <c r="I342" s="46"/>
      <c r="J342" s="46"/>
      <c r="K342" s="76"/>
      <c r="L342" s="77"/>
      <c r="M342" s="77"/>
      <c r="N342" s="77"/>
      <c r="O342" s="77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</row>
    <row r="343">
      <c r="A343" s="72" t="str">
        <f t="shared" si="1"/>
        <v/>
      </c>
      <c r="B343" s="46"/>
      <c r="C343" s="74"/>
      <c r="D343" s="72"/>
      <c r="E343" s="72"/>
      <c r="F343" s="75"/>
      <c r="G343" s="46"/>
      <c r="H343" s="46"/>
      <c r="I343" s="46"/>
      <c r="J343" s="46"/>
      <c r="K343" s="76"/>
      <c r="L343" s="77"/>
      <c r="M343" s="77"/>
      <c r="N343" s="77"/>
      <c r="O343" s="77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</row>
    <row r="344">
      <c r="A344" s="72" t="str">
        <f t="shared" si="1"/>
        <v/>
      </c>
      <c r="B344" s="46"/>
      <c r="C344" s="74"/>
      <c r="D344" s="72"/>
      <c r="E344" s="72"/>
      <c r="F344" s="75"/>
      <c r="G344" s="46"/>
      <c r="H344" s="46"/>
      <c r="I344" s="46"/>
      <c r="J344" s="46"/>
      <c r="K344" s="76"/>
      <c r="L344" s="77"/>
      <c r="M344" s="77"/>
      <c r="N344" s="77"/>
      <c r="O344" s="77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</row>
    <row r="345">
      <c r="A345" s="72" t="str">
        <f t="shared" si="1"/>
        <v/>
      </c>
      <c r="B345" s="46"/>
      <c r="C345" s="74"/>
      <c r="D345" s="72"/>
      <c r="E345" s="72"/>
      <c r="F345" s="75"/>
      <c r="G345" s="46"/>
      <c r="H345" s="46"/>
      <c r="I345" s="46"/>
      <c r="J345" s="46"/>
      <c r="K345" s="76"/>
      <c r="L345" s="77"/>
      <c r="M345" s="77"/>
      <c r="N345" s="77"/>
      <c r="O345" s="77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</row>
    <row r="346">
      <c r="A346" s="72" t="str">
        <f t="shared" si="1"/>
        <v/>
      </c>
      <c r="B346" s="46"/>
      <c r="C346" s="74"/>
      <c r="D346" s="72"/>
      <c r="E346" s="72"/>
      <c r="F346" s="75"/>
      <c r="G346" s="46"/>
      <c r="H346" s="46"/>
      <c r="I346" s="46"/>
      <c r="J346" s="46"/>
      <c r="K346" s="76"/>
      <c r="L346" s="77"/>
      <c r="M346" s="77"/>
      <c r="N346" s="77"/>
      <c r="O346" s="77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</row>
    <row r="347">
      <c r="A347" s="72" t="str">
        <f t="shared" si="1"/>
        <v/>
      </c>
      <c r="B347" s="46"/>
      <c r="C347" s="74"/>
      <c r="D347" s="72"/>
      <c r="E347" s="72"/>
      <c r="F347" s="75"/>
      <c r="G347" s="46"/>
      <c r="H347" s="46"/>
      <c r="I347" s="46"/>
      <c r="J347" s="46"/>
      <c r="K347" s="76"/>
      <c r="L347" s="77"/>
      <c r="M347" s="77"/>
      <c r="N347" s="77"/>
      <c r="O347" s="77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</row>
    <row r="348">
      <c r="A348" s="72" t="str">
        <f t="shared" si="1"/>
        <v/>
      </c>
      <c r="B348" s="46"/>
      <c r="C348" s="74"/>
      <c r="D348" s="72"/>
      <c r="E348" s="72"/>
      <c r="F348" s="75"/>
      <c r="G348" s="46"/>
      <c r="H348" s="46"/>
      <c r="I348" s="46"/>
      <c r="J348" s="46"/>
      <c r="K348" s="76"/>
      <c r="L348" s="77"/>
      <c r="M348" s="77"/>
      <c r="N348" s="77"/>
      <c r="O348" s="77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</row>
    <row r="349">
      <c r="A349" s="72" t="str">
        <f t="shared" si="1"/>
        <v/>
      </c>
      <c r="B349" s="46"/>
      <c r="C349" s="74"/>
      <c r="D349" s="72"/>
      <c r="E349" s="72"/>
      <c r="F349" s="75"/>
      <c r="G349" s="46"/>
      <c r="H349" s="46"/>
      <c r="I349" s="46"/>
      <c r="J349" s="46"/>
      <c r="K349" s="76"/>
      <c r="L349" s="77"/>
      <c r="M349" s="77"/>
      <c r="N349" s="77"/>
      <c r="O349" s="77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</row>
    <row r="350">
      <c r="A350" s="72" t="str">
        <f t="shared" si="1"/>
        <v/>
      </c>
      <c r="B350" s="46"/>
      <c r="C350" s="74"/>
      <c r="D350" s="72"/>
      <c r="E350" s="72"/>
      <c r="F350" s="75"/>
      <c r="G350" s="46"/>
      <c r="H350" s="46"/>
      <c r="I350" s="46"/>
      <c r="J350" s="46"/>
      <c r="K350" s="76"/>
      <c r="L350" s="77"/>
      <c r="M350" s="77"/>
      <c r="N350" s="77"/>
      <c r="O350" s="77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</row>
    <row r="351">
      <c r="A351" s="72" t="str">
        <f t="shared" si="1"/>
        <v/>
      </c>
      <c r="B351" s="46"/>
      <c r="C351" s="74"/>
      <c r="D351" s="72"/>
      <c r="E351" s="72"/>
      <c r="F351" s="75"/>
      <c r="G351" s="46"/>
      <c r="H351" s="46"/>
      <c r="I351" s="46"/>
      <c r="J351" s="46"/>
      <c r="K351" s="76"/>
      <c r="L351" s="77"/>
      <c r="M351" s="77"/>
      <c r="N351" s="77"/>
      <c r="O351" s="77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</row>
    <row r="352">
      <c r="A352" s="72" t="str">
        <f t="shared" si="1"/>
        <v/>
      </c>
      <c r="B352" s="46"/>
      <c r="C352" s="74"/>
      <c r="D352" s="72"/>
      <c r="E352" s="72"/>
      <c r="F352" s="75"/>
      <c r="G352" s="46"/>
      <c r="H352" s="46"/>
      <c r="I352" s="46"/>
      <c r="J352" s="46"/>
      <c r="K352" s="76"/>
      <c r="L352" s="77"/>
      <c r="M352" s="77"/>
      <c r="N352" s="77"/>
      <c r="O352" s="77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</row>
    <row r="353">
      <c r="A353" s="72" t="str">
        <f t="shared" si="1"/>
        <v/>
      </c>
      <c r="B353" s="46"/>
      <c r="C353" s="74"/>
      <c r="D353" s="72"/>
      <c r="E353" s="46"/>
      <c r="F353" s="75"/>
      <c r="G353" s="46"/>
      <c r="H353" s="46"/>
      <c r="I353" s="46"/>
      <c r="J353" s="46"/>
      <c r="K353" s="76"/>
      <c r="L353" s="77"/>
      <c r="M353" s="77"/>
      <c r="N353" s="77"/>
      <c r="O353" s="77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</row>
    <row r="354">
      <c r="A354" s="72" t="str">
        <f t="shared" si="1"/>
        <v/>
      </c>
      <c r="B354" s="46"/>
      <c r="C354" s="74"/>
      <c r="D354" s="72"/>
      <c r="E354" s="46"/>
      <c r="F354" s="75"/>
      <c r="G354" s="46"/>
      <c r="H354" s="46"/>
      <c r="I354" s="46"/>
      <c r="J354" s="46"/>
      <c r="K354" s="76"/>
      <c r="L354" s="77"/>
      <c r="M354" s="77"/>
      <c r="N354" s="77"/>
      <c r="O354" s="77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</row>
    <row r="355">
      <c r="A355" s="72" t="str">
        <f t="shared" si="1"/>
        <v/>
      </c>
      <c r="B355" s="46"/>
      <c r="C355" s="74"/>
      <c r="D355" s="72"/>
      <c r="E355" s="46"/>
      <c r="F355" s="75"/>
      <c r="G355" s="46"/>
      <c r="H355" s="46"/>
      <c r="I355" s="46"/>
      <c r="J355" s="46"/>
      <c r="K355" s="76"/>
      <c r="L355" s="77"/>
      <c r="M355" s="77"/>
      <c r="N355" s="77"/>
      <c r="O355" s="77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</row>
    <row r="356">
      <c r="A356" s="72" t="str">
        <f t="shared" si="1"/>
        <v/>
      </c>
      <c r="B356" s="46"/>
      <c r="C356" s="74"/>
      <c r="D356" s="72"/>
      <c r="E356" s="46"/>
      <c r="F356" s="75"/>
      <c r="G356" s="46"/>
      <c r="H356" s="46"/>
      <c r="I356" s="46"/>
      <c r="J356" s="46"/>
      <c r="K356" s="76"/>
      <c r="L356" s="77"/>
      <c r="M356" s="77"/>
      <c r="N356" s="77"/>
      <c r="O356" s="77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</row>
    <row r="357">
      <c r="A357" s="72" t="str">
        <f t="shared" si="1"/>
        <v/>
      </c>
      <c r="B357" s="46"/>
      <c r="C357" s="74"/>
      <c r="D357" s="72"/>
      <c r="E357" s="46"/>
      <c r="F357" s="75"/>
      <c r="G357" s="46"/>
      <c r="H357" s="46"/>
      <c r="I357" s="46"/>
      <c r="J357" s="46"/>
      <c r="K357" s="76"/>
      <c r="L357" s="77"/>
      <c r="M357" s="77"/>
      <c r="N357" s="77"/>
      <c r="O357" s="77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</row>
    <row r="358">
      <c r="A358" s="72" t="str">
        <f t="shared" si="1"/>
        <v/>
      </c>
      <c r="B358" s="46"/>
      <c r="C358" s="74"/>
      <c r="D358" s="72"/>
      <c r="E358" s="46"/>
      <c r="F358" s="75"/>
      <c r="G358" s="46"/>
      <c r="H358" s="46"/>
      <c r="I358" s="46"/>
      <c r="J358" s="46"/>
      <c r="K358" s="76"/>
      <c r="L358" s="77"/>
      <c r="M358" s="77"/>
      <c r="N358" s="77"/>
      <c r="O358" s="77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</row>
    <row r="359">
      <c r="A359" s="72" t="str">
        <f t="shared" si="1"/>
        <v/>
      </c>
      <c r="B359" s="46"/>
      <c r="C359" s="74"/>
      <c r="D359" s="72"/>
      <c r="E359" s="46"/>
      <c r="F359" s="75"/>
      <c r="G359" s="46"/>
      <c r="H359" s="46"/>
      <c r="I359" s="46"/>
      <c r="J359" s="46"/>
      <c r="K359" s="76"/>
      <c r="L359" s="77"/>
      <c r="M359" s="77"/>
      <c r="N359" s="77"/>
      <c r="O359" s="77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</row>
    <row r="360">
      <c r="A360" s="72" t="str">
        <f t="shared" si="1"/>
        <v/>
      </c>
      <c r="B360" s="46"/>
      <c r="C360" s="74"/>
      <c r="D360" s="72"/>
      <c r="E360" s="46"/>
      <c r="F360" s="75"/>
      <c r="G360" s="46"/>
      <c r="H360" s="46"/>
      <c r="I360" s="46"/>
      <c r="J360" s="46"/>
      <c r="K360" s="76"/>
      <c r="L360" s="77"/>
      <c r="M360" s="77"/>
      <c r="N360" s="77"/>
      <c r="O360" s="77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</row>
    <row r="361">
      <c r="A361" s="72" t="str">
        <f t="shared" si="1"/>
        <v/>
      </c>
      <c r="B361" s="46"/>
      <c r="C361" s="74"/>
      <c r="D361" s="72"/>
      <c r="E361" s="46"/>
      <c r="F361" s="75"/>
      <c r="G361" s="46"/>
      <c r="H361" s="46"/>
      <c r="I361" s="46"/>
      <c r="J361" s="46"/>
      <c r="K361" s="76"/>
      <c r="L361" s="77"/>
      <c r="M361" s="77"/>
      <c r="N361" s="77"/>
      <c r="O361" s="77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</row>
    <row r="362">
      <c r="A362" s="72" t="str">
        <f t="shared" si="1"/>
        <v/>
      </c>
      <c r="B362" s="46"/>
      <c r="C362" s="74"/>
      <c r="D362" s="72"/>
      <c r="E362" s="46"/>
      <c r="F362" s="75"/>
      <c r="G362" s="46"/>
      <c r="H362" s="46"/>
      <c r="I362" s="46"/>
      <c r="J362" s="46"/>
      <c r="K362" s="76"/>
      <c r="L362" s="77"/>
      <c r="M362" s="77"/>
      <c r="N362" s="77"/>
      <c r="O362" s="77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</row>
    <row r="363">
      <c r="A363" s="72" t="str">
        <f t="shared" si="1"/>
        <v/>
      </c>
      <c r="B363" s="46"/>
      <c r="C363" s="74"/>
      <c r="D363" s="72"/>
      <c r="E363" s="46"/>
      <c r="F363" s="75"/>
      <c r="G363" s="46"/>
      <c r="H363" s="46"/>
      <c r="I363" s="46"/>
      <c r="J363" s="46"/>
      <c r="K363" s="76"/>
      <c r="L363" s="77"/>
      <c r="M363" s="77"/>
      <c r="N363" s="77"/>
      <c r="O363" s="77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</row>
    <row r="364">
      <c r="A364" s="72" t="str">
        <f t="shared" si="1"/>
        <v/>
      </c>
      <c r="B364" s="46"/>
      <c r="C364" s="74"/>
      <c r="D364" s="72"/>
      <c r="E364" s="46"/>
      <c r="F364" s="75"/>
      <c r="G364" s="46"/>
      <c r="H364" s="46"/>
      <c r="I364" s="46"/>
      <c r="J364" s="46"/>
      <c r="K364" s="76"/>
      <c r="L364" s="77"/>
      <c r="M364" s="77"/>
      <c r="N364" s="77"/>
      <c r="O364" s="77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</row>
    <row r="365">
      <c r="A365" s="72" t="str">
        <f t="shared" si="1"/>
        <v/>
      </c>
      <c r="B365" s="46"/>
      <c r="C365" s="74"/>
      <c r="D365" s="72"/>
      <c r="E365" s="46"/>
      <c r="F365" s="75"/>
      <c r="G365" s="46"/>
      <c r="H365" s="46"/>
      <c r="I365" s="46"/>
      <c r="J365" s="46"/>
      <c r="K365" s="76"/>
      <c r="L365" s="77"/>
      <c r="M365" s="77"/>
      <c r="N365" s="77"/>
      <c r="O365" s="77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</row>
    <row r="366">
      <c r="A366" s="72" t="str">
        <f t="shared" si="1"/>
        <v/>
      </c>
      <c r="B366" s="46"/>
      <c r="C366" s="74"/>
      <c r="D366" s="72"/>
      <c r="E366" s="46"/>
      <c r="F366" s="75"/>
      <c r="G366" s="46"/>
      <c r="H366" s="46"/>
      <c r="I366" s="46"/>
      <c r="J366" s="46"/>
      <c r="K366" s="76"/>
      <c r="L366" s="77"/>
      <c r="M366" s="77"/>
      <c r="N366" s="77"/>
      <c r="O366" s="77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</row>
    <row r="367">
      <c r="A367" s="72" t="str">
        <f t="shared" si="1"/>
        <v/>
      </c>
      <c r="B367" s="46"/>
      <c r="C367" s="74"/>
      <c r="D367" s="72"/>
      <c r="E367" s="46"/>
      <c r="F367" s="75"/>
      <c r="G367" s="46"/>
      <c r="H367" s="46"/>
      <c r="I367" s="46"/>
      <c r="J367" s="46"/>
      <c r="K367" s="76"/>
      <c r="L367" s="77"/>
      <c r="M367" s="77"/>
      <c r="N367" s="77"/>
      <c r="O367" s="77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</row>
    <row r="368">
      <c r="A368" s="72" t="str">
        <f t="shared" si="1"/>
        <v/>
      </c>
      <c r="B368" s="46"/>
      <c r="C368" s="74"/>
      <c r="D368" s="72"/>
      <c r="E368" s="46"/>
      <c r="F368" s="75"/>
      <c r="G368" s="46"/>
      <c r="H368" s="46"/>
      <c r="I368" s="46"/>
      <c r="J368" s="46"/>
      <c r="K368" s="76"/>
      <c r="L368" s="77"/>
      <c r="M368" s="77"/>
      <c r="N368" s="77"/>
      <c r="O368" s="77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</row>
    <row r="369">
      <c r="A369" s="72" t="str">
        <f t="shared" si="1"/>
        <v/>
      </c>
      <c r="B369" s="46"/>
      <c r="C369" s="74"/>
      <c r="D369" s="72"/>
      <c r="E369" s="46"/>
      <c r="F369" s="75"/>
      <c r="G369" s="46"/>
      <c r="H369" s="46"/>
      <c r="I369" s="46"/>
      <c r="J369" s="46"/>
      <c r="K369" s="76"/>
      <c r="L369" s="77"/>
      <c r="M369" s="77"/>
      <c r="N369" s="77"/>
      <c r="O369" s="77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</row>
    <row r="370">
      <c r="A370" s="72" t="str">
        <f t="shared" si="1"/>
        <v/>
      </c>
      <c r="B370" s="46"/>
      <c r="C370" s="74"/>
      <c r="D370" s="72"/>
      <c r="E370" s="46"/>
      <c r="F370" s="75"/>
      <c r="G370" s="46"/>
      <c r="H370" s="46"/>
      <c r="I370" s="46"/>
      <c r="J370" s="46"/>
      <c r="K370" s="76"/>
      <c r="L370" s="77"/>
      <c r="M370" s="77"/>
      <c r="N370" s="77"/>
      <c r="O370" s="77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</row>
    <row r="371">
      <c r="A371" s="72" t="str">
        <f t="shared" si="1"/>
        <v/>
      </c>
      <c r="B371" s="46"/>
      <c r="C371" s="74"/>
      <c r="D371" s="72"/>
      <c r="E371" s="46"/>
      <c r="F371" s="75"/>
      <c r="G371" s="46"/>
      <c r="H371" s="46"/>
      <c r="I371" s="46"/>
      <c r="J371" s="46"/>
      <c r="K371" s="76"/>
      <c r="L371" s="77"/>
      <c r="M371" s="77"/>
      <c r="N371" s="77"/>
      <c r="O371" s="77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</row>
    <row r="372">
      <c r="A372" s="72" t="str">
        <f t="shared" si="1"/>
        <v/>
      </c>
      <c r="B372" s="46"/>
      <c r="C372" s="74"/>
      <c r="D372" s="72"/>
      <c r="E372" s="46"/>
      <c r="F372" s="75"/>
      <c r="G372" s="46"/>
      <c r="H372" s="46"/>
      <c r="I372" s="46"/>
      <c r="J372" s="46"/>
      <c r="K372" s="76"/>
      <c r="L372" s="77"/>
      <c r="M372" s="77"/>
      <c r="N372" s="77"/>
      <c r="O372" s="77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</row>
    <row r="373">
      <c r="A373" s="72" t="str">
        <f t="shared" si="1"/>
        <v/>
      </c>
      <c r="B373" s="46"/>
      <c r="C373" s="74"/>
      <c r="D373" s="72"/>
      <c r="E373" s="46"/>
      <c r="F373" s="75"/>
      <c r="G373" s="46"/>
      <c r="H373" s="46"/>
      <c r="I373" s="46"/>
      <c r="J373" s="46"/>
      <c r="K373" s="76"/>
      <c r="L373" s="77"/>
      <c r="M373" s="77"/>
      <c r="N373" s="77"/>
      <c r="O373" s="77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</row>
    <row r="374">
      <c r="A374" s="72" t="str">
        <f t="shared" si="1"/>
        <v/>
      </c>
      <c r="B374" s="46"/>
      <c r="C374" s="74"/>
      <c r="D374" s="72"/>
      <c r="E374" s="46"/>
      <c r="F374" s="75"/>
      <c r="G374" s="46"/>
      <c r="H374" s="46"/>
      <c r="I374" s="46"/>
      <c r="J374" s="46"/>
      <c r="K374" s="76"/>
      <c r="L374" s="77"/>
      <c r="M374" s="77"/>
      <c r="N374" s="77"/>
      <c r="O374" s="77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</row>
    <row r="375">
      <c r="A375" s="72" t="str">
        <f t="shared" si="1"/>
        <v/>
      </c>
      <c r="B375" s="46"/>
      <c r="C375" s="74"/>
      <c r="D375" s="72"/>
      <c r="E375" s="46"/>
      <c r="F375" s="75"/>
      <c r="G375" s="46"/>
      <c r="H375" s="46"/>
      <c r="I375" s="46"/>
      <c r="J375" s="46"/>
      <c r="K375" s="76"/>
      <c r="L375" s="77"/>
      <c r="M375" s="77"/>
      <c r="N375" s="77"/>
      <c r="O375" s="77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</row>
    <row r="376">
      <c r="A376" s="72" t="str">
        <f t="shared" si="1"/>
        <v/>
      </c>
      <c r="B376" s="46"/>
      <c r="C376" s="74"/>
      <c r="D376" s="72"/>
      <c r="E376" s="46"/>
      <c r="F376" s="75"/>
      <c r="G376" s="46"/>
      <c r="H376" s="46"/>
      <c r="I376" s="46"/>
      <c r="J376" s="46"/>
      <c r="K376" s="76"/>
      <c r="L376" s="77"/>
      <c r="M376" s="77"/>
      <c r="N376" s="77"/>
      <c r="O376" s="77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</row>
    <row r="377">
      <c r="A377" s="72" t="str">
        <f t="shared" si="1"/>
        <v/>
      </c>
      <c r="B377" s="46"/>
      <c r="C377" s="74"/>
      <c r="D377" s="72"/>
      <c r="E377" s="46"/>
      <c r="F377" s="75"/>
      <c r="G377" s="46"/>
      <c r="H377" s="46"/>
      <c r="I377" s="46"/>
      <c r="J377" s="46"/>
      <c r="K377" s="76"/>
      <c r="L377" s="77"/>
      <c r="M377" s="77"/>
      <c r="N377" s="77"/>
      <c r="O377" s="77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</row>
    <row r="378">
      <c r="A378" s="72" t="str">
        <f t="shared" si="1"/>
        <v/>
      </c>
      <c r="B378" s="46"/>
      <c r="C378" s="74"/>
      <c r="D378" s="72"/>
      <c r="E378" s="46"/>
      <c r="F378" s="75"/>
      <c r="G378" s="46"/>
      <c r="H378" s="46"/>
      <c r="I378" s="46"/>
      <c r="J378" s="46"/>
      <c r="K378" s="76"/>
      <c r="L378" s="77"/>
      <c r="M378" s="77"/>
      <c r="N378" s="77"/>
      <c r="O378" s="77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</row>
    <row r="379">
      <c r="A379" s="72" t="str">
        <f t="shared" si="1"/>
        <v/>
      </c>
      <c r="B379" s="46"/>
      <c r="C379" s="74"/>
      <c r="D379" s="72"/>
      <c r="E379" s="46"/>
      <c r="F379" s="75"/>
      <c r="G379" s="46"/>
      <c r="H379" s="46"/>
      <c r="I379" s="46"/>
      <c r="J379" s="46"/>
      <c r="K379" s="76"/>
      <c r="L379" s="77"/>
      <c r="M379" s="77"/>
      <c r="N379" s="77"/>
      <c r="O379" s="77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</row>
    <row r="380">
      <c r="A380" s="72" t="str">
        <f t="shared" si="1"/>
        <v/>
      </c>
      <c r="B380" s="46"/>
      <c r="C380" s="74"/>
      <c r="D380" s="72"/>
      <c r="E380" s="46"/>
      <c r="F380" s="75"/>
      <c r="G380" s="46"/>
      <c r="H380" s="46"/>
      <c r="I380" s="46"/>
      <c r="J380" s="46"/>
      <c r="K380" s="76"/>
      <c r="L380" s="77"/>
      <c r="M380" s="77"/>
      <c r="N380" s="77"/>
      <c r="O380" s="77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</row>
    <row r="381">
      <c r="A381" s="72" t="str">
        <f t="shared" si="1"/>
        <v/>
      </c>
      <c r="B381" s="46"/>
      <c r="C381" s="74"/>
      <c r="D381" s="72"/>
      <c r="E381" s="46"/>
      <c r="F381" s="75"/>
      <c r="G381" s="46"/>
      <c r="H381" s="46"/>
      <c r="I381" s="46"/>
      <c r="J381" s="46"/>
      <c r="K381" s="76"/>
      <c r="L381" s="77"/>
      <c r="M381" s="77"/>
      <c r="N381" s="77"/>
      <c r="O381" s="77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</row>
    <row r="382">
      <c r="A382" s="72" t="str">
        <f t="shared" si="1"/>
        <v/>
      </c>
      <c r="B382" s="46"/>
      <c r="C382" s="74"/>
      <c r="D382" s="72"/>
      <c r="E382" s="46"/>
      <c r="F382" s="75"/>
      <c r="G382" s="46"/>
      <c r="H382" s="46"/>
      <c r="I382" s="46"/>
      <c r="J382" s="46"/>
      <c r="K382" s="76"/>
      <c r="L382" s="77"/>
      <c r="M382" s="77"/>
      <c r="N382" s="77"/>
      <c r="O382" s="77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</row>
    <row r="383">
      <c r="A383" s="72" t="str">
        <f t="shared" si="1"/>
        <v/>
      </c>
      <c r="B383" s="46"/>
      <c r="C383" s="74"/>
      <c r="D383" s="72"/>
      <c r="E383" s="46"/>
      <c r="F383" s="75"/>
      <c r="G383" s="46"/>
      <c r="H383" s="46"/>
      <c r="I383" s="46"/>
      <c r="J383" s="46"/>
      <c r="K383" s="76"/>
      <c r="L383" s="77"/>
      <c r="M383" s="77"/>
      <c r="N383" s="77"/>
      <c r="O383" s="77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</row>
    <row r="384">
      <c r="A384" s="72" t="str">
        <f t="shared" si="1"/>
        <v/>
      </c>
      <c r="B384" s="46"/>
      <c r="C384" s="74"/>
      <c r="D384" s="72"/>
      <c r="E384" s="46"/>
      <c r="F384" s="75"/>
      <c r="G384" s="46"/>
      <c r="H384" s="46"/>
      <c r="I384" s="46"/>
      <c r="J384" s="46"/>
      <c r="K384" s="76"/>
      <c r="L384" s="77"/>
      <c r="M384" s="77"/>
      <c r="N384" s="77"/>
      <c r="O384" s="77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</row>
    <row r="385">
      <c r="A385" s="72" t="str">
        <f t="shared" si="1"/>
        <v/>
      </c>
      <c r="B385" s="46"/>
      <c r="C385" s="74"/>
      <c r="D385" s="72"/>
      <c r="E385" s="46"/>
      <c r="F385" s="75"/>
      <c r="G385" s="46"/>
      <c r="H385" s="46"/>
      <c r="I385" s="46"/>
      <c r="J385" s="46"/>
      <c r="K385" s="76"/>
      <c r="L385" s="77"/>
      <c r="M385" s="77"/>
      <c r="N385" s="77"/>
      <c r="O385" s="77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</row>
    <row r="386">
      <c r="A386" s="72" t="str">
        <f t="shared" si="1"/>
        <v/>
      </c>
      <c r="B386" s="46"/>
      <c r="C386" s="74"/>
      <c r="D386" s="72"/>
      <c r="E386" s="46"/>
      <c r="F386" s="75"/>
      <c r="G386" s="46"/>
      <c r="H386" s="46"/>
      <c r="I386" s="46"/>
      <c r="J386" s="46"/>
      <c r="K386" s="76"/>
      <c r="L386" s="77"/>
      <c r="M386" s="77"/>
      <c r="N386" s="77"/>
      <c r="O386" s="77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</row>
    <row r="387">
      <c r="A387" s="72" t="str">
        <f t="shared" si="1"/>
        <v/>
      </c>
      <c r="B387" s="46"/>
      <c r="C387" s="74"/>
      <c r="D387" s="72"/>
      <c r="E387" s="46"/>
      <c r="F387" s="75"/>
      <c r="G387" s="46"/>
      <c r="H387" s="46"/>
      <c r="I387" s="46"/>
      <c r="J387" s="46"/>
      <c r="K387" s="76"/>
      <c r="L387" s="77"/>
      <c r="M387" s="77"/>
      <c r="N387" s="77"/>
      <c r="O387" s="77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</row>
    <row r="388">
      <c r="A388" s="72" t="str">
        <f t="shared" si="1"/>
        <v/>
      </c>
      <c r="B388" s="46"/>
      <c r="C388" s="46"/>
      <c r="D388" s="72"/>
      <c r="E388" s="46"/>
      <c r="F388" s="75"/>
      <c r="G388" s="46"/>
      <c r="H388" s="46"/>
      <c r="I388" s="46"/>
      <c r="J388" s="46"/>
      <c r="K388" s="76"/>
      <c r="L388" s="77"/>
      <c r="M388" s="77"/>
      <c r="N388" s="77"/>
      <c r="O388" s="77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</row>
    <row r="389">
      <c r="A389" s="72" t="str">
        <f t="shared" si="1"/>
        <v/>
      </c>
      <c r="B389" s="46"/>
      <c r="C389" s="74"/>
      <c r="D389" s="72"/>
      <c r="E389" s="46"/>
      <c r="F389" s="75"/>
      <c r="G389" s="46"/>
      <c r="H389" s="46"/>
      <c r="I389" s="46"/>
      <c r="J389" s="46"/>
      <c r="K389" s="76"/>
      <c r="L389" s="77"/>
      <c r="M389" s="77"/>
      <c r="N389" s="77"/>
      <c r="O389" s="77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</row>
    <row r="390">
      <c r="A390" s="72" t="str">
        <f t="shared" si="1"/>
        <v/>
      </c>
      <c r="B390" s="46"/>
      <c r="C390" s="74"/>
      <c r="D390" s="72"/>
      <c r="E390" s="46"/>
      <c r="F390" s="75"/>
      <c r="G390" s="46"/>
      <c r="H390" s="46"/>
      <c r="I390" s="46"/>
      <c r="J390" s="46"/>
      <c r="K390" s="76"/>
      <c r="L390" s="77"/>
      <c r="M390" s="77"/>
      <c r="N390" s="77"/>
      <c r="O390" s="77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</row>
    <row r="391">
      <c r="A391" s="72" t="str">
        <f t="shared" si="1"/>
        <v/>
      </c>
      <c r="B391" s="46"/>
      <c r="C391" s="74"/>
      <c r="D391" s="72"/>
      <c r="E391" s="46"/>
      <c r="F391" s="75"/>
      <c r="G391" s="46"/>
      <c r="H391" s="46"/>
      <c r="I391" s="46"/>
      <c r="J391" s="46"/>
      <c r="K391" s="76"/>
      <c r="L391" s="77"/>
      <c r="M391" s="77"/>
      <c r="N391" s="77"/>
      <c r="O391" s="77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</row>
    <row r="392">
      <c r="A392" s="72" t="str">
        <f t="shared" si="1"/>
        <v/>
      </c>
      <c r="B392" s="46"/>
      <c r="C392" s="74"/>
      <c r="D392" s="72"/>
      <c r="E392" s="46"/>
      <c r="F392" s="75"/>
      <c r="G392" s="46"/>
      <c r="H392" s="46"/>
      <c r="I392" s="46"/>
      <c r="J392" s="46"/>
      <c r="K392" s="76"/>
      <c r="L392" s="77"/>
      <c r="M392" s="77"/>
      <c r="N392" s="77"/>
      <c r="O392" s="77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</row>
    <row r="393">
      <c r="A393" s="72" t="str">
        <f t="shared" si="1"/>
        <v/>
      </c>
      <c r="B393" s="46"/>
      <c r="C393" s="74"/>
      <c r="D393" s="72"/>
      <c r="E393" s="46"/>
      <c r="F393" s="75"/>
      <c r="G393" s="46"/>
      <c r="H393" s="46"/>
      <c r="I393" s="46"/>
      <c r="J393" s="46"/>
      <c r="K393" s="76"/>
      <c r="L393" s="77"/>
      <c r="M393" s="77"/>
      <c r="N393" s="77"/>
      <c r="O393" s="77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</row>
    <row r="394">
      <c r="A394" s="46" t="str">
        <f t="shared" si="1"/>
        <v/>
      </c>
      <c r="B394" s="46"/>
      <c r="C394" s="46"/>
      <c r="D394" s="46"/>
      <c r="E394" s="46"/>
      <c r="F394" s="46"/>
      <c r="G394" s="46"/>
      <c r="H394" s="46"/>
      <c r="I394" s="46"/>
      <c r="J394" s="46"/>
      <c r="K394" s="7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</row>
    <row r="395">
      <c r="A395" s="46" t="str">
        <f t="shared" si="1"/>
        <v/>
      </c>
      <c r="B395" s="46"/>
      <c r="C395" s="46"/>
      <c r="D395" s="46"/>
      <c r="E395" s="46"/>
      <c r="F395" s="46"/>
      <c r="G395" s="46"/>
      <c r="H395" s="46"/>
      <c r="I395" s="46"/>
      <c r="J395" s="46"/>
      <c r="K395" s="7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</row>
    <row r="396">
      <c r="A396" s="46" t="str">
        <f t="shared" si="1"/>
        <v/>
      </c>
      <c r="B396" s="46"/>
      <c r="C396" s="46"/>
      <c r="D396" s="46"/>
      <c r="E396" s="46"/>
      <c r="F396" s="46"/>
      <c r="G396" s="46"/>
      <c r="H396" s="46"/>
      <c r="I396" s="46"/>
      <c r="J396" s="46"/>
      <c r="K396" s="7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</row>
    <row r="397">
      <c r="A397" s="46" t="str">
        <f t="shared" si="1"/>
        <v/>
      </c>
      <c r="B397" s="46"/>
      <c r="C397" s="46"/>
      <c r="D397" s="46"/>
      <c r="E397" s="46"/>
      <c r="F397" s="46"/>
      <c r="G397" s="46"/>
      <c r="H397" s="46"/>
      <c r="I397" s="46"/>
      <c r="J397" s="46"/>
      <c r="K397" s="7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</row>
    <row r="398">
      <c r="A398" s="46" t="str">
        <f t="shared" si="1"/>
        <v/>
      </c>
      <c r="B398" s="46"/>
      <c r="C398" s="46"/>
      <c r="D398" s="46"/>
      <c r="E398" s="46"/>
      <c r="F398" s="46"/>
      <c r="G398" s="46"/>
      <c r="H398" s="46"/>
      <c r="I398" s="46"/>
      <c r="J398" s="46"/>
      <c r="K398" s="7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</row>
    <row r="399">
      <c r="A399" s="46" t="str">
        <f t="shared" si="1"/>
        <v/>
      </c>
      <c r="B399" s="46"/>
      <c r="C399" s="46"/>
      <c r="D399" s="46"/>
      <c r="E399" s="46"/>
      <c r="F399" s="46"/>
      <c r="G399" s="46"/>
      <c r="H399" s="46"/>
      <c r="I399" s="46"/>
      <c r="J399" s="46"/>
      <c r="K399" s="7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</row>
    <row r="400">
      <c r="A400" s="46" t="str">
        <f t="shared" si="1"/>
        <v/>
      </c>
      <c r="B400" s="46"/>
      <c r="C400" s="46"/>
      <c r="D400" s="46"/>
      <c r="E400" s="46"/>
      <c r="F400" s="46"/>
      <c r="G400" s="46"/>
      <c r="H400" s="46"/>
      <c r="I400" s="46"/>
      <c r="J400" s="46"/>
      <c r="K400" s="7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</row>
    <row r="401">
      <c r="A401" s="46" t="str">
        <f t="shared" si="1"/>
        <v/>
      </c>
      <c r="B401" s="46"/>
      <c r="C401" s="46"/>
      <c r="D401" s="46"/>
      <c r="E401" s="46"/>
      <c r="F401" s="46"/>
      <c r="G401" s="46"/>
      <c r="H401" s="46"/>
      <c r="I401" s="46"/>
      <c r="J401" s="46"/>
      <c r="K401" s="7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</row>
    <row r="402">
      <c r="A402" s="46" t="str">
        <f t="shared" si="1"/>
        <v/>
      </c>
      <c r="B402" s="46"/>
      <c r="C402" s="46"/>
      <c r="D402" s="46"/>
      <c r="E402" s="46"/>
      <c r="F402" s="46"/>
      <c r="G402" s="46"/>
      <c r="H402" s="46"/>
      <c r="I402" s="46"/>
      <c r="J402" s="46"/>
      <c r="K402" s="7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7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7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7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7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7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7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7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7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7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7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7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7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7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7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7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7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7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7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7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7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7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7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7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7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7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7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7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7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7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7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7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7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7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7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7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7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7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7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7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7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7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7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7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7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7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7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7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7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7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7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7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7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7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7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7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7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7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7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7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7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7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7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7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7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7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7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7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7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7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7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7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7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7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7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7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7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7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7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7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7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7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7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7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7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7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7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7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7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7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7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7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7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7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7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7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7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7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7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7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7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7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7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7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7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7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7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7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7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7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7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7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7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7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7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7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7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7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7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7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7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7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7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7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7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7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7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7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7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7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7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7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7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7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7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7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7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7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7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7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7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7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7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7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7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7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7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7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7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7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7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7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7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7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7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7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7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7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7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7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7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7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7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7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7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7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7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7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7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7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7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7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7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7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7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7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7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7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7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7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7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7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7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7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7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7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7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7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7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7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7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7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7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7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7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7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7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7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7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7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7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7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7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7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7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7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7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7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7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7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7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7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7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7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7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7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7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7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7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7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7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7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7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7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7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7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7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7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7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7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7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7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7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7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7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7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7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7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7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7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7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7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7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7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7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7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7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7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7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7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7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7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7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7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7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7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7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7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7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7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7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7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7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7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7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7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7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7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7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7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7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7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7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7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7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7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7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7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7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7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7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7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7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7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7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7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7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7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7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7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7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7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7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7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7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7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7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7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7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7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7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7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7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7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7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7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7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7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7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7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7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7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7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7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7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7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7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7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7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7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7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7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7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7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7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7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7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7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7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7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7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7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7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7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7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7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7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7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7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7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7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7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7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7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7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7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7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7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7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7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7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7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7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7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7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7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7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7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7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7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7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7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7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7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7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7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7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7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7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7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7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7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7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7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7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7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7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7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7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7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7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7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7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7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7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7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7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7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7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7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7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7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7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7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7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7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7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7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7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7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7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7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7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7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7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7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7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7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7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7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7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7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7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7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7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7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7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7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7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7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7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7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7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7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7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7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7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7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7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7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7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7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7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7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7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7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7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7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7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7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7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7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7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7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7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7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7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7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7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7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7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7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7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7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7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7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7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7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7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7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7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7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7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7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7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7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7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7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7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7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7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7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7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7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7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7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7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7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7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7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7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7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7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7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7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7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7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7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7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7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7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7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7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7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7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7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7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7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7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7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7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7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7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7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7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7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7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7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7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7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7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7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7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7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7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7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7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7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7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7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7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7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7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7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7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7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7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7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7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7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7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7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7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7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7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7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7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7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7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7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7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7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7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7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7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7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7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7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7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7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7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7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7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7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7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7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7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7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7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7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7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7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7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7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7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7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7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7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7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7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7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7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7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7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7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7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7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7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7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7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7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7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7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7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7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7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7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7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7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7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7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7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7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7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7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7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7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7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7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34.88"/>
    <col customWidth="1" min="3" max="3" width="10.25"/>
    <col customWidth="1" min="4" max="4" width="7.25"/>
    <col customWidth="1" min="5" max="5" width="6.38"/>
    <col customWidth="1" min="6" max="6" width="7.0"/>
    <col customWidth="1" min="7" max="7" width="12.13"/>
    <col customWidth="1" min="8" max="8" width="15.88"/>
    <col customWidth="1" min="9" max="9" width="17.5"/>
    <col customWidth="1" min="10" max="10" width="53.25"/>
    <col customWidth="1" min="11" max="11" width="13.0"/>
    <col customWidth="1" min="12" max="12" width="9.38"/>
    <col customWidth="1" min="13" max="13" width="8.38"/>
    <col customWidth="1" min="14" max="14" width="12.63"/>
    <col customWidth="1" min="15" max="15" width="11.5"/>
  </cols>
  <sheetData>
    <row r="1" ht="33.0" customHeight="1">
      <c r="A1" s="78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78" t="s">
        <v>13</v>
      </c>
      <c r="N1" s="78" t="s">
        <v>14</v>
      </c>
      <c r="O1" s="78" t="s">
        <v>15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2">
        <v>1.0</v>
      </c>
      <c r="B2" s="46" t="str">
        <f t="array" ref="B2">XLOOKUP(A2, E!$BJ:$BJ, E!$B:$B)</f>
        <v>ZASKIA MAHARANI PUTRI</v>
      </c>
      <c r="C2" s="74">
        <f>VLOOKUP($B2,E!$B$2:$O$500,2,FALSE)</f>
        <v>2024070586</v>
      </c>
      <c r="D2" s="72" t="str">
        <f>VLOOKUP($B2,E!$B$2:$O$500,3,FALSE)</f>
        <v>E</v>
      </c>
      <c r="E2" s="72" t="str">
        <f>VLOOKUP($B2,E!$B$2:$O$500,4,FALSE)</f>
        <v>E-9</v>
      </c>
      <c r="F2" s="75">
        <f>VLOOKUP($B2,E!$B$2:$O$500,5,FALSE)</f>
        <v>3</v>
      </c>
      <c r="G2" s="46" t="str">
        <f>VLOOKUP($B2,E!$B$2:$O$500,6,FALSE)</f>
        <v>3 ULA A PUTRI</v>
      </c>
      <c r="H2" s="46" t="str">
        <f>VLOOKUP($B2,E!$B$2:$O$500,7,FALSE)</f>
        <v>ABDUL QODIR</v>
      </c>
      <c r="I2" s="46" t="str">
        <f>VLOOKUP($B2,E!$B$2:$O$500,8,FALSE)</f>
        <v>OKTAVIANA SARI</v>
      </c>
      <c r="J2" s="46" t="str">
        <f>VLOOKUP($B2,E!$B$2:$O$500,9,FALSE)</f>
        <v>CEKEL KRAMAT RT 001 RW 001 LAMONGAN LAMONGAN</v>
      </c>
      <c r="K2" s="62" t="str">
        <f>VLOOKUP($B2,E!$B$2:$O$500,10,FALSE)</f>
        <v>6285852103712</v>
      </c>
      <c r="L2" s="77">
        <f>VLOOKUP($B2,E!$B$2:$O$500,11,FALSE)</f>
        <v>7500000</v>
      </c>
      <c r="M2" s="77">
        <f>VLOOKUP($B2,E!$B$2:$O$500,12,FALSE)</f>
        <v>1600000</v>
      </c>
      <c r="N2" s="77">
        <f>VLOOKUP($B2,E!$B$2:$O$500,13,FALSE)</f>
        <v>350000</v>
      </c>
      <c r="O2" s="77">
        <f>VLOOKUP($B2,E!$B$2:$O$500,14,FALSE)</f>
        <v>9450000</v>
      </c>
    </row>
    <row r="3">
      <c r="A3" s="72">
        <v>2.0</v>
      </c>
      <c r="B3" s="46" t="str">
        <f t="array" ref="B3">XLOOKUP(A3, E!$BJ:$BJ, E!$B:$B)</f>
        <v>FATIMAH</v>
      </c>
      <c r="C3" s="74">
        <f>VLOOKUP($B3,E!$B$2:$O$500,2,FALSE)</f>
        <v>2024070044</v>
      </c>
      <c r="D3" s="72" t="str">
        <f>VLOOKUP($B3,E!$B$2:$O$500,3,FALSE)</f>
        <v>E</v>
      </c>
      <c r="E3" s="72" t="str">
        <f>VLOOKUP($B3,E!$B$2:$O$500,4,FALSE)</f>
        <v>E-2</v>
      </c>
      <c r="F3" s="75">
        <f>VLOOKUP($B3,E!$B$2:$O$500,5,FALSE)</f>
        <v>3</v>
      </c>
      <c r="G3" s="46" t="str">
        <f>VLOOKUP($B3,E!$B$2:$O$500,6,FALSE)</f>
        <v>3 WUSTHO A PUTRI</v>
      </c>
      <c r="H3" s="46" t="str">
        <f>VLOOKUP($B3,E!$B$2:$O$500,7,FALSE)</f>
        <v>H. USMAN</v>
      </c>
      <c r="I3" s="46" t="str">
        <f>VLOOKUP($B3,E!$B$2:$O$500,8,FALSE)</f>
        <v>KHOLIDAH</v>
      </c>
      <c r="J3" s="46" t="str">
        <f>VLOOKUP($B3,E!$B$2:$O$500,9,FALSE)</f>
        <v>WANAR RT 004 RW 001 PUCUK LAMONGAN</v>
      </c>
      <c r="K3" s="62" t="str">
        <f>VLOOKUP($B3,E!$B$2:$O$500,10,FALSE)</f>
        <v>6289501850865</v>
      </c>
      <c r="L3" s="77">
        <f>VLOOKUP($B3,E!$B$2:$O$500,11,FALSE)</f>
        <v>6210000</v>
      </c>
      <c r="M3" s="77">
        <f>VLOOKUP($B3,E!$B$2:$O$500,12,FALSE)</f>
        <v>0</v>
      </c>
      <c r="N3" s="77">
        <f>VLOOKUP($B3,E!$B$2:$O$500,13,FALSE)</f>
        <v>350000</v>
      </c>
      <c r="O3" s="77">
        <f>VLOOKUP($B3,E!$B$2:$O$500,14,FALSE)</f>
        <v>6560000</v>
      </c>
    </row>
    <row r="4">
      <c r="A4" s="72">
        <v>3.0</v>
      </c>
      <c r="B4" s="46" t="str">
        <f t="array" ref="B4">XLOOKUP(A4, E!$BJ:$BJ, E!$B:$B)</f>
        <v>USWAH EL FAHRUSAZZAM ZAMI</v>
      </c>
      <c r="C4" s="74">
        <f>VLOOKUP($B4,E!$B$2:$O$500,2,FALSE)</f>
        <v>2024070574</v>
      </c>
      <c r="D4" s="72" t="str">
        <f>VLOOKUP($B4,E!$B$2:$O$500,3,FALSE)</f>
        <v>E</v>
      </c>
      <c r="E4" s="72" t="str">
        <f>VLOOKUP($B4,E!$B$2:$O$500,4,FALSE)</f>
        <v>E-2</v>
      </c>
      <c r="F4" s="75">
        <f>VLOOKUP($B4,E!$B$2:$O$500,5,FALSE)</f>
        <v>3</v>
      </c>
      <c r="G4" s="46" t="str">
        <f>VLOOKUP($B4,E!$B$2:$O$500,6,FALSE)</f>
        <v>3 ULA C PUTRI</v>
      </c>
      <c r="H4" s="46" t="str">
        <f>VLOOKUP($B4,E!$B$2:$O$500,7,FALSE)</f>
        <v>SUNAR</v>
      </c>
      <c r="I4" s="46" t="str">
        <f>VLOOKUP($B4,E!$B$2:$O$500,8,FALSE)</f>
        <v>SUMINAH</v>
      </c>
      <c r="J4" s="46" t="str">
        <f>VLOOKUP($B4,E!$B$2:$O$500,9,FALSE)</f>
        <v>GERMAN RT 001 RW 003 SUGIO LAMONGAN</v>
      </c>
      <c r="K4" s="62" t="str">
        <f>VLOOKUP($B4,E!$B$2:$O$500,10,FALSE)</f>
        <v>6285854674616</v>
      </c>
      <c r="L4" s="77">
        <f>VLOOKUP($B4,E!$B$2:$O$500,11,FALSE)</f>
        <v>3500000</v>
      </c>
      <c r="M4" s="77">
        <f>VLOOKUP($B4,E!$B$2:$O$500,12,FALSE)</f>
        <v>1000000</v>
      </c>
      <c r="N4" s="77">
        <f>VLOOKUP($B4,E!$B$2:$O$500,13,FALSE)</f>
        <v>350000</v>
      </c>
      <c r="O4" s="77">
        <f>VLOOKUP($B4,E!$B$2:$O$500,14,FALSE)</f>
        <v>4850000</v>
      </c>
    </row>
    <row r="5">
      <c r="A5" s="72">
        <v>4.0</v>
      </c>
      <c r="B5" s="46" t="str">
        <f t="array" ref="B5">XLOOKUP(A5, E!$BJ:$BJ, E!$B:$B)</f>
        <v>ANGELINA KIBRIYAH SAFITRI</v>
      </c>
      <c r="C5" s="74">
        <f>VLOOKUP($B5,E!$B$2:$O$500,2,FALSE)</f>
        <v>2024070340</v>
      </c>
      <c r="D5" s="72" t="str">
        <f>VLOOKUP($B5,E!$B$2:$O$500,3,FALSE)</f>
        <v>E</v>
      </c>
      <c r="E5" s="72" t="str">
        <f>VLOOKUP($B5,E!$B$2:$O$500,4,FALSE)</f>
        <v>E-3</v>
      </c>
      <c r="F5" s="75">
        <f>VLOOKUP($B5,E!$B$2:$O$500,5,FALSE)</f>
        <v>3</v>
      </c>
      <c r="G5" s="46" t="str">
        <f>VLOOKUP($B5,E!$B$2:$O$500,6,FALSE)</f>
        <v>3 WUSTHO B PUTRI</v>
      </c>
      <c r="H5" s="46" t="str">
        <f>VLOOKUP($B5,E!$B$2:$O$500,7,FALSE)</f>
        <v>M,UFAIZIN</v>
      </c>
      <c r="I5" s="46" t="str">
        <f>VLOOKUP($B5,E!$B$2:$O$500,8,FALSE)</f>
        <v>WARDATUL KHUMAIROH</v>
      </c>
      <c r="J5" s="46" t="str">
        <f>VLOOKUP($B5,E!$B$2:$O$500,9,FALSE)</f>
        <v>KETAPANGLOR RT 004 RW 003 UJUNGPANGKAH GRESIK</v>
      </c>
      <c r="K5" s="62" t="str">
        <f>VLOOKUP($B5,E!$B$2:$O$500,10,FALSE)</f>
        <v>6285707549770</v>
      </c>
      <c r="L5" s="77">
        <f>VLOOKUP($B5,E!$B$2:$O$500,11,FALSE)</f>
        <v>3000000</v>
      </c>
      <c r="M5" s="77">
        <f>VLOOKUP($B5,E!$B$2:$O$500,12,FALSE)</f>
        <v>500000</v>
      </c>
      <c r="N5" s="77">
        <f>VLOOKUP($B5,E!$B$2:$O$500,13,FALSE)</f>
        <v>0</v>
      </c>
      <c r="O5" s="77">
        <f>VLOOKUP($B5,E!$B$2:$O$500,14,FALSE)</f>
        <v>3500000</v>
      </c>
    </row>
    <row r="6">
      <c r="A6" s="72">
        <v>5.0</v>
      </c>
      <c r="B6" s="46" t="str">
        <f t="array" ref="B6">XLOOKUP(A6, E!$BJ:$BJ, E!$B:$B)</f>
        <v>ZAHIRA JULIA SAIDAH</v>
      </c>
      <c r="C6" s="74">
        <f>VLOOKUP($B6,E!$B$2:$O$500,2,FALSE)</f>
        <v>2025070168</v>
      </c>
      <c r="D6" s="72" t="str">
        <f>VLOOKUP($B6,E!$B$2:$O$500,3,FALSE)</f>
        <v>E</v>
      </c>
      <c r="E6" s="72" t="str">
        <f>VLOOKUP($B6,E!$B$2:$O$500,4,FALSE)</f>
        <v>E-5</v>
      </c>
      <c r="F6" s="75">
        <f>VLOOKUP($B6,E!$B$2:$O$500,5,FALSE)</f>
        <v>2</v>
      </c>
      <c r="G6" s="46" t="str">
        <f>VLOOKUP($B6,E!$B$2:$O$500,6,FALSE)</f>
        <v>2 WUSTHO B PUTRI</v>
      </c>
      <c r="H6" s="46" t="str">
        <f>VLOOKUP($B6,E!$B$2:$O$500,7,FALSE)</f>
        <v>SAKIM</v>
      </c>
      <c r="I6" s="46" t="str">
        <f>VLOOKUP($B6,E!$B$2:$O$500,8,FALSE)</f>
        <v>SAUDAH</v>
      </c>
      <c r="J6" s="46" t="str">
        <f>VLOOKUP($B6,E!$B$2:$O$500,9,FALSE)</f>
        <v>KUCUR SIDOMUKTI RT 002 RW 001 LAMONGAN LAMONGAN</v>
      </c>
      <c r="K6" s="62" t="str">
        <f>VLOOKUP($B6,E!$B$2:$O$500,10,FALSE)</f>
        <v>6285859402324</v>
      </c>
      <c r="L6" s="77">
        <f>VLOOKUP($B6,E!$B$2:$O$500,11,FALSE)</f>
        <v>3500000</v>
      </c>
      <c r="M6" s="77">
        <f>VLOOKUP($B6,E!$B$2:$O$500,12,FALSE)</f>
        <v>0</v>
      </c>
      <c r="N6" s="77">
        <f>VLOOKUP($B6,E!$B$2:$O$500,13,FALSE)</f>
        <v>0</v>
      </c>
      <c r="O6" s="77">
        <f>VLOOKUP($B6,E!$B$2:$O$500,14,FALSE)</f>
        <v>3500000</v>
      </c>
    </row>
    <row r="7">
      <c r="A7" s="72">
        <v>6.0</v>
      </c>
      <c r="B7" s="46" t="str">
        <f t="array" ref="B7">XLOOKUP(A7, E!$BJ:$BJ, E!$B:$B)</f>
        <v>AZURO SABILA FAZZA MAULIDAH</v>
      </c>
      <c r="C7" s="74">
        <f>VLOOKUP($B7,E!$B$2:$O$500,2,FALSE)</f>
        <v>2024070573</v>
      </c>
      <c r="D7" s="72" t="str">
        <f>VLOOKUP($B7,E!$B$2:$O$500,3,FALSE)</f>
        <v>E</v>
      </c>
      <c r="E7" s="72" t="str">
        <f>VLOOKUP($B7,E!$B$2:$O$500,4,FALSE)</f>
        <v>E-2</v>
      </c>
      <c r="F7" s="75">
        <f>VLOOKUP($B7,E!$B$2:$O$500,5,FALSE)</f>
        <v>3</v>
      </c>
      <c r="G7" s="46" t="str">
        <f>VLOOKUP($B7,E!$B$2:$O$500,6,FALSE)</f>
        <v>3 ULA C PUTRI</v>
      </c>
      <c r="H7" s="46" t="str">
        <f>VLOOKUP($B7,E!$B$2:$O$500,7,FALSE)</f>
        <v>KARTONO</v>
      </c>
      <c r="I7" s="46" t="str">
        <f>VLOOKUP($B7,E!$B$2:$O$500,8,FALSE)</f>
        <v>ZUZUN LAILUFAR</v>
      </c>
      <c r="J7" s="46" t="str">
        <f>VLOOKUP($B7,E!$B$2:$O$500,9,FALSE)</f>
        <v>GERMAN RT 001 RW 002 SUGIO LAMONGAN</v>
      </c>
      <c r="K7" s="62" t="str">
        <f>VLOOKUP($B7,E!$B$2:$O$500,10,FALSE)</f>
        <v>6285707564507</v>
      </c>
      <c r="L7" s="77">
        <f>VLOOKUP($B7,E!$B$2:$O$500,11,FALSE)</f>
        <v>2000000</v>
      </c>
      <c r="M7" s="77">
        <f>VLOOKUP($B7,E!$B$2:$O$500,12,FALSE)</f>
        <v>1000000</v>
      </c>
      <c r="N7" s="77">
        <f>VLOOKUP($B7,E!$B$2:$O$500,13,FALSE)</f>
        <v>0</v>
      </c>
      <c r="O7" s="77">
        <f>VLOOKUP($B7,E!$B$2:$O$500,14,FALSE)</f>
        <v>3000000</v>
      </c>
    </row>
    <row r="8">
      <c r="A8" s="72">
        <v>7.0</v>
      </c>
      <c r="B8" s="46" t="str">
        <f t="array" ref="B8">XLOOKUP(A8, E!$BJ:$BJ, E!$B:$B)</f>
        <v>KHARISYAH NADYATUR ROHMAH</v>
      </c>
      <c r="C8" s="74">
        <f>VLOOKUP($B8,E!$B$2:$O$500,2,FALSE)</f>
        <v>2024070635</v>
      </c>
      <c r="D8" s="72" t="str">
        <f>VLOOKUP($B8,E!$B$2:$O$500,3,FALSE)</f>
        <v>E</v>
      </c>
      <c r="E8" s="72" t="str">
        <f>VLOOKUP($B8,E!$B$2:$O$500,4,FALSE)</f>
        <v>E-2</v>
      </c>
      <c r="F8" s="75">
        <f>VLOOKUP($B8,E!$B$2:$O$500,5,FALSE)</f>
        <v>3</v>
      </c>
      <c r="G8" s="46" t="str">
        <f>VLOOKUP($B8,E!$B$2:$O$500,6,FALSE)</f>
        <v>3 ULA C PUTRI</v>
      </c>
      <c r="H8" s="46" t="str">
        <f>VLOOKUP($B8,E!$B$2:$O$500,7,FALSE)</f>
        <v>LILIS MAHRUSIN</v>
      </c>
      <c r="I8" s="46" t="str">
        <f>VLOOKUP($B8,E!$B$2:$O$500,8,FALSE)</f>
        <v>NUR AZIZAH ROHMAH</v>
      </c>
      <c r="J8" s="46" t="str">
        <f>VLOOKUP($B8,E!$B$2:$O$500,9,FALSE)</f>
        <v>DADUNGAN RT 002 RW 004 KALITENGAH LAMONGAN</v>
      </c>
      <c r="K8" s="62" t="str">
        <f>VLOOKUP($B8,E!$B$2:$O$500,10,FALSE)</f>
        <v>6285649089570</v>
      </c>
      <c r="L8" s="77">
        <f>VLOOKUP($B8,E!$B$2:$O$500,11,FALSE)</f>
        <v>3000000</v>
      </c>
      <c r="M8" s="77">
        <f>VLOOKUP($B8,E!$B$2:$O$500,12,FALSE)</f>
        <v>0</v>
      </c>
      <c r="N8" s="77">
        <f>VLOOKUP($B8,E!$B$2:$O$500,13,FALSE)</f>
        <v>0</v>
      </c>
      <c r="O8" s="77">
        <f>VLOOKUP($B8,E!$B$2:$O$500,14,FALSE)</f>
        <v>3000000</v>
      </c>
    </row>
    <row r="9">
      <c r="A9" s="72">
        <v>8.0</v>
      </c>
      <c r="B9" s="46" t="str">
        <f t="array" ref="B9">XLOOKUP(A9, E!$BJ:$BJ, E!$B:$B)</f>
        <v>ASYIFATUR RAHMAH AL AZZA</v>
      </c>
      <c r="C9" s="74">
        <f>VLOOKUP($B9,E!$B$2:$O$500,2,FALSE)</f>
        <v>2025070664</v>
      </c>
      <c r="D9" s="72" t="str">
        <f>VLOOKUP($B9,E!$B$2:$O$500,3,FALSE)</f>
        <v>E</v>
      </c>
      <c r="E9" s="72" t="str">
        <f>VLOOKUP($B9,E!$B$2:$O$500,4,FALSE)</f>
        <v>E-6</v>
      </c>
      <c r="F9" s="75">
        <f>VLOOKUP($B9,E!$B$2:$O$500,5,FALSE)</f>
        <v>2</v>
      </c>
      <c r="G9" s="46" t="str">
        <f>VLOOKUP($B9,E!$B$2:$O$500,6,FALSE)</f>
        <v>2 ULA B PUTRI</v>
      </c>
      <c r="H9" s="46" t="str">
        <f>VLOOKUP($B9,E!$B$2:$O$500,7,FALSE)</f>
        <v>MARKUWAT</v>
      </c>
      <c r="I9" s="46" t="str">
        <f>VLOOKUP($B9,E!$B$2:$O$500,8,FALSE)</f>
        <v>KHOLIFAH</v>
      </c>
      <c r="J9" s="46" t="str">
        <f>VLOOKUP($B9,E!$B$2:$O$500,9,FALSE)</f>
        <v>DIBEE RT 009 RW 003 KALITENGAH LAMONGAN</v>
      </c>
      <c r="K9" s="62" t="str">
        <f>VLOOKUP($B9,E!$B$2:$O$500,10,FALSE)</f>
        <v>6285859446395</v>
      </c>
      <c r="L9" s="77">
        <f>VLOOKUP($B9,E!$B$2:$O$500,11,FALSE)</f>
        <v>3000000</v>
      </c>
      <c r="M9" s="77">
        <f>VLOOKUP($B9,E!$B$2:$O$500,12,FALSE)</f>
        <v>0</v>
      </c>
      <c r="N9" s="77">
        <f>VLOOKUP($B9,E!$B$2:$O$500,13,FALSE)</f>
        <v>0</v>
      </c>
      <c r="O9" s="77">
        <f>VLOOKUP($B9,E!$B$2:$O$500,14,FALSE)</f>
        <v>3000000</v>
      </c>
    </row>
    <row r="10">
      <c r="A10" s="72">
        <v>9.0</v>
      </c>
      <c r="B10" s="46" t="str">
        <f t="array" ref="B10">XLOOKUP(A10, E!$BJ:$BJ, E!$B:$B)</f>
        <v>DAVINA NANGSYA AZZAHRAH</v>
      </c>
      <c r="C10" s="74">
        <f>VLOOKUP($B10,E!$B$2:$O$500,2,FALSE)</f>
        <v>2024070415</v>
      </c>
      <c r="D10" s="72" t="str">
        <f>VLOOKUP($B10,E!$B$2:$O$500,3,FALSE)</f>
        <v>E</v>
      </c>
      <c r="E10" s="72" t="str">
        <f>VLOOKUP($B10,E!$B$2:$O$500,4,FALSE)</f>
        <v>E-3</v>
      </c>
      <c r="F10" s="75">
        <f>VLOOKUP($B10,E!$B$2:$O$500,5,FALSE)</f>
        <v>3</v>
      </c>
      <c r="G10" s="46" t="str">
        <f>VLOOKUP($B10,E!$B$2:$O$500,6,FALSE)</f>
        <v>3 WUSTHO A PUTRI</v>
      </c>
      <c r="H10" s="46" t="str">
        <f>VLOOKUP($B10,E!$B$2:$O$500,7,FALSE)</f>
        <v>ANANG</v>
      </c>
      <c r="I10" s="46" t="str">
        <f>VLOOKUP($B10,E!$B$2:$O$500,8,FALSE)</f>
        <v>SAFI`AH</v>
      </c>
      <c r="J10" s="46" t="str">
        <f>VLOOKUP($B10,E!$B$2:$O$500,9,FALSE)</f>
        <v>RANDUBENER RT 13 RW 2 KEMBANGBAHU LAMONGAN</v>
      </c>
      <c r="K10" s="62" t="str">
        <f>VLOOKUP($B10,E!$B$2:$O$500,10,FALSE)</f>
        <v>6289537096560</v>
      </c>
      <c r="L10" s="77">
        <f>VLOOKUP($B10,E!$B$2:$O$500,11,FALSE)</f>
        <v>2160000</v>
      </c>
      <c r="M10" s="77">
        <f>VLOOKUP($B10,E!$B$2:$O$500,12,FALSE)</f>
        <v>0</v>
      </c>
      <c r="N10" s="77">
        <f>VLOOKUP($B10,E!$B$2:$O$500,13,FALSE)</f>
        <v>350000</v>
      </c>
      <c r="O10" s="77">
        <f>VLOOKUP($B10,E!$B$2:$O$500,14,FALSE)</f>
        <v>2510000</v>
      </c>
    </row>
    <row r="11">
      <c r="A11" s="72">
        <v>10.0</v>
      </c>
      <c r="B11" s="46" t="str">
        <f t="array" ref="B11">XLOOKUP(A11, E!$BJ:$BJ, E!$B:$B)</f>
        <v>ILHAFAH ARYA NOVRYANI</v>
      </c>
      <c r="C11" s="74">
        <f>VLOOKUP($B11,E!$B$2:$O$500,2,FALSE)</f>
        <v>2024070617</v>
      </c>
      <c r="D11" s="72" t="str">
        <f>VLOOKUP($B11,E!$B$2:$O$500,3,FALSE)</f>
        <v>E</v>
      </c>
      <c r="E11" s="72" t="str">
        <f>VLOOKUP($B11,E!$B$2:$O$500,4,FALSE)</f>
        <v>E-3</v>
      </c>
      <c r="F11" s="75">
        <f>VLOOKUP($B11,E!$B$2:$O$500,5,FALSE)</f>
        <v>3</v>
      </c>
      <c r="G11" s="46" t="str">
        <f>VLOOKUP($B11,E!$B$2:$O$500,6,FALSE)</f>
        <v>3 ULA B PUTRI</v>
      </c>
      <c r="H11" s="46" t="str">
        <f>VLOOKUP($B11,E!$B$2:$O$500,7,FALSE)</f>
        <v>KARIONO</v>
      </c>
      <c r="I11" s="46" t="str">
        <f>VLOOKUP($B11,E!$B$2:$O$500,8,FALSE)</f>
        <v>NGATMIATUN</v>
      </c>
      <c r="J11" s="46" t="str">
        <f>VLOOKUP($B11,E!$B$2:$O$500,9,FALSE)</f>
        <v>TEJOASRI RT 003 RW 005 LAREN LAMONGAN</v>
      </c>
      <c r="K11" s="62" t="str">
        <f>VLOOKUP($B11,E!$B$2:$O$500,10,FALSE)</f>
        <v>6285735467317</v>
      </c>
      <c r="L11" s="77">
        <f>VLOOKUP($B11,E!$B$2:$O$500,11,FALSE)</f>
        <v>1500000</v>
      </c>
      <c r="M11" s="77">
        <f>VLOOKUP($B11,E!$B$2:$O$500,12,FALSE)</f>
        <v>1000000</v>
      </c>
      <c r="N11" s="77">
        <f>VLOOKUP($B11,E!$B$2:$O$500,13,FALSE)</f>
        <v>0</v>
      </c>
      <c r="O11" s="77">
        <f>VLOOKUP($B11,E!$B$2:$O$500,14,FALSE)</f>
        <v>2500000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7.88"/>
    <col customWidth="1" min="8" max="8" width="14.88"/>
    <col customWidth="1" min="9" max="9" width="9.38"/>
    <col customWidth="1" min="10" max="10" width="8.38"/>
    <col customWidth="1" min="11" max="11" width="12.63"/>
    <col customWidth="1" min="12" max="12" width="11.5"/>
    <col customWidth="1" min="13" max="13" width="11.88"/>
    <col customWidth="1" min="14" max="14" width="11.0"/>
    <col customWidth="1" min="15" max="15" width="9.75"/>
    <col customWidth="1" min="16" max="16" width="11.88"/>
    <col customWidth="1" min="17" max="17" width="24.0"/>
  </cols>
  <sheetData>
    <row r="1" ht="31.5" customHeight="1">
      <c r="A1" s="8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16</v>
      </c>
      <c r="I1" s="1" t="s">
        <v>12</v>
      </c>
      <c r="J1" s="1" t="s">
        <v>13</v>
      </c>
      <c r="K1" s="1" t="s">
        <v>14</v>
      </c>
      <c r="L1" s="1" t="s">
        <v>15</v>
      </c>
      <c r="M1" s="81" t="s">
        <v>17</v>
      </c>
      <c r="N1" s="81" t="s">
        <v>18</v>
      </c>
      <c r="O1" s="81" t="s">
        <v>19</v>
      </c>
      <c r="P1" s="81" t="s">
        <v>20</v>
      </c>
      <c r="Q1" s="81" t="s">
        <v>21</v>
      </c>
    </row>
    <row r="2" ht="89.25" customHeight="1">
      <c r="A2" s="79">
        <f t="shared" ref="A2:A505" si="2">IF(B2="","",ROW(A2)-1)</f>
        <v>1</v>
      </c>
      <c r="B2" s="14" t="str">
        <f>IFERROR(__xludf.DUMMYFUNCTION("SORT(QUERY(E!B2:W750,""Select Col1,Col2,Col3,Col4,Col5,Col6,Col10,Col11,Col12,Col13,Col14 Where Col3 IS NOT NULL "",""""),4,1)"),"AL IMROTUL KUSNIA")</f>
        <v>AL IMROTUL KUSNIA</v>
      </c>
      <c r="C2" s="79">
        <f>IFERROR(__xludf.DUMMYFUNCTION("""COMPUTED_VALUE"""),2.024070483E9)</f>
        <v>2024070483</v>
      </c>
      <c r="D2" s="79" t="str">
        <f>IFERROR(__xludf.DUMMYFUNCTION("""COMPUTED_VALUE"""),"E")</f>
        <v>E</v>
      </c>
      <c r="E2" s="79" t="str">
        <f>IFERROR(__xludf.DUMMYFUNCTION("""COMPUTED_VALUE"""),"E-2")</f>
        <v>E-2</v>
      </c>
      <c r="F2" s="82">
        <f>IFERROR(__xludf.DUMMYFUNCTION("""COMPUTED_VALUE"""),3.0)</f>
        <v>3</v>
      </c>
      <c r="G2" s="79" t="str">
        <f>IFERROR(__xludf.DUMMYFUNCTION("""COMPUTED_VALUE"""),"3 ULA C PUTRI")</f>
        <v>3 ULA C PUTRI</v>
      </c>
      <c r="H2" s="14" t="str">
        <f>IFERROR(__xludf.DUMMYFUNCTION("""COMPUTED_VALUE"""),"6282330812041")</f>
        <v>6282330812041</v>
      </c>
      <c r="I2" s="83">
        <f>IFERROR(__xludf.DUMMYFUNCTION("""COMPUTED_VALUE"""),2000000.0)</f>
        <v>2000000</v>
      </c>
      <c r="J2" s="83">
        <f>IFERROR(__xludf.DUMMYFUNCTION("""COMPUTED_VALUE"""),0.0)</f>
        <v>0</v>
      </c>
      <c r="K2" s="83">
        <f>IFERROR(__xludf.DUMMYFUNCTION("""COMPUTED_VALUE"""),0.0)</f>
        <v>0</v>
      </c>
      <c r="L2" s="83">
        <f>IFERROR(__xludf.DUMMYFUNCTION("""COMPUTED_VALUE"""),2000000.0)</f>
        <v>2000000</v>
      </c>
      <c r="M2" s="14" t="str">
        <f t="shared" ref="M2:P2" si="1">text(I2,"Rp #,##0")</f>
        <v>Rp 2.000.000</v>
      </c>
      <c r="N2" s="14" t="str">
        <f t="shared" si="1"/>
        <v>Rp 0</v>
      </c>
      <c r="O2" s="14" t="str">
        <f t="shared" si="1"/>
        <v>Rp 0</v>
      </c>
      <c r="P2" s="14" t="str">
        <f t="shared" si="1"/>
        <v>Rp 2.000.000</v>
      </c>
      <c r="Q2" s="14" t="str">
        <f t="shared" ref="Q2:Q505" si="4">$M$1&amp;" = "&amp;M2&amp;"
"&amp;$N$1&amp;" = "&amp;N2&amp;"
"&amp;$O$1&amp;" = "&amp;O2&amp;"
"&amp;$P$1&amp;" = "&amp;P2&amp;"
______________________"&amp;R2&amp;"
ID : "&amp;C2</f>
        <v>Syahriyah = Rp 2.000.000
Jariyah = Rp 0
Daftar Ulang = Rp 0
Total = Rp 2.000.000
______________________
ID : 2024070483</v>
      </c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9">
        <f t="shared" si="2"/>
        <v>2</v>
      </c>
      <c r="B3" s="14" t="str">
        <f>IFERROR(__xludf.DUMMYFUNCTION("""COMPUTED_VALUE"""),"ANUGRAH RAFIKHA DEWANI")</f>
        <v>ANUGRAH RAFIKHA DEWANI</v>
      </c>
      <c r="C3" s="79">
        <f>IFERROR(__xludf.DUMMYFUNCTION("""COMPUTED_VALUE"""),2.024070618E9)</f>
        <v>2024070618</v>
      </c>
      <c r="D3" s="79" t="str">
        <f>IFERROR(__xludf.DUMMYFUNCTION("""COMPUTED_VALUE"""),"E")</f>
        <v>E</v>
      </c>
      <c r="E3" s="79" t="str">
        <f>IFERROR(__xludf.DUMMYFUNCTION("""COMPUTED_VALUE"""),"E-2")</f>
        <v>E-2</v>
      </c>
      <c r="F3" s="82">
        <f>IFERROR(__xludf.DUMMYFUNCTION("""COMPUTED_VALUE"""),3.0)</f>
        <v>3</v>
      </c>
      <c r="G3" s="79" t="str">
        <f>IFERROR(__xludf.DUMMYFUNCTION("""COMPUTED_VALUE"""),"3 ULA C PUTRI")</f>
        <v>3 ULA C PUTRI</v>
      </c>
      <c r="H3" s="14" t="str">
        <f>IFERROR(__xludf.DUMMYFUNCTION("""COMPUTED_VALUE"""),"6281311516716")</f>
        <v>6281311516716</v>
      </c>
      <c r="I3" s="83">
        <f>IFERROR(__xludf.DUMMYFUNCTION("""COMPUTED_VALUE"""),1000000.0)</f>
        <v>1000000</v>
      </c>
      <c r="J3" s="83">
        <f>IFERROR(__xludf.DUMMYFUNCTION("""COMPUTED_VALUE"""),500000.0)</f>
        <v>500000</v>
      </c>
      <c r="K3" s="83">
        <f>IFERROR(__xludf.DUMMYFUNCTION("""COMPUTED_VALUE"""),0.0)</f>
        <v>0</v>
      </c>
      <c r="L3" s="83">
        <f>IFERROR(__xludf.DUMMYFUNCTION("""COMPUTED_VALUE"""),1500000.0)</f>
        <v>1500000</v>
      </c>
      <c r="M3" s="14" t="str">
        <f t="shared" ref="M3:P3" si="3">text(I3,"Rp #,##0")</f>
        <v>Rp 1.000.000</v>
      </c>
      <c r="N3" s="14" t="str">
        <f t="shared" si="3"/>
        <v>Rp 500.000</v>
      </c>
      <c r="O3" s="14" t="str">
        <f t="shared" si="3"/>
        <v>Rp 0</v>
      </c>
      <c r="P3" s="14" t="str">
        <f t="shared" si="3"/>
        <v>Rp 1.500.000</v>
      </c>
      <c r="Q3" s="14" t="str">
        <f t="shared" si="4"/>
        <v>Syahriyah = Rp 1.000.000
Jariyah = Rp 500.000
Daftar Ulang = Rp 0
Total = Rp 1.500.000
______________________
ID : 2024070618</v>
      </c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9">
        <f t="shared" si="2"/>
        <v>3</v>
      </c>
      <c r="B4" s="14" t="str">
        <f>IFERROR(__xludf.DUMMYFUNCTION("""COMPUTED_VALUE"""),"AZURO SABILA FAZZA MAULIDAH")</f>
        <v>AZURO SABILA FAZZA MAULIDAH</v>
      </c>
      <c r="C4" s="79">
        <f>IFERROR(__xludf.DUMMYFUNCTION("""COMPUTED_VALUE"""),2.024070573E9)</f>
        <v>2024070573</v>
      </c>
      <c r="D4" s="79" t="str">
        <f>IFERROR(__xludf.DUMMYFUNCTION("""COMPUTED_VALUE"""),"E")</f>
        <v>E</v>
      </c>
      <c r="E4" s="79" t="str">
        <f>IFERROR(__xludf.DUMMYFUNCTION("""COMPUTED_VALUE"""),"E-2")</f>
        <v>E-2</v>
      </c>
      <c r="F4" s="82">
        <f>IFERROR(__xludf.DUMMYFUNCTION("""COMPUTED_VALUE"""),3.0)</f>
        <v>3</v>
      </c>
      <c r="G4" s="79" t="str">
        <f>IFERROR(__xludf.DUMMYFUNCTION("""COMPUTED_VALUE"""),"3 ULA C PUTRI")</f>
        <v>3 ULA C PUTRI</v>
      </c>
      <c r="H4" s="14" t="str">
        <f>IFERROR(__xludf.DUMMYFUNCTION("""COMPUTED_VALUE"""),"6285707564507")</f>
        <v>6285707564507</v>
      </c>
      <c r="I4" s="83">
        <f>IFERROR(__xludf.DUMMYFUNCTION("""COMPUTED_VALUE"""),2000000.0)</f>
        <v>2000000</v>
      </c>
      <c r="J4" s="83">
        <f>IFERROR(__xludf.DUMMYFUNCTION("""COMPUTED_VALUE"""),1000000.0)</f>
        <v>1000000</v>
      </c>
      <c r="K4" s="83">
        <f>IFERROR(__xludf.DUMMYFUNCTION("""COMPUTED_VALUE"""),0.0)</f>
        <v>0</v>
      </c>
      <c r="L4" s="83">
        <f>IFERROR(__xludf.DUMMYFUNCTION("""COMPUTED_VALUE"""),3000000.0)</f>
        <v>3000000</v>
      </c>
      <c r="M4" s="14" t="str">
        <f t="shared" ref="M4:P4" si="5">text(I4,"Rp #,##0")</f>
        <v>Rp 2.000.000</v>
      </c>
      <c r="N4" s="14" t="str">
        <f t="shared" si="5"/>
        <v>Rp 1.000.000</v>
      </c>
      <c r="O4" s="14" t="str">
        <f t="shared" si="5"/>
        <v>Rp 0</v>
      </c>
      <c r="P4" s="14" t="str">
        <f t="shared" si="5"/>
        <v>Rp 3.000.000</v>
      </c>
      <c r="Q4" s="14" t="str">
        <f t="shared" si="4"/>
        <v>Syahriyah = Rp 2.000.000
Jariyah = Rp 1.000.000
Daftar Ulang = Rp 0
Total = Rp 3.000.000
______________________
ID : 2024070573</v>
      </c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9">
        <f t="shared" si="2"/>
        <v>4</v>
      </c>
      <c r="B5" s="14" t="str">
        <f>IFERROR(__xludf.DUMMYFUNCTION("""COMPUTED_VALUE"""),"BATRISYIA ALFILZAH")</f>
        <v>BATRISYIA ALFILZAH</v>
      </c>
      <c r="C5" s="79">
        <f>IFERROR(__xludf.DUMMYFUNCTION("""COMPUTED_VALUE"""),2.024070634E9)</f>
        <v>2024070634</v>
      </c>
      <c r="D5" s="79" t="str">
        <f>IFERROR(__xludf.DUMMYFUNCTION("""COMPUTED_VALUE"""),"E")</f>
        <v>E</v>
      </c>
      <c r="E5" s="79" t="str">
        <f>IFERROR(__xludf.DUMMYFUNCTION("""COMPUTED_VALUE"""),"E-2")</f>
        <v>E-2</v>
      </c>
      <c r="F5" s="82">
        <f>IFERROR(__xludf.DUMMYFUNCTION("""COMPUTED_VALUE"""),3.0)</f>
        <v>3</v>
      </c>
      <c r="G5" s="79" t="str">
        <f>IFERROR(__xludf.DUMMYFUNCTION("""COMPUTED_VALUE"""),"3 ULA A PUTRI")</f>
        <v>3 ULA A PUTRI</v>
      </c>
      <c r="H5" s="14" t="str">
        <f>IFERROR(__xludf.DUMMYFUNCTION("""COMPUTED_VALUE"""),"62895801050384")</f>
        <v>62895801050384</v>
      </c>
      <c r="I5" s="83">
        <f>IFERROR(__xludf.DUMMYFUNCTION("""COMPUTED_VALUE"""),500000.0)</f>
        <v>500000</v>
      </c>
      <c r="J5" s="83">
        <f>IFERROR(__xludf.DUMMYFUNCTION("""COMPUTED_VALUE"""),0.0)</f>
        <v>0</v>
      </c>
      <c r="K5" s="83">
        <f>IFERROR(__xludf.DUMMYFUNCTION("""COMPUTED_VALUE"""),0.0)</f>
        <v>0</v>
      </c>
      <c r="L5" s="83">
        <f>IFERROR(__xludf.DUMMYFUNCTION("""COMPUTED_VALUE"""),500000.0)</f>
        <v>500000</v>
      </c>
      <c r="M5" s="14" t="str">
        <f t="shared" ref="M5:P5" si="6">text(I5,"Rp #,##0")</f>
        <v>Rp 500.000</v>
      </c>
      <c r="N5" s="14" t="str">
        <f t="shared" si="6"/>
        <v>Rp 0</v>
      </c>
      <c r="O5" s="14" t="str">
        <f t="shared" si="6"/>
        <v>Rp 0</v>
      </c>
      <c r="P5" s="14" t="str">
        <f t="shared" si="6"/>
        <v>Rp 500.000</v>
      </c>
      <c r="Q5" s="14" t="str">
        <f t="shared" si="4"/>
        <v>Syahriyah = Rp 500.000
Jariyah = Rp 0
Daftar Ulang = Rp 0
Total = Rp 500.000
______________________
ID : 2024070634</v>
      </c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9">
        <f t="shared" si="2"/>
        <v>5</v>
      </c>
      <c r="B6" s="14" t="str">
        <f>IFERROR(__xludf.DUMMYFUNCTION("""COMPUTED_VALUE"""),"DAVINA RATNANDITA")</f>
        <v>DAVINA RATNANDITA</v>
      </c>
      <c r="C6" s="79">
        <f>IFERROR(__xludf.DUMMYFUNCTION("""COMPUTED_VALUE"""),2.024070445E9)</f>
        <v>2024070445</v>
      </c>
      <c r="D6" s="79" t="str">
        <f>IFERROR(__xludf.DUMMYFUNCTION("""COMPUTED_VALUE"""),"E")</f>
        <v>E</v>
      </c>
      <c r="E6" s="79" t="str">
        <f>IFERROR(__xludf.DUMMYFUNCTION("""COMPUTED_VALUE"""),"E-2")</f>
        <v>E-2</v>
      </c>
      <c r="F6" s="82">
        <f>IFERROR(__xludf.DUMMYFUNCTION("""COMPUTED_VALUE"""),3.0)</f>
        <v>3</v>
      </c>
      <c r="G6" s="79" t="str">
        <f>IFERROR(__xludf.DUMMYFUNCTION("""COMPUTED_VALUE"""),"3 ULA A PUTRI")</f>
        <v>3 ULA A PUTRI</v>
      </c>
      <c r="H6" s="14" t="str">
        <f>IFERROR(__xludf.DUMMYFUNCTION("""COMPUTED_VALUE"""),"6282131864843")</f>
        <v>6282131864843</v>
      </c>
      <c r="I6" s="83">
        <f>IFERROR(__xludf.DUMMYFUNCTION("""COMPUTED_VALUE"""),0.0)</f>
        <v>0</v>
      </c>
      <c r="J6" s="83">
        <f>IFERROR(__xludf.DUMMYFUNCTION("""COMPUTED_VALUE"""),1000000.0)</f>
        <v>1000000</v>
      </c>
      <c r="K6" s="83">
        <f>IFERROR(__xludf.DUMMYFUNCTION("""COMPUTED_VALUE"""),0.0)</f>
        <v>0</v>
      </c>
      <c r="L6" s="83">
        <f>IFERROR(__xludf.DUMMYFUNCTION("""COMPUTED_VALUE"""),1000000.0)</f>
        <v>1000000</v>
      </c>
      <c r="M6" s="14" t="str">
        <f t="shared" ref="M6:P6" si="7">text(I6,"Rp #,##0")</f>
        <v>Rp 0</v>
      </c>
      <c r="N6" s="14" t="str">
        <f t="shared" si="7"/>
        <v>Rp 1.000.000</v>
      </c>
      <c r="O6" s="14" t="str">
        <f t="shared" si="7"/>
        <v>Rp 0</v>
      </c>
      <c r="P6" s="14" t="str">
        <f t="shared" si="7"/>
        <v>Rp 1.000.000</v>
      </c>
      <c r="Q6" s="14" t="str">
        <f t="shared" si="4"/>
        <v>Syahriyah = Rp 0
Jariyah = Rp 1.000.000
Daftar Ulang = Rp 0
Total = Rp 1.000.000
______________________
ID : 2024070445</v>
      </c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9">
        <f t="shared" si="2"/>
        <v>6</v>
      </c>
      <c r="B7" s="14" t="str">
        <f>IFERROR(__xludf.DUMMYFUNCTION("""COMPUTED_VALUE"""),"FAIQOTUR RIFDAH AL ABIDAH")</f>
        <v>FAIQOTUR RIFDAH AL ABIDAH</v>
      </c>
      <c r="C7" s="79">
        <f>IFERROR(__xludf.DUMMYFUNCTION("""COMPUTED_VALUE"""),2.024070487E9)</f>
        <v>2024070487</v>
      </c>
      <c r="D7" s="79" t="str">
        <f>IFERROR(__xludf.DUMMYFUNCTION("""COMPUTED_VALUE"""),"E")</f>
        <v>E</v>
      </c>
      <c r="E7" s="79" t="str">
        <f>IFERROR(__xludf.DUMMYFUNCTION("""COMPUTED_VALUE"""),"E-2")</f>
        <v>E-2</v>
      </c>
      <c r="F7" s="82">
        <f>IFERROR(__xludf.DUMMYFUNCTION("""COMPUTED_VALUE"""),3.0)</f>
        <v>3</v>
      </c>
      <c r="G7" s="79" t="str">
        <f>IFERROR(__xludf.DUMMYFUNCTION("""COMPUTED_VALUE"""),"3 ULA B PUTRI")</f>
        <v>3 ULA B PUTRI</v>
      </c>
      <c r="H7" s="14" t="str">
        <f>IFERROR(__xludf.DUMMYFUNCTION("""COMPUTED_VALUE"""),"6285791612653")</f>
        <v>6285791612653</v>
      </c>
      <c r="I7" s="83">
        <f>IFERROR(__xludf.DUMMYFUNCTION("""COMPUTED_VALUE"""),0.0)</f>
        <v>0</v>
      </c>
      <c r="J7" s="83">
        <f>IFERROR(__xludf.DUMMYFUNCTION("""COMPUTED_VALUE"""),500000.0)</f>
        <v>500000</v>
      </c>
      <c r="K7" s="83">
        <f>IFERROR(__xludf.DUMMYFUNCTION("""COMPUTED_VALUE"""),0.0)</f>
        <v>0</v>
      </c>
      <c r="L7" s="83">
        <f>IFERROR(__xludf.DUMMYFUNCTION("""COMPUTED_VALUE"""),500000.0)</f>
        <v>500000</v>
      </c>
      <c r="M7" s="14" t="str">
        <f t="shared" ref="M7:P7" si="8">text(I7,"Rp #,##0")</f>
        <v>Rp 0</v>
      </c>
      <c r="N7" s="14" t="str">
        <f t="shared" si="8"/>
        <v>Rp 500.000</v>
      </c>
      <c r="O7" s="14" t="str">
        <f t="shared" si="8"/>
        <v>Rp 0</v>
      </c>
      <c r="P7" s="14" t="str">
        <f t="shared" si="8"/>
        <v>Rp 500.000</v>
      </c>
      <c r="Q7" s="14" t="str">
        <f t="shared" si="4"/>
        <v>Syahriyah = Rp 0
Jariyah = Rp 500.000
Daftar Ulang = Rp 0
Total = Rp 500.000
______________________
ID : 2024070487</v>
      </c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9">
        <f t="shared" si="2"/>
        <v>7</v>
      </c>
      <c r="B8" s="14" t="str">
        <f>IFERROR(__xludf.DUMMYFUNCTION("""COMPUTED_VALUE"""),"KHARISYAH NADYATUR ROHMAH")</f>
        <v>KHARISYAH NADYATUR ROHMAH</v>
      </c>
      <c r="C8" s="79">
        <f>IFERROR(__xludf.DUMMYFUNCTION("""COMPUTED_VALUE"""),2.024070635E9)</f>
        <v>2024070635</v>
      </c>
      <c r="D8" s="79" t="str">
        <f>IFERROR(__xludf.DUMMYFUNCTION("""COMPUTED_VALUE"""),"E")</f>
        <v>E</v>
      </c>
      <c r="E8" s="79" t="str">
        <f>IFERROR(__xludf.DUMMYFUNCTION("""COMPUTED_VALUE"""),"E-2")</f>
        <v>E-2</v>
      </c>
      <c r="F8" s="82">
        <f>IFERROR(__xludf.DUMMYFUNCTION("""COMPUTED_VALUE"""),3.0)</f>
        <v>3</v>
      </c>
      <c r="G8" s="79" t="str">
        <f>IFERROR(__xludf.DUMMYFUNCTION("""COMPUTED_VALUE"""),"3 ULA C PUTRI")</f>
        <v>3 ULA C PUTRI</v>
      </c>
      <c r="H8" s="14" t="str">
        <f>IFERROR(__xludf.DUMMYFUNCTION("""COMPUTED_VALUE"""),"6285649089570")</f>
        <v>6285649089570</v>
      </c>
      <c r="I8" s="83">
        <f>IFERROR(__xludf.DUMMYFUNCTION("""COMPUTED_VALUE"""),3000000.0)</f>
        <v>3000000</v>
      </c>
      <c r="J8" s="83">
        <f>IFERROR(__xludf.DUMMYFUNCTION("""COMPUTED_VALUE"""),0.0)</f>
        <v>0</v>
      </c>
      <c r="K8" s="83">
        <f>IFERROR(__xludf.DUMMYFUNCTION("""COMPUTED_VALUE"""),0.0)</f>
        <v>0</v>
      </c>
      <c r="L8" s="83">
        <f>IFERROR(__xludf.DUMMYFUNCTION("""COMPUTED_VALUE"""),3000000.0)</f>
        <v>3000000</v>
      </c>
      <c r="M8" s="14" t="str">
        <f t="shared" ref="M8:P8" si="9">text(I8,"Rp #,##0")</f>
        <v>Rp 3.000.000</v>
      </c>
      <c r="N8" s="14" t="str">
        <f t="shared" si="9"/>
        <v>Rp 0</v>
      </c>
      <c r="O8" s="14" t="str">
        <f t="shared" si="9"/>
        <v>Rp 0</v>
      </c>
      <c r="P8" s="14" t="str">
        <f t="shared" si="9"/>
        <v>Rp 3.000.000</v>
      </c>
      <c r="Q8" s="14" t="str">
        <f t="shared" si="4"/>
        <v>Syahriyah = Rp 3.000.000
Jariyah = Rp 0
Daftar Ulang = Rp 0
Total = Rp 3.000.000
______________________
ID : 2024070635</v>
      </c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9">
        <f t="shared" si="2"/>
        <v>8</v>
      </c>
      <c r="B9" s="14" t="str">
        <f>IFERROR(__xludf.DUMMYFUNCTION("""COMPUTED_VALUE"""),"KHULIATUL MILLAH ELVIANA")</f>
        <v>KHULIATUL MILLAH ELVIANA</v>
      </c>
      <c r="C9" s="79">
        <f>IFERROR(__xludf.DUMMYFUNCTION("""COMPUTED_VALUE"""),2.024070499E9)</f>
        <v>2024070499</v>
      </c>
      <c r="D9" s="79" t="str">
        <f>IFERROR(__xludf.DUMMYFUNCTION("""COMPUTED_VALUE"""),"E")</f>
        <v>E</v>
      </c>
      <c r="E9" s="79" t="str">
        <f>IFERROR(__xludf.DUMMYFUNCTION("""COMPUTED_VALUE"""),"E-2")</f>
        <v>E-2</v>
      </c>
      <c r="F9" s="82">
        <f>IFERROR(__xludf.DUMMYFUNCTION("""COMPUTED_VALUE"""),3.0)</f>
        <v>3</v>
      </c>
      <c r="G9" s="79" t="str">
        <f>IFERROR(__xludf.DUMMYFUNCTION("""COMPUTED_VALUE"""),"3 ULA C PUTRI")</f>
        <v>3 ULA C PUTRI</v>
      </c>
      <c r="H9" s="14" t="str">
        <f>IFERROR(__xludf.DUMMYFUNCTION("""COMPUTED_VALUE"""),"628523337011")</f>
        <v>628523337011</v>
      </c>
      <c r="I9" s="83">
        <f>IFERROR(__xludf.DUMMYFUNCTION("""COMPUTED_VALUE"""),0.0)</f>
        <v>0</v>
      </c>
      <c r="J9" s="83">
        <f>IFERROR(__xludf.DUMMYFUNCTION("""COMPUTED_VALUE"""),0.0)</f>
        <v>0</v>
      </c>
      <c r="K9" s="83">
        <f>IFERROR(__xludf.DUMMYFUNCTION("""COMPUTED_VALUE"""),0.0)</f>
        <v>0</v>
      </c>
      <c r="L9" s="83">
        <f>IFERROR(__xludf.DUMMYFUNCTION("""COMPUTED_VALUE"""),0.0)</f>
        <v>0</v>
      </c>
      <c r="M9" s="14" t="str">
        <f t="shared" ref="M9:P9" si="10">text(I9,"Rp #,##0")</f>
        <v>Rp 0</v>
      </c>
      <c r="N9" s="14" t="str">
        <f t="shared" si="10"/>
        <v>Rp 0</v>
      </c>
      <c r="O9" s="14" t="str">
        <f t="shared" si="10"/>
        <v>Rp 0</v>
      </c>
      <c r="P9" s="14" t="str">
        <f t="shared" si="10"/>
        <v>Rp 0</v>
      </c>
      <c r="Q9" s="14" t="str">
        <f t="shared" si="4"/>
        <v>Syahriyah = Rp 0
Jariyah = Rp 0
Daftar Ulang = Rp 0
Total = Rp 0
______________________
ID : 2024070499</v>
      </c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9">
        <f t="shared" si="2"/>
        <v>9</v>
      </c>
      <c r="B10" s="14" t="str">
        <f>IFERROR(__xludf.DUMMYFUNCTION("""COMPUTED_VALUE"""),"NIRMA LAILATUL AIDA")</f>
        <v>NIRMA LAILATUL AIDA</v>
      </c>
      <c r="C10" s="79">
        <f>IFERROR(__xludf.DUMMYFUNCTION("""COMPUTED_VALUE"""),2.024070541E9)</f>
        <v>2024070541</v>
      </c>
      <c r="D10" s="79" t="str">
        <f>IFERROR(__xludf.DUMMYFUNCTION("""COMPUTED_VALUE"""),"E")</f>
        <v>E</v>
      </c>
      <c r="E10" s="79" t="str">
        <f>IFERROR(__xludf.DUMMYFUNCTION("""COMPUTED_VALUE"""),"E-2")</f>
        <v>E-2</v>
      </c>
      <c r="F10" s="82">
        <f>IFERROR(__xludf.DUMMYFUNCTION("""COMPUTED_VALUE"""),3.0)</f>
        <v>3</v>
      </c>
      <c r="G10" s="79" t="str">
        <f>IFERROR(__xludf.DUMMYFUNCTION("""COMPUTED_VALUE"""),"3 ULA A PUTRI")</f>
        <v>3 ULA A PUTRI</v>
      </c>
      <c r="H10" s="14" t="str">
        <f>IFERROR(__xludf.DUMMYFUNCTION("""COMPUTED_VALUE"""),"6285855714013")</f>
        <v>6285855714013</v>
      </c>
      <c r="I10" s="83">
        <f>IFERROR(__xludf.DUMMYFUNCTION("""COMPUTED_VALUE"""),0.0)</f>
        <v>0</v>
      </c>
      <c r="J10" s="83">
        <f>IFERROR(__xludf.DUMMYFUNCTION("""COMPUTED_VALUE"""),1000000.0)</f>
        <v>1000000</v>
      </c>
      <c r="K10" s="83">
        <f>IFERROR(__xludf.DUMMYFUNCTION("""COMPUTED_VALUE"""),0.0)</f>
        <v>0</v>
      </c>
      <c r="L10" s="83">
        <f>IFERROR(__xludf.DUMMYFUNCTION("""COMPUTED_VALUE"""),1000000.0)</f>
        <v>1000000</v>
      </c>
      <c r="M10" s="14" t="str">
        <f t="shared" ref="M10:P10" si="11">text(I10,"Rp #,##0")</f>
        <v>Rp 0</v>
      </c>
      <c r="N10" s="14" t="str">
        <f t="shared" si="11"/>
        <v>Rp 1.000.000</v>
      </c>
      <c r="O10" s="14" t="str">
        <f t="shared" si="11"/>
        <v>Rp 0</v>
      </c>
      <c r="P10" s="14" t="str">
        <f t="shared" si="11"/>
        <v>Rp 1.000.000</v>
      </c>
      <c r="Q10" s="14" t="str">
        <f t="shared" si="4"/>
        <v>Syahriyah = Rp 0
Jariyah = Rp 1.000.000
Daftar Ulang = Rp 0
Total = Rp 1.000.000
______________________
ID : 2024070541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9">
        <f t="shared" si="2"/>
        <v>10</v>
      </c>
      <c r="B11" s="14" t="str">
        <f>IFERROR(__xludf.DUMMYFUNCTION("""COMPUTED_VALUE"""),"NUR AWWALIN AFIDATUSSOFA")</f>
        <v>NUR AWWALIN AFIDATUSSOFA</v>
      </c>
      <c r="C11" s="79">
        <f>IFERROR(__xludf.DUMMYFUNCTION("""COMPUTED_VALUE"""),2.024070518E9)</f>
        <v>2024070518</v>
      </c>
      <c r="D11" s="79" t="str">
        <f>IFERROR(__xludf.DUMMYFUNCTION("""COMPUTED_VALUE"""),"E")</f>
        <v>E</v>
      </c>
      <c r="E11" s="79" t="str">
        <f>IFERROR(__xludf.DUMMYFUNCTION("""COMPUTED_VALUE"""),"E-2")</f>
        <v>E-2</v>
      </c>
      <c r="F11" s="82">
        <f>IFERROR(__xludf.DUMMYFUNCTION("""COMPUTED_VALUE"""),3.0)</f>
        <v>3</v>
      </c>
      <c r="G11" s="79" t="str">
        <f>IFERROR(__xludf.DUMMYFUNCTION("""COMPUTED_VALUE"""),"3 ULA B PUTRI")</f>
        <v>3 ULA B PUTRI</v>
      </c>
      <c r="H11" s="14" t="str">
        <f>IFERROR(__xludf.DUMMYFUNCTION("""COMPUTED_VALUE"""),"6285746646918")</f>
        <v>6285746646918</v>
      </c>
      <c r="I11" s="83">
        <f>IFERROR(__xludf.DUMMYFUNCTION("""COMPUTED_VALUE"""),0.0)</f>
        <v>0</v>
      </c>
      <c r="J11" s="83">
        <f>IFERROR(__xludf.DUMMYFUNCTION("""COMPUTED_VALUE"""),500000.0)</f>
        <v>500000</v>
      </c>
      <c r="K11" s="83">
        <f>IFERROR(__xludf.DUMMYFUNCTION("""COMPUTED_VALUE"""),0.0)</f>
        <v>0</v>
      </c>
      <c r="L11" s="83">
        <f>IFERROR(__xludf.DUMMYFUNCTION("""COMPUTED_VALUE"""),500000.0)</f>
        <v>500000</v>
      </c>
      <c r="M11" s="14" t="str">
        <f t="shared" ref="M11:P11" si="12">text(I11,"Rp #,##0")</f>
        <v>Rp 0</v>
      </c>
      <c r="N11" s="14" t="str">
        <f t="shared" si="12"/>
        <v>Rp 500.000</v>
      </c>
      <c r="O11" s="14" t="str">
        <f t="shared" si="12"/>
        <v>Rp 0</v>
      </c>
      <c r="P11" s="14" t="str">
        <f t="shared" si="12"/>
        <v>Rp 500.000</v>
      </c>
      <c r="Q11" s="14" t="str">
        <f t="shared" si="4"/>
        <v>Syahriyah = Rp 0
Jariyah = Rp 500.000
Daftar Ulang = Rp 0
Total = Rp 500.000
______________________
ID : 2024070518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9">
        <f t="shared" si="2"/>
        <v>11</v>
      </c>
      <c r="B12" s="14" t="str">
        <f>IFERROR(__xludf.DUMMYFUNCTION("""COMPUTED_VALUE"""),"NUR FAZA KAMILA")</f>
        <v>NUR FAZA KAMILA</v>
      </c>
      <c r="C12" s="79">
        <f>IFERROR(__xludf.DUMMYFUNCTION("""COMPUTED_VALUE"""),2.024070467E9)</f>
        <v>2024070467</v>
      </c>
      <c r="D12" s="79" t="str">
        <f>IFERROR(__xludf.DUMMYFUNCTION("""COMPUTED_VALUE"""),"E")</f>
        <v>E</v>
      </c>
      <c r="E12" s="79" t="str">
        <f>IFERROR(__xludf.DUMMYFUNCTION("""COMPUTED_VALUE"""),"E-2")</f>
        <v>E-2</v>
      </c>
      <c r="F12" s="82">
        <f>IFERROR(__xludf.DUMMYFUNCTION("""COMPUTED_VALUE"""),3.0)</f>
        <v>3</v>
      </c>
      <c r="G12" s="79" t="str">
        <f>IFERROR(__xludf.DUMMYFUNCTION("""COMPUTED_VALUE"""),"3 ULA C PUTRI")</f>
        <v>3 ULA C PUTRI</v>
      </c>
      <c r="H12" s="14" t="str">
        <f>IFERROR(__xludf.DUMMYFUNCTION("""COMPUTED_VALUE"""),"6285855700260")</f>
        <v>6285855700260</v>
      </c>
      <c r="I12" s="83">
        <f>IFERROR(__xludf.DUMMYFUNCTION("""COMPUTED_VALUE"""),500000.0)</f>
        <v>500000</v>
      </c>
      <c r="J12" s="83">
        <f>IFERROR(__xludf.DUMMYFUNCTION("""COMPUTED_VALUE"""),1000000.0)</f>
        <v>1000000</v>
      </c>
      <c r="K12" s="83">
        <f>IFERROR(__xludf.DUMMYFUNCTION("""COMPUTED_VALUE"""),0.0)</f>
        <v>0</v>
      </c>
      <c r="L12" s="83">
        <f>IFERROR(__xludf.DUMMYFUNCTION("""COMPUTED_VALUE"""),1500000.0)</f>
        <v>1500000</v>
      </c>
      <c r="M12" s="14" t="str">
        <f t="shared" ref="M12:P12" si="13">text(I12,"Rp #,##0")</f>
        <v>Rp 500.000</v>
      </c>
      <c r="N12" s="14" t="str">
        <f t="shared" si="13"/>
        <v>Rp 1.000.000</v>
      </c>
      <c r="O12" s="14" t="str">
        <f t="shared" si="13"/>
        <v>Rp 0</v>
      </c>
      <c r="P12" s="14" t="str">
        <f t="shared" si="13"/>
        <v>Rp 1.500.000</v>
      </c>
      <c r="Q12" s="14" t="str">
        <f t="shared" si="4"/>
        <v>Syahriyah = Rp 500.000
Jariyah = Rp 1.000.000
Daftar Ulang = Rp 0
Total = Rp 1.500.000
______________________
ID : 2024070467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9">
        <f t="shared" si="2"/>
        <v>12</v>
      </c>
      <c r="B13" s="14" t="str">
        <f>IFERROR(__xludf.DUMMYFUNCTION("""COMPUTED_VALUE"""),"USWAH EL FAHRUSAZZAM ZAMI")</f>
        <v>USWAH EL FAHRUSAZZAM ZAMI</v>
      </c>
      <c r="C13" s="79">
        <f>IFERROR(__xludf.DUMMYFUNCTION("""COMPUTED_VALUE"""),2.024070574E9)</f>
        <v>2024070574</v>
      </c>
      <c r="D13" s="79" t="str">
        <f>IFERROR(__xludf.DUMMYFUNCTION("""COMPUTED_VALUE"""),"E")</f>
        <v>E</v>
      </c>
      <c r="E13" s="79" t="str">
        <f>IFERROR(__xludf.DUMMYFUNCTION("""COMPUTED_VALUE"""),"E-2")</f>
        <v>E-2</v>
      </c>
      <c r="F13" s="82">
        <f>IFERROR(__xludf.DUMMYFUNCTION("""COMPUTED_VALUE"""),3.0)</f>
        <v>3</v>
      </c>
      <c r="G13" s="79" t="str">
        <f>IFERROR(__xludf.DUMMYFUNCTION("""COMPUTED_VALUE"""),"3 ULA C PUTRI")</f>
        <v>3 ULA C PUTRI</v>
      </c>
      <c r="H13" s="14" t="str">
        <f>IFERROR(__xludf.DUMMYFUNCTION("""COMPUTED_VALUE"""),"6285854674616")</f>
        <v>6285854674616</v>
      </c>
      <c r="I13" s="83">
        <f>IFERROR(__xludf.DUMMYFUNCTION("""COMPUTED_VALUE"""),3500000.0)</f>
        <v>3500000</v>
      </c>
      <c r="J13" s="83">
        <f>IFERROR(__xludf.DUMMYFUNCTION("""COMPUTED_VALUE"""),1000000.0)</f>
        <v>1000000</v>
      </c>
      <c r="K13" s="83">
        <f>IFERROR(__xludf.DUMMYFUNCTION("""COMPUTED_VALUE"""),350000.0)</f>
        <v>350000</v>
      </c>
      <c r="L13" s="83">
        <f>IFERROR(__xludf.DUMMYFUNCTION("""COMPUTED_VALUE"""),4850000.0)</f>
        <v>4850000</v>
      </c>
      <c r="M13" s="14" t="str">
        <f t="shared" ref="M13:P13" si="14">text(I13,"Rp #,##0")</f>
        <v>Rp 3.500.000</v>
      </c>
      <c r="N13" s="14" t="str">
        <f t="shared" si="14"/>
        <v>Rp 1.000.000</v>
      </c>
      <c r="O13" s="14" t="str">
        <f t="shared" si="14"/>
        <v>Rp 350.000</v>
      </c>
      <c r="P13" s="14" t="str">
        <f t="shared" si="14"/>
        <v>Rp 4.850.000</v>
      </c>
      <c r="Q13" s="14" t="str">
        <f t="shared" si="4"/>
        <v>Syahriyah = Rp 3.500.000
Jariyah = Rp 1.000.000
Daftar Ulang = Rp 350.000
Total = Rp 4.850.000
______________________
ID : 2024070574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9">
        <f t="shared" si="2"/>
        <v>13</v>
      </c>
      <c r="B14" s="14" t="str">
        <f>IFERROR(__xludf.DUMMYFUNCTION("""COMPUTED_VALUE"""),"ZAHROTUS TSANI NAJWA")</f>
        <v>ZAHROTUS TSANI NAJWA</v>
      </c>
      <c r="C14" s="79">
        <f>IFERROR(__xludf.DUMMYFUNCTION("""COMPUTED_VALUE"""),2.024070657E9)</f>
        <v>2024070657</v>
      </c>
      <c r="D14" s="79" t="str">
        <f>IFERROR(__xludf.DUMMYFUNCTION("""COMPUTED_VALUE"""),"E")</f>
        <v>E</v>
      </c>
      <c r="E14" s="79" t="str">
        <f>IFERROR(__xludf.DUMMYFUNCTION("""COMPUTED_VALUE"""),"E-2")</f>
        <v>E-2</v>
      </c>
      <c r="F14" s="82">
        <f>IFERROR(__xludf.DUMMYFUNCTION("""COMPUTED_VALUE"""),3.0)</f>
        <v>3</v>
      </c>
      <c r="G14" s="79" t="str">
        <f>IFERROR(__xludf.DUMMYFUNCTION("""COMPUTED_VALUE"""),"3 ULA A PUTRI")</f>
        <v>3 ULA A PUTRI</v>
      </c>
      <c r="H14" s="14" t="str">
        <f>IFERROR(__xludf.DUMMYFUNCTION("""COMPUTED_VALUE"""),"6285707549890")</f>
        <v>6285707549890</v>
      </c>
      <c r="I14" s="83">
        <f>IFERROR(__xludf.DUMMYFUNCTION("""COMPUTED_VALUE"""),500000.0)</f>
        <v>500000</v>
      </c>
      <c r="J14" s="83">
        <f>IFERROR(__xludf.DUMMYFUNCTION("""COMPUTED_VALUE"""),1000000.0)</f>
        <v>1000000</v>
      </c>
      <c r="K14" s="83">
        <f>IFERROR(__xludf.DUMMYFUNCTION("""COMPUTED_VALUE"""),0.0)</f>
        <v>0</v>
      </c>
      <c r="L14" s="83">
        <f>IFERROR(__xludf.DUMMYFUNCTION("""COMPUTED_VALUE"""),1500000.0)</f>
        <v>1500000</v>
      </c>
      <c r="M14" s="14" t="str">
        <f t="shared" ref="M14:P14" si="15">text(I14,"Rp #,##0")</f>
        <v>Rp 500.000</v>
      </c>
      <c r="N14" s="14" t="str">
        <f t="shared" si="15"/>
        <v>Rp 1.000.000</v>
      </c>
      <c r="O14" s="14" t="str">
        <f t="shared" si="15"/>
        <v>Rp 0</v>
      </c>
      <c r="P14" s="14" t="str">
        <f t="shared" si="15"/>
        <v>Rp 1.500.000</v>
      </c>
      <c r="Q14" s="14" t="str">
        <f t="shared" si="4"/>
        <v>Syahriyah = Rp 500.000
Jariyah = Rp 1.000.000
Daftar Ulang = Rp 0
Total = Rp 1.500.000
______________________
ID : 2024070657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9">
        <f t="shared" si="2"/>
        <v>14</v>
      </c>
      <c r="B15" s="14" t="str">
        <f>IFERROR(__xludf.DUMMYFUNCTION("""COMPUTED_VALUE"""),"FANY MUFIDAH SARI")</f>
        <v>FANY MUFIDAH SARI</v>
      </c>
      <c r="C15" s="79">
        <f>IFERROR(__xludf.DUMMYFUNCTION("""COMPUTED_VALUE"""),2.024070329E9)</f>
        <v>2024070329</v>
      </c>
      <c r="D15" s="79" t="str">
        <f>IFERROR(__xludf.DUMMYFUNCTION("""COMPUTED_VALUE"""),"E")</f>
        <v>E</v>
      </c>
      <c r="E15" s="79" t="str">
        <f>IFERROR(__xludf.DUMMYFUNCTION("""COMPUTED_VALUE"""),"E-2")</f>
        <v>E-2</v>
      </c>
      <c r="F15" s="82">
        <f>IFERROR(__xludf.DUMMYFUNCTION("""COMPUTED_VALUE"""),3.0)</f>
        <v>3</v>
      </c>
      <c r="G15" s="79" t="str">
        <f>IFERROR(__xludf.DUMMYFUNCTION("""COMPUTED_VALUE"""),"3 WUSTHO A PUTRI")</f>
        <v>3 WUSTHO A PUTRI</v>
      </c>
      <c r="H15" s="14" t="str">
        <f>IFERROR(__xludf.DUMMYFUNCTION("""COMPUTED_VALUE"""),"6285731554886")</f>
        <v>6285731554886</v>
      </c>
      <c r="I15" s="83">
        <f>IFERROR(__xludf.DUMMYFUNCTION("""COMPUTED_VALUE"""),500000.0)</f>
        <v>500000</v>
      </c>
      <c r="J15" s="83">
        <f>IFERROR(__xludf.DUMMYFUNCTION("""COMPUTED_VALUE"""),1000000.0)</f>
        <v>1000000</v>
      </c>
      <c r="K15" s="83">
        <f>IFERROR(__xludf.DUMMYFUNCTION("""COMPUTED_VALUE"""),0.0)</f>
        <v>0</v>
      </c>
      <c r="L15" s="83">
        <f>IFERROR(__xludf.DUMMYFUNCTION("""COMPUTED_VALUE"""),1500000.0)</f>
        <v>1500000</v>
      </c>
      <c r="M15" s="14" t="str">
        <f t="shared" ref="M15:P15" si="16">text(I15,"Rp #,##0")</f>
        <v>Rp 500.000</v>
      </c>
      <c r="N15" s="14" t="str">
        <f t="shared" si="16"/>
        <v>Rp 1.000.000</v>
      </c>
      <c r="O15" s="14" t="str">
        <f t="shared" si="16"/>
        <v>Rp 0</v>
      </c>
      <c r="P15" s="14" t="str">
        <f t="shared" si="16"/>
        <v>Rp 1.500.000</v>
      </c>
      <c r="Q15" s="14" t="str">
        <f t="shared" si="4"/>
        <v>Syahriyah = Rp 500.000
Jariyah = Rp 1.000.000
Daftar Ulang = Rp 0
Total = Rp 1.500.000
______________________
ID : 2024070329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9">
        <f t="shared" si="2"/>
        <v>15</v>
      </c>
      <c r="B16" s="14" t="str">
        <f>IFERROR(__xludf.DUMMYFUNCTION("""COMPUTED_VALUE"""),"FATIMAH")</f>
        <v>FATIMAH</v>
      </c>
      <c r="C16" s="79">
        <f>IFERROR(__xludf.DUMMYFUNCTION("""COMPUTED_VALUE"""),2.024070044E9)</f>
        <v>2024070044</v>
      </c>
      <c r="D16" s="79" t="str">
        <f>IFERROR(__xludf.DUMMYFUNCTION("""COMPUTED_VALUE"""),"E")</f>
        <v>E</v>
      </c>
      <c r="E16" s="79" t="str">
        <f>IFERROR(__xludf.DUMMYFUNCTION("""COMPUTED_VALUE"""),"E-2")</f>
        <v>E-2</v>
      </c>
      <c r="F16" s="82">
        <f>IFERROR(__xludf.DUMMYFUNCTION("""COMPUTED_VALUE"""),3.0)</f>
        <v>3</v>
      </c>
      <c r="G16" s="79" t="str">
        <f>IFERROR(__xludf.DUMMYFUNCTION("""COMPUTED_VALUE"""),"3 WUSTHO A PUTRI")</f>
        <v>3 WUSTHO A PUTRI</v>
      </c>
      <c r="H16" s="14" t="str">
        <f>IFERROR(__xludf.DUMMYFUNCTION("""COMPUTED_VALUE"""),"6289501850865")</f>
        <v>6289501850865</v>
      </c>
      <c r="I16" s="83">
        <f>IFERROR(__xludf.DUMMYFUNCTION("""COMPUTED_VALUE"""),6210000.0)</f>
        <v>6210000</v>
      </c>
      <c r="J16" s="83">
        <f>IFERROR(__xludf.DUMMYFUNCTION("""COMPUTED_VALUE"""),0.0)</f>
        <v>0</v>
      </c>
      <c r="K16" s="83">
        <f>IFERROR(__xludf.DUMMYFUNCTION("""COMPUTED_VALUE"""),350000.0)</f>
        <v>350000</v>
      </c>
      <c r="L16" s="83">
        <f>IFERROR(__xludf.DUMMYFUNCTION("""COMPUTED_VALUE"""),6560000.0)</f>
        <v>6560000</v>
      </c>
      <c r="M16" s="14" t="str">
        <f t="shared" ref="M16:P16" si="17">text(I16,"Rp #,##0")</f>
        <v>Rp 6.210.000</v>
      </c>
      <c r="N16" s="14" t="str">
        <f t="shared" si="17"/>
        <v>Rp 0</v>
      </c>
      <c r="O16" s="14" t="str">
        <f t="shared" si="17"/>
        <v>Rp 350.000</v>
      </c>
      <c r="P16" s="14" t="str">
        <f t="shared" si="17"/>
        <v>Rp 6.560.000</v>
      </c>
      <c r="Q16" s="14" t="str">
        <f t="shared" si="4"/>
        <v>Syahriyah = Rp 6.210.000
Jariyah = Rp 0
Daftar Ulang = Rp 350.000
Total = Rp 6.560.000
______________________
ID : 2024070044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9">
        <f t="shared" si="2"/>
        <v>16</v>
      </c>
      <c r="B17" s="14" t="str">
        <f>IFERROR(__xludf.DUMMYFUNCTION("""COMPUTED_VALUE"""),"ATINA AZKAL FUADAH")</f>
        <v>ATINA AZKAL FUADAH</v>
      </c>
      <c r="C17" s="79">
        <f>IFERROR(__xludf.DUMMYFUNCTION("""COMPUTED_VALUE"""),2.024070474E9)</f>
        <v>2024070474</v>
      </c>
      <c r="D17" s="79" t="str">
        <f>IFERROR(__xludf.DUMMYFUNCTION("""COMPUTED_VALUE"""),"E")</f>
        <v>E</v>
      </c>
      <c r="E17" s="79" t="str">
        <f>IFERROR(__xludf.DUMMYFUNCTION("""COMPUTED_VALUE"""),"E-3")</f>
        <v>E-3</v>
      </c>
      <c r="F17" s="82">
        <f>IFERROR(__xludf.DUMMYFUNCTION("""COMPUTED_VALUE"""),3.0)</f>
        <v>3</v>
      </c>
      <c r="G17" s="79" t="str">
        <f>IFERROR(__xludf.DUMMYFUNCTION("""COMPUTED_VALUE"""),"3 ULA B PUTRI")</f>
        <v>3 ULA B PUTRI</v>
      </c>
      <c r="H17" s="14" t="str">
        <f>IFERROR(__xludf.DUMMYFUNCTION("""COMPUTED_VALUE"""),"6281554492983")</f>
        <v>6281554492983</v>
      </c>
      <c r="I17" s="83">
        <f>IFERROR(__xludf.DUMMYFUNCTION("""COMPUTED_VALUE"""),500000.0)</f>
        <v>500000</v>
      </c>
      <c r="J17" s="83">
        <f>IFERROR(__xludf.DUMMYFUNCTION("""COMPUTED_VALUE"""),0.0)</f>
        <v>0</v>
      </c>
      <c r="K17" s="83">
        <f>IFERROR(__xludf.DUMMYFUNCTION("""COMPUTED_VALUE"""),0.0)</f>
        <v>0</v>
      </c>
      <c r="L17" s="83">
        <f>IFERROR(__xludf.DUMMYFUNCTION("""COMPUTED_VALUE"""),500000.0)</f>
        <v>500000</v>
      </c>
      <c r="M17" s="14" t="str">
        <f t="shared" ref="M17:P17" si="18">text(I17,"Rp #,##0")</f>
        <v>Rp 500.000</v>
      </c>
      <c r="N17" s="14" t="str">
        <f t="shared" si="18"/>
        <v>Rp 0</v>
      </c>
      <c r="O17" s="14" t="str">
        <f t="shared" si="18"/>
        <v>Rp 0</v>
      </c>
      <c r="P17" s="14" t="str">
        <f t="shared" si="18"/>
        <v>Rp 500.000</v>
      </c>
      <c r="Q17" s="14" t="str">
        <f t="shared" si="4"/>
        <v>Syahriyah = Rp 500.000
Jariyah = Rp 0
Daftar Ulang = Rp 0
Total = Rp 500.000
______________________
ID : 2024070474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9">
        <f t="shared" si="2"/>
        <v>17</v>
      </c>
      <c r="B18" s="14" t="str">
        <f>IFERROR(__xludf.DUMMYFUNCTION("""COMPUTED_VALUE"""),"ERIN MAULIDIAH")</f>
        <v>ERIN MAULIDIAH</v>
      </c>
      <c r="C18" s="79">
        <f>IFERROR(__xludf.DUMMYFUNCTION("""COMPUTED_VALUE"""),2.024070475E9)</f>
        <v>2024070475</v>
      </c>
      <c r="D18" s="79" t="str">
        <f>IFERROR(__xludf.DUMMYFUNCTION("""COMPUTED_VALUE"""),"E")</f>
        <v>E</v>
      </c>
      <c r="E18" s="79" t="str">
        <f>IFERROR(__xludf.DUMMYFUNCTION("""COMPUTED_VALUE"""),"E-3")</f>
        <v>E-3</v>
      </c>
      <c r="F18" s="82">
        <f>IFERROR(__xludf.DUMMYFUNCTION("""COMPUTED_VALUE"""),3.0)</f>
        <v>3</v>
      </c>
      <c r="G18" s="79" t="str">
        <f>IFERROR(__xludf.DUMMYFUNCTION("""COMPUTED_VALUE"""),"3 ULA B PUTRI")</f>
        <v>3 ULA B PUTRI</v>
      </c>
      <c r="H18" s="14" t="str">
        <f>IFERROR(__xludf.DUMMYFUNCTION("""COMPUTED_VALUE"""),"6282233810314")</f>
        <v>6282233810314</v>
      </c>
      <c r="I18" s="83">
        <f>IFERROR(__xludf.DUMMYFUNCTION("""COMPUTED_VALUE"""),0.0)</f>
        <v>0</v>
      </c>
      <c r="J18" s="83">
        <f>IFERROR(__xludf.DUMMYFUNCTION("""COMPUTED_VALUE"""),500000.0)</f>
        <v>500000</v>
      </c>
      <c r="K18" s="83">
        <f>IFERROR(__xludf.DUMMYFUNCTION("""COMPUTED_VALUE"""),0.0)</f>
        <v>0</v>
      </c>
      <c r="L18" s="83">
        <f>IFERROR(__xludf.DUMMYFUNCTION("""COMPUTED_VALUE"""),500000.0)</f>
        <v>500000</v>
      </c>
      <c r="M18" s="14" t="str">
        <f t="shared" ref="M18:P18" si="19">text(I18,"Rp #,##0")</f>
        <v>Rp 0</v>
      </c>
      <c r="N18" s="14" t="str">
        <f t="shared" si="19"/>
        <v>Rp 500.000</v>
      </c>
      <c r="O18" s="14" t="str">
        <f t="shared" si="19"/>
        <v>Rp 0</v>
      </c>
      <c r="P18" s="14" t="str">
        <f t="shared" si="19"/>
        <v>Rp 500.000</v>
      </c>
      <c r="Q18" s="14" t="str">
        <f t="shared" si="4"/>
        <v>Syahriyah = Rp 0
Jariyah = Rp 500.000
Daftar Ulang = Rp 0
Total = Rp 500.000
______________________
ID : 2024070475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9">
        <f t="shared" si="2"/>
        <v>18</v>
      </c>
      <c r="B19" s="14" t="str">
        <f>IFERROR(__xludf.DUMMYFUNCTION("""COMPUTED_VALUE"""),"FITHRIYATUL MAULIDAH")</f>
        <v>FITHRIYATUL MAULIDAH</v>
      </c>
      <c r="C19" s="79">
        <f>IFERROR(__xludf.DUMMYFUNCTION("""COMPUTED_VALUE"""),2.024070546E9)</f>
        <v>2024070546</v>
      </c>
      <c r="D19" s="79" t="str">
        <f>IFERROR(__xludf.DUMMYFUNCTION("""COMPUTED_VALUE"""),"E")</f>
        <v>E</v>
      </c>
      <c r="E19" s="79" t="str">
        <f>IFERROR(__xludf.DUMMYFUNCTION("""COMPUTED_VALUE"""),"E-3")</f>
        <v>E-3</v>
      </c>
      <c r="F19" s="82">
        <f>IFERROR(__xludf.DUMMYFUNCTION("""COMPUTED_VALUE"""),3.0)</f>
        <v>3</v>
      </c>
      <c r="G19" s="79" t="str">
        <f>IFERROR(__xludf.DUMMYFUNCTION("""COMPUTED_VALUE"""),"3 ULA B PUTRI")</f>
        <v>3 ULA B PUTRI</v>
      </c>
      <c r="H19" s="14" t="str">
        <f>IFERROR(__xludf.DUMMYFUNCTION("""COMPUTED_VALUE"""),"6282257167881")</f>
        <v>6282257167881</v>
      </c>
      <c r="I19" s="83">
        <f>IFERROR(__xludf.DUMMYFUNCTION("""COMPUTED_VALUE"""),0.0)</f>
        <v>0</v>
      </c>
      <c r="J19" s="83">
        <f>IFERROR(__xludf.DUMMYFUNCTION("""COMPUTED_VALUE"""),0.0)</f>
        <v>0</v>
      </c>
      <c r="K19" s="83">
        <f>IFERROR(__xludf.DUMMYFUNCTION("""COMPUTED_VALUE"""),0.0)</f>
        <v>0</v>
      </c>
      <c r="L19" s="83">
        <f>IFERROR(__xludf.DUMMYFUNCTION("""COMPUTED_VALUE"""),0.0)</f>
        <v>0</v>
      </c>
      <c r="M19" s="14" t="str">
        <f t="shared" ref="M19:P19" si="20">text(I19,"Rp #,##0")</f>
        <v>Rp 0</v>
      </c>
      <c r="N19" s="14" t="str">
        <f t="shared" si="20"/>
        <v>Rp 0</v>
      </c>
      <c r="O19" s="14" t="str">
        <f t="shared" si="20"/>
        <v>Rp 0</v>
      </c>
      <c r="P19" s="14" t="str">
        <f t="shared" si="20"/>
        <v>Rp 0</v>
      </c>
      <c r="Q19" s="14" t="str">
        <f t="shared" si="4"/>
        <v>Syahriyah = Rp 0
Jariyah = Rp 0
Daftar Ulang = Rp 0
Total = Rp 0
______________________
ID : 2024070546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9">
        <f t="shared" si="2"/>
        <v>19</v>
      </c>
      <c r="B20" s="14" t="str">
        <f>IFERROR(__xludf.DUMMYFUNCTION("""COMPUTED_VALUE"""),"HABIBAH AQILAH RAMADHONI")</f>
        <v>HABIBAH AQILAH RAMADHONI</v>
      </c>
      <c r="C20" s="79">
        <f>IFERROR(__xludf.DUMMYFUNCTION("""COMPUTED_VALUE"""),2.024070459E9)</f>
        <v>2024070459</v>
      </c>
      <c r="D20" s="79" t="str">
        <f>IFERROR(__xludf.DUMMYFUNCTION("""COMPUTED_VALUE"""),"E")</f>
        <v>E</v>
      </c>
      <c r="E20" s="79" t="str">
        <f>IFERROR(__xludf.DUMMYFUNCTION("""COMPUTED_VALUE"""),"E-3")</f>
        <v>E-3</v>
      </c>
      <c r="F20" s="82">
        <f>IFERROR(__xludf.DUMMYFUNCTION("""COMPUTED_VALUE"""),3.0)</f>
        <v>3</v>
      </c>
      <c r="G20" s="79" t="str">
        <f>IFERROR(__xludf.DUMMYFUNCTION("""COMPUTED_VALUE"""),"3 ULA C PUTRI")</f>
        <v>3 ULA C PUTRI</v>
      </c>
      <c r="H20" s="14" t="str">
        <f>IFERROR(__xludf.DUMMYFUNCTION("""COMPUTED_VALUE"""),"6285732806511")</f>
        <v>6285732806511</v>
      </c>
      <c r="I20" s="83">
        <f>IFERROR(__xludf.DUMMYFUNCTION("""COMPUTED_VALUE"""),0.0)</f>
        <v>0</v>
      </c>
      <c r="J20" s="83">
        <f>IFERROR(__xludf.DUMMYFUNCTION("""COMPUTED_VALUE"""),0.0)</f>
        <v>0</v>
      </c>
      <c r="K20" s="83">
        <f>IFERROR(__xludf.DUMMYFUNCTION("""COMPUTED_VALUE"""),0.0)</f>
        <v>0</v>
      </c>
      <c r="L20" s="83">
        <f>IFERROR(__xludf.DUMMYFUNCTION("""COMPUTED_VALUE"""),0.0)</f>
        <v>0</v>
      </c>
      <c r="M20" s="14" t="str">
        <f t="shared" ref="M20:P20" si="21">text(I20,"Rp #,##0")</f>
        <v>Rp 0</v>
      </c>
      <c r="N20" s="14" t="str">
        <f t="shared" si="21"/>
        <v>Rp 0</v>
      </c>
      <c r="O20" s="14" t="str">
        <f t="shared" si="21"/>
        <v>Rp 0</v>
      </c>
      <c r="P20" s="14" t="str">
        <f t="shared" si="21"/>
        <v>Rp 0</v>
      </c>
      <c r="Q20" s="14" t="str">
        <f t="shared" si="4"/>
        <v>Syahriyah = Rp 0
Jariyah = Rp 0
Daftar Ulang = Rp 0
Total = Rp 0
______________________
ID : 2024070459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9">
        <f t="shared" si="2"/>
        <v>20</v>
      </c>
      <c r="B21" s="14" t="str">
        <f>IFERROR(__xludf.DUMMYFUNCTION("""COMPUTED_VALUE"""),"ILHAFAH ARYA NOVRYANI")</f>
        <v>ILHAFAH ARYA NOVRYANI</v>
      </c>
      <c r="C21" s="79">
        <f>IFERROR(__xludf.DUMMYFUNCTION("""COMPUTED_VALUE"""),2.024070617E9)</f>
        <v>2024070617</v>
      </c>
      <c r="D21" s="79" t="str">
        <f>IFERROR(__xludf.DUMMYFUNCTION("""COMPUTED_VALUE"""),"E")</f>
        <v>E</v>
      </c>
      <c r="E21" s="79" t="str">
        <f>IFERROR(__xludf.DUMMYFUNCTION("""COMPUTED_VALUE"""),"E-3")</f>
        <v>E-3</v>
      </c>
      <c r="F21" s="82">
        <f>IFERROR(__xludf.DUMMYFUNCTION("""COMPUTED_VALUE"""),3.0)</f>
        <v>3</v>
      </c>
      <c r="G21" s="79" t="str">
        <f>IFERROR(__xludf.DUMMYFUNCTION("""COMPUTED_VALUE"""),"3 ULA B PUTRI")</f>
        <v>3 ULA B PUTRI</v>
      </c>
      <c r="H21" s="14" t="str">
        <f>IFERROR(__xludf.DUMMYFUNCTION("""COMPUTED_VALUE"""),"6285735467317")</f>
        <v>6285735467317</v>
      </c>
      <c r="I21" s="83">
        <f>IFERROR(__xludf.DUMMYFUNCTION("""COMPUTED_VALUE"""),1500000.0)</f>
        <v>1500000</v>
      </c>
      <c r="J21" s="83">
        <f>IFERROR(__xludf.DUMMYFUNCTION("""COMPUTED_VALUE"""),1000000.0)</f>
        <v>1000000</v>
      </c>
      <c r="K21" s="83">
        <f>IFERROR(__xludf.DUMMYFUNCTION("""COMPUTED_VALUE"""),0.0)</f>
        <v>0</v>
      </c>
      <c r="L21" s="83">
        <f>IFERROR(__xludf.DUMMYFUNCTION("""COMPUTED_VALUE"""),2500000.0)</f>
        <v>2500000</v>
      </c>
      <c r="M21" s="14" t="str">
        <f t="shared" ref="M21:P21" si="22">text(I21,"Rp #,##0")</f>
        <v>Rp 1.500.000</v>
      </c>
      <c r="N21" s="14" t="str">
        <f t="shared" si="22"/>
        <v>Rp 1.000.000</v>
      </c>
      <c r="O21" s="14" t="str">
        <f t="shared" si="22"/>
        <v>Rp 0</v>
      </c>
      <c r="P21" s="14" t="str">
        <f t="shared" si="22"/>
        <v>Rp 2.500.000</v>
      </c>
      <c r="Q21" s="14" t="str">
        <f t="shared" si="4"/>
        <v>Syahriyah = Rp 1.500.000
Jariyah = Rp 1.000.000
Daftar Ulang = Rp 0
Total = Rp 2.500.000
______________________
ID : 2024070617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9">
        <f t="shared" si="2"/>
        <v>21</v>
      </c>
      <c r="B22" s="14" t="str">
        <f>IFERROR(__xludf.DUMMYFUNCTION("""COMPUTED_VALUE"""),"KEYSHA BRILLYAN FEBIANA")</f>
        <v>KEYSHA BRILLYAN FEBIANA</v>
      </c>
      <c r="C22" s="79">
        <f>IFERROR(__xludf.DUMMYFUNCTION("""COMPUTED_VALUE"""),2.024070513E9)</f>
        <v>2024070513</v>
      </c>
      <c r="D22" s="79" t="str">
        <f>IFERROR(__xludf.DUMMYFUNCTION("""COMPUTED_VALUE"""),"E")</f>
        <v>E</v>
      </c>
      <c r="E22" s="79" t="str">
        <f>IFERROR(__xludf.DUMMYFUNCTION("""COMPUTED_VALUE"""),"E-3")</f>
        <v>E-3</v>
      </c>
      <c r="F22" s="82">
        <f>IFERROR(__xludf.DUMMYFUNCTION("""COMPUTED_VALUE"""),3.0)</f>
        <v>3</v>
      </c>
      <c r="G22" s="79" t="str">
        <f>IFERROR(__xludf.DUMMYFUNCTION("""COMPUTED_VALUE"""),"3 ULA C PUTRI")</f>
        <v>3 ULA C PUTRI</v>
      </c>
      <c r="H22" s="14" t="str">
        <f>IFERROR(__xludf.DUMMYFUNCTION("""COMPUTED_VALUE"""),"628564039966")</f>
        <v>628564039966</v>
      </c>
      <c r="I22" s="83">
        <f>IFERROR(__xludf.DUMMYFUNCTION("""COMPUTED_VALUE"""),0.0)</f>
        <v>0</v>
      </c>
      <c r="J22" s="83">
        <f>IFERROR(__xludf.DUMMYFUNCTION("""COMPUTED_VALUE"""),500000.0)</f>
        <v>500000</v>
      </c>
      <c r="K22" s="83">
        <f>IFERROR(__xludf.DUMMYFUNCTION("""COMPUTED_VALUE"""),0.0)</f>
        <v>0</v>
      </c>
      <c r="L22" s="83">
        <f>IFERROR(__xludf.DUMMYFUNCTION("""COMPUTED_VALUE"""),500000.0)</f>
        <v>500000</v>
      </c>
      <c r="M22" s="14" t="str">
        <f t="shared" ref="M22:P22" si="23">text(I22,"Rp #,##0")</f>
        <v>Rp 0</v>
      </c>
      <c r="N22" s="14" t="str">
        <f t="shared" si="23"/>
        <v>Rp 500.000</v>
      </c>
      <c r="O22" s="14" t="str">
        <f t="shared" si="23"/>
        <v>Rp 0</v>
      </c>
      <c r="P22" s="14" t="str">
        <f t="shared" si="23"/>
        <v>Rp 500.000</v>
      </c>
      <c r="Q22" s="14" t="str">
        <f t="shared" si="4"/>
        <v>Syahriyah = Rp 0
Jariyah = Rp 500.000
Daftar Ulang = Rp 0
Total = Rp 500.000
______________________
ID : 2024070513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9">
        <f t="shared" si="2"/>
        <v>22</v>
      </c>
      <c r="B23" s="14" t="str">
        <f>IFERROR(__xludf.DUMMYFUNCTION("""COMPUTED_VALUE"""),"KHANSA ZARINA MISBACH")</f>
        <v>KHANSA ZARINA MISBACH</v>
      </c>
      <c r="C23" s="79">
        <f>IFERROR(__xludf.DUMMYFUNCTION("""COMPUTED_VALUE"""),2.024070585E9)</f>
        <v>2024070585</v>
      </c>
      <c r="D23" s="79" t="str">
        <f>IFERROR(__xludf.DUMMYFUNCTION("""COMPUTED_VALUE"""),"E")</f>
        <v>E</v>
      </c>
      <c r="E23" s="79" t="str">
        <f>IFERROR(__xludf.DUMMYFUNCTION("""COMPUTED_VALUE"""),"E-3")</f>
        <v>E-3</v>
      </c>
      <c r="F23" s="82">
        <f>IFERROR(__xludf.DUMMYFUNCTION("""COMPUTED_VALUE"""),3.0)</f>
        <v>3</v>
      </c>
      <c r="G23" s="79" t="str">
        <f>IFERROR(__xludf.DUMMYFUNCTION("""COMPUTED_VALUE"""),"3 ULA A PUTRI")</f>
        <v>3 ULA A PUTRI</v>
      </c>
      <c r="H23" s="14" t="str">
        <f>IFERROR(__xludf.DUMMYFUNCTION("""COMPUTED_VALUE"""),"6285784480833")</f>
        <v>6285784480833</v>
      </c>
      <c r="I23" s="83">
        <f>IFERROR(__xludf.DUMMYFUNCTION("""COMPUTED_VALUE"""),0.0)</f>
        <v>0</v>
      </c>
      <c r="J23" s="83">
        <f>IFERROR(__xludf.DUMMYFUNCTION("""COMPUTED_VALUE"""),1000000.0)</f>
        <v>1000000</v>
      </c>
      <c r="K23" s="83">
        <f>IFERROR(__xludf.DUMMYFUNCTION("""COMPUTED_VALUE"""),0.0)</f>
        <v>0</v>
      </c>
      <c r="L23" s="83">
        <f>IFERROR(__xludf.DUMMYFUNCTION("""COMPUTED_VALUE"""),1000000.0)</f>
        <v>1000000</v>
      </c>
      <c r="M23" s="14" t="str">
        <f t="shared" ref="M23:P23" si="24">text(I23,"Rp #,##0")</f>
        <v>Rp 0</v>
      </c>
      <c r="N23" s="14" t="str">
        <f t="shared" si="24"/>
        <v>Rp 1.000.000</v>
      </c>
      <c r="O23" s="14" t="str">
        <f t="shared" si="24"/>
        <v>Rp 0</v>
      </c>
      <c r="P23" s="14" t="str">
        <f t="shared" si="24"/>
        <v>Rp 1.000.000</v>
      </c>
      <c r="Q23" s="14" t="str">
        <f t="shared" si="4"/>
        <v>Syahriyah = Rp 0
Jariyah = Rp 1.000.000
Daftar Ulang = Rp 0
Total = Rp 1.000.000
______________________
ID : 2024070585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9">
        <f t="shared" si="2"/>
        <v>23</v>
      </c>
      <c r="B24" s="14" t="str">
        <f>IFERROR(__xludf.DUMMYFUNCTION("""COMPUTED_VALUE"""),"NA`ILAH SINTA NURIYYAH")</f>
        <v>NA`ILAH SINTA NURIYYAH</v>
      </c>
      <c r="C24" s="79">
        <f>IFERROR(__xludf.DUMMYFUNCTION("""COMPUTED_VALUE"""),2.024070581E9)</f>
        <v>2024070581</v>
      </c>
      <c r="D24" s="79" t="str">
        <f>IFERROR(__xludf.DUMMYFUNCTION("""COMPUTED_VALUE"""),"E")</f>
        <v>E</v>
      </c>
      <c r="E24" s="79" t="str">
        <f>IFERROR(__xludf.DUMMYFUNCTION("""COMPUTED_VALUE"""),"E-3")</f>
        <v>E-3</v>
      </c>
      <c r="F24" s="82">
        <f>IFERROR(__xludf.DUMMYFUNCTION("""COMPUTED_VALUE"""),3.0)</f>
        <v>3</v>
      </c>
      <c r="G24" s="79" t="str">
        <f>IFERROR(__xludf.DUMMYFUNCTION("""COMPUTED_VALUE"""),"3 ULA B PUTRI")</f>
        <v>3 ULA B PUTRI</v>
      </c>
      <c r="H24" s="14" t="str">
        <f>IFERROR(__xludf.DUMMYFUNCTION("""COMPUTED_VALUE"""),"6283135957352")</f>
        <v>6283135957352</v>
      </c>
      <c r="I24" s="83">
        <f>IFERROR(__xludf.DUMMYFUNCTION("""COMPUTED_VALUE"""),0.0)</f>
        <v>0</v>
      </c>
      <c r="J24" s="83">
        <f>IFERROR(__xludf.DUMMYFUNCTION("""COMPUTED_VALUE"""),0.0)</f>
        <v>0</v>
      </c>
      <c r="K24" s="83">
        <f>IFERROR(__xludf.DUMMYFUNCTION("""COMPUTED_VALUE"""),0.0)</f>
        <v>0</v>
      </c>
      <c r="L24" s="83">
        <f>IFERROR(__xludf.DUMMYFUNCTION("""COMPUTED_VALUE"""),0.0)</f>
        <v>0</v>
      </c>
      <c r="M24" s="14" t="str">
        <f t="shared" ref="M24:P24" si="25">text(I24,"Rp #,##0")</f>
        <v>Rp 0</v>
      </c>
      <c r="N24" s="14" t="str">
        <f t="shared" si="25"/>
        <v>Rp 0</v>
      </c>
      <c r="O24" s="14" t="str">
        <f t="shared" si="25"/>
        <v>Rp 0</v>
      </c>
      <c r="P24" s="14" t="str">
        <f t="shared" si="25"/>
        <v>Rp 0</v>
      </c>
      <c r="Q24" s="14" t="str">
        <f t="shared" si="4"/>
        <v>Syahriyah = Rp 0
Jariyah = Rp 0
Daftar Ulang = Rp 0
Total = Rp 0
______________________
ID : 2024070581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9">
        <f t="shared" si="2"/>
        <v>24</v>
      </c>
      <c r="B25" s="14" t="str">
        <f>IFERROR(__xludf.DUMMYFUNCTION("""COMPUTED_VALUE"""),"NAALAT SYAFA`ATUL UDHMA")</f>
        <v>NAALAT SYAFA`ATUL UDHMA</v>
      </c>
      <c r="C25" s="79">
        <f>IFERROR(__xludf.DUMMYFUNCTION("""COMPUTED_VALUE"""),2.024070604E9)</f>
        <v>2024070604</v>
      </c>
      <c r="D25" s="79" t="str">
        <f>IFERROR(__xludf.DUMMYFUNCTION("""COMPUTED_VALUE"""),"E")</f>
        <v>E</v>
      </c>
      <c r="E25" s="79" t="str">
        <f>IFERROR(__xludf.DUMMYFUNCTION("""COMPUTED_VALUE"""),"E-3")</f>
        <v>E-3</v>
      </c>
      <c r="F25" s="82">
        <f>IFERROR(__xludf.DUMMYFUNCTION("""COMPUTED_VALUE"""),3.0)</f>
        <v>3</v>
      </c>
      <c r="G25" s="79" t="str">
        <f>IFERROR(__xludf.DUMMYFUNCTION("""COMPUTED_VALUE"""),"3 ULA A PUTRI")</f>
        <v>3 ULA A PUTRI</v>
      </c>
      <c r="H25" s="14" t="str">
        <f>IFERROR(__xludf.DUMMYFUNCTION("""COMPUTED_VALUE"""),"6285749469938")</f>
        <v>6285749469938</v>
      </c>
      <c r="I25" s="83">
        <f>IFERROR(__xludf.DUMMYFUNCTION("""COMPUTED_VALUE"""),0.0)</f>
        <v>0</v>
      </c>
      <c r="J25" s="83">
        <f>IFERROR(__xludf.DUMMYFUNCTION("""COMPUTED_VALUE"""),1000000.0)</f>
        <v>1000000</v>
      </c>
      <c r="K25" s="83">
        <f>IFERROR(__xludf.DUMMYFUNCTION("""COMPUTED_VALUE"""),0.0)</f>
        <v>0</v>
      </c>
      <c r="L25" s="83">
        <f>IFERROR(__xludf.DUMMYFUNCTION("""COMPUTED_VALUE"""),1000000.0)</f>
        <v>1000000</v>
      </c>
      <c r="M25" s="14" t="str">
        <f t="shared" ref="M25:P25" si="26">text(I25,"Rp #,##0")</f>
        <v>Rp 0</v>
      </c>
      <c r="N25" s="14" t="str">
        <f t="shared" si="26"/>
        <v>Rp 1.000.000</v>
      </c>
      <c r="O25" s="14" t="str">
        <f t="shared" si="26"/>
        <v>Rp 0</v>
      </c>
      <c r="P25" s="14" t="str">
        <f t="shared" si="26"/>
        <v>Rp 1.000.000</v>
      </c>
      <c r="Q25" s="14" t="str">
        <f t="shared" si="4"/>
        <v>Syahriyah = Rp 0
Jariyah = Rp 1.000.000
Daftar Ulang = Rp 0
Total = Rp 1.000.000
______________________
ID : 2024070604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9">
        <f t="shared" si="2"/>
        <v>25</v>
      </c>
      <c r="B26" s="14" t="str">
        <f>IFERROR(__xludf.DUMMYFUNCTION("""COMPUTED_VALUE"""),"NOUR ALIFATURR DHEA VANESYA")</f>
        <v>NOUR ALIFATURR DHEA VANESYA</v>
      </c>
      <c r="C26" s="79">
        <f>IFERROR(__xludf.DUMMYFUNCTION("""COMPUTED_VALUE"""),2.024070613E9)</f>
        <v>2024070613</v>
      </c>
      <c r="D26" s="79" t="str">
        <f>IFERROR(__xludf.DUMMYFUNCTION("""COMPUTED_VALUE"""),"E")</f>
        <v>E</v>
      </c>
      <c r="E26" s="79" t="str">
        <f>IFERROR(__xludf.DUMMYFUNCTION("""COMPUTED_VALUE"""),"E-3")</f>
        <v>E-3</v>
      </c>
      <c r="F26" s="82">
        <f>IFERROR(__xludf.DUMMYFUNCTION("""COMPUTED_VALUE"""),3.0)</f>
        <v>3</v>
      </c>
      <c r="G26" s="79" t="str">
        <f>IFERROR(__xludf.DUMMYFUNCTION("""COMPUTED_VALUE"""),"3 ULA C PUTRI")</f>
        <v>3 ULA C PUTRI</v>
      </c>
      <c r="H26" s="14" t="str">
        <f>IFERROR(__xludf.DUMMYFUNCTION("""COMPUTED_VALUE"""),"6285815030873")</f>
        <v>6285815030873</v>
      </c>
      <c r="I26" s="83">
        <f>IFERROR(__xludf.DUMMYFUNCTION("""COMPUTED_VALUE"""),500000.0)</f>
        <v>500000</v>
      </c>
      <c r="J26" s="83">
        <f>IFERROR(__xludf.DUMMYFUNCTION("""COMPUTED_VALUE"""),1000000.0)</f>
        <v>1000000</v>
      </c>
      <c r="K26" s="83">
        <f>IFERROR(__xludf.DUMMYFUNCTION("""COMPUTED_VALUE"""),0.0)</f>
        <v>0</v>
      </c>
      <c r="L26" s="83">
        <f>IFERROR(__xludf.DUMMYFUNCTION("""COMPUTED_VALUE"""),1500000.0)</f>
        <v>1500000</v>
      </c>
      <c r="M26" s="14" t="str">
        <f t="shared" ref="M26:P26" si="27">text(I26,"Rp #,##0")</f>
        <v>Rp 500.000</v>
      </c>
      <c r="N26" s="14" t="str">
        <f t="shared" si="27"/>
        <v>Rp 1.000.000</v>
      </c>
      <c r="O26" s="14" t="str">
        <f t="shared" si="27"/>
        <v>Rp 0</v>
      </c>
      <c r="P26" s="14" t="str">
        <f t="shared" si="27"/>
        <v>Rp 1.500.000</v>
      </c>
      <c r="Q26" s="14" t="str">
        <f t="shared" si="4"/>
        <v>Syahriyah = Rp 500.000
Jariyah = Rp 1.000.000
Daftar Ulang = Rp 0
Total = Rp 1.500.000
______________________
ID : 2024070613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9">
        <f t="shared" si="2"/>
        <v>26</v>
      </c>
      <c r="B27" s="14" t="str">
        <f>IFERROR(__xludf.DUMMYFUNCTION("""COMPUTED_VALUE"""),"NUR LABIBATUS SHOLIHAH")</f>
        <v>NUR LABIBATUS SHOLIHAH</v>
      </c>
      <c r="C27" s="79">
        <f>IFERROR(__xludf.DUMMYFUNCTION("""COMPUTED_VALUE"""),2.024070568E9)</f>
        <v>2024070568</v>
      </c>
      <c r="D27" s="79" t="str">
        <f>IFERROR(__xludf.DUMMYFUNCTION("""COMPUTED_VALUE"""),"E")</f>
        <v>E</v>
      </c>
      <c r="E27" s="79" t="str">
        <f>IFERROR(__xludf.DUMMYFUNCTION("""COMPUTED_VALUE"""),"E-3")</f>
        <v>E-3</v>
      </c>
      <c r="F27" s="82">
        <f>IFERROR(__xludf.DUMMYFUNCTION("""COMPUTED_VALUE"""),3.0)</f>
        <v>3</v>
      </c>
      <c r="G27" s="79" t="str">
        <f>IFERROR(__xludf.DUMMYFUNCTION("""COMPUTED_VALUE"""),"3 ULA A PUTRI")</f>
        <v>3 ULA A PUTRI</v>
      </c>
      <c r="H27" s="14" t="str">
        <f>IFERROR(__xludf.DUMMYFUNCTION("""COMPUTED_VALUE"""),"6285853423327")</f>
        <v>6285853423327</v>
      </c>
      <c r="I27" s="83">
        <f>IFERROR(__xludf.DUMMYFUNCTION("""COMPUTED_VALUE"""),0.0)</f>
        <v>0</v>
      </c>
      <c r="J27" s="83">
        <f>IFERROR(__xludf.DUMMYFUNCTION("""COMPUTED_VALUE"""),1000000.0)</f>
        <v>1000000</v>
      </c>
      <c r="K27" s="83">
        <f>IFERROR(__xludf.DUMMYFUNCTION("""COMPUTED_VALUE"""),0.0)</f>
        <v>0</v>
      </c>
      <c r="L27" s="83">
        <f>IFERROR(__xludf.DUMMYFUNCTION("""COMPUTED_VALUE"""),1000000.0)</f>
        <v>1000000</v>
      </c>
      <c r="M27" s="14" t="str">
        <f t="shared" ref="M27:P27" si="28">text(I27,"Rp #,##0")</f>
        <v>Rp 0</v>
      </c>
      <c r="N27" s="14" t="str">
        <f t="shared" si="28"/>
        <v>Rp 1.000.000</v>
      </c>
      <c r="O27" s="14" t="str">
        <f t="shared" si="28"/>
        <v>Rp 0</v>
      </c>
      <c r="P27" s="14" t="str">
        <f t="shared" si="28"/>
        <v>Rp 1.000.000</v>
      </c>
      <c r="Q27" s="14" t="str">
        <f t="shared" si="4"/>
        <v>Syahriyah = Rp 0
Jariyah = Rp 1.000.000
Daftar Ulang = Rp 0
Total = Rp 1.000.000
______________________
ID : 2024070568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9">
        <f t="shared" si="2"/>
        <v>27</v>
      </c>
      <c r="B28" s="14" t="str">
        <f>IFERROR(__xludf.DUMMYFUNCTION("""COMPUTED_VALUE"""),"NURUL IFADATUL HASANAH")</f>
        <v>NURUL IFADATUL HASANAH</v>
      </c>
      <c r="C28" s="79">
        <f>IFERROR(__xludf.DUMMYFUNCTION("""COMPUTED_VALUE"""),2.024070542E9)</f>
        <v>2024070542</v>
      </c>
      <c r="D28" s="79" t="str">
        <f>IFERROR(__xludf.DUMMYFUNCTION("""COMPUTED_VALUE"""),"E")</f>
        <v>E</v>
      </c>
      <c r="E28" s="79" t="str">
        <f>IFERROR(__xludf.DUMMYFUNCTION("""COMPUTED_VALUE"""),"E-3")</f>
        <v>E-3</v>
      </c>
      <c r="F28" s="82">
        <f>IFERROR(__xludf.DUMMYFUNCTION("""COMPUTED_VALUE"""),3.0)</f>
        <v>3</v>
      </c>
      <c r="G28" s="79" t="str">
        <f>IFERROR(__xludf.DUMMYFUNCTION("""COMPUTED_VALUE"""),"3 ULA B PUTRI")</f>
        <v>3 ULA B PUTRI</v>
      </c>
      <c r="H28" s="14" t="str">
        <f>IFERROR(__xludf.DUMMYFUNCTION("""COMPUTED_VALUE"""),"6282230412303")</f>
        <v>6282230412303</v>
      </c>
      <c r="I28" s="83">
        <f>IFERROR(__xludf.DUMMYFUNCTION("""COMPUTED_VALUE"""),0.0)</f>
        <v>0</v>
      </c>
      <c r="J28" s="83">
        <f>IFERROR(__xludf.DUMMYFUNCTION("""COMPUTED_VALUE"""),1000000.0)</f>
        <v>1000000</v>
      </c>
      <c r="K28" s="83">
        <f>IFERROR(__xludf.DUMMYFUNCTION("""COMPUTED_VALUE"""),0.0)</f>
        <v>0</v>
      </c>
      <c r="L28" s="83">
        <f>IFERROR(__xludf.DUMMYFUNCTION("""COMPUTED_VALUE"""),1000000.0)</f>
        <v>1000000</v>
      </c>
      <c r="M28" s="14" t="str">
        <f t="shared" ref="M28:P28" si="29">text(I28,"Rp #,##0")</f>
        <v>Rp 0</v>
      </c>
      <c r="N28" s="14" t="str">
        <f t="shared" si="29"/>
        <v>Rp 1.000.000</v>
      </c>
      <c r="O28" s="14" t="str">
        <f t="shared" si="29"/>
        <v>Rp 0</v>
      </c>
      <c r="P28" s="14" t="str">
        <f t="shared" si="29"/>
        <v>Rp 1.000.000</v>
      </c>
      <c r="Q28" s="14" t="str">
        <f t="shared" si="4"/>
        <v>Syahriyah = Rp 0
Jariyah = Rp 1.000.000
Daftar Ulang = Rp 0
Total = Rp 1.000.000
______________________
ID : 2024070542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9">
        <f t="shared" si="2"/>
        <v>28</v>
      </c>
      <c r="B29" s="14" t="str">
        <f>IFERROR(__xludf.DUMMYFUNCTION("""COMPUTED_VALUE"""),"RAFIQA AZALIANA YUSUF")</f>
        <v>RAFIQA AZALIANA YUSUF</v>
      </c>
      <c r="C29" s="79">
        <f>IFERROR(__xludf.DUMMYFUNCTION("""COMPUTED_VALUE"""),2.024070481E9)</f>
        <v>2024070481</v>
      </c>
      <c r="D29" s="79" t="str">
        <f>IFERROR(__xludf.DUMMYFUNCTION("""COMPUTED_VALUE"""),"E")</f>
        <v>E</v>
      </c>
      <c r="E29" s="79" t="str">
        <f>IFERROR(__xludf.DUMMYFUNCTION("""COMPUTED_VALUE"""),"E-3")</f>
        <v>E-3</v>
      </c>
      <c r="F29" s="82">
        <f>IFERROR(__xludf.DUMMYFUNCTION("""COMPUTED_VALUE"""),3.0)</f>
        <v>3</v>
      </c>
      <c r="G29" s="79" t="str">
        <f>IFERROR(__xludf.DUMMYFUNCTION("""COMPUTED_VALUE"""),"3 ULA A PUTRI")</f>
        <v>3 ULA A PUTRI</v>
      </c>
      <c r="H29" s="14" t="str">
        <f>IFERROR(__xludf.DUMMYFUNCTION("""COMPUTED_VALUE"""),"6281337240354")</f>
        <v>6281337240354</v>
      </c>
      <c r="I29" s="83">
        <f>IFERROR(__xludf.DUMMYFUNCTION("""COMPUTED_VALUE"""),0.0)</f>
        <v>0</v>
      </c>
      <c r="J29" s="83">
        <f>IFERROR(__xludf.DUMMYFUNCTION("""COMPUTED_VALUE"""),0.0)</f>
        <v>0</v>
      </c>
      <c r="K29" s="83">
        <f>IFERROR(__xludf.DUMMYFUNCTION("""COMPUTED_VALUE"""),0.0)</f>
        <v>0</v>
      </c>
      <c r="L29" s="83">
        <f>IFERROR(__xludf.DUMMYFUNCTION("""COMPUTED_VALUE"""),0.0)</f>
        <v>0</v>
      </c>
      <c r="M29" s="14" t="str">
        <f t="shared" ref="M29:P29" si="30">text(I29,"Rp #,##0")</f>
        <v>Rp 0</v>
      </c>
      <c r="N29" s="14" t="str">
        <f t="shared" si="30"/>
        <v>Rp 0</v>
      </c>
      <c r="O29" s="14" t="str">
        <f t="shared" si="30"/>
        <v>Rp 0</v>
      </c>
      <c r="P29" s="14" t="str">
        <f t="shared" si="30"/>
        <v>Rp 0</v>
      </c>
      <c r="Q29" s="14" t="str">
        <f t="shared" si="4"/>
        <v>Syahriyah = Rp 0
Jariyah = Rp 0
Daftar Ulang = Rp 0
Total = Rp 0
______________________
ID : 2024070481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79">
        <f t="shared" si="2"/>
        <v>29</v>
      </c>
      <c r="B30" s="14" t="str">
        <f>IFERROR(__xludf.DUMMYFUNCTION("""COMPUTED_VALUE"""),"ANGELINA KIBRIYAH SAFITRI")</f>
        <v>ANGELINA KIBRIYAH SAFITRI</v>
      </c>
      <c r="C30" s="79">
        <f>IFERROR(__xludf.DUMMYFUNCTION("""COMPUTED_VALUE"""),2.02407034E9)</f>
        <v>2024070340</v>
      </c>
      <c r="D30" s="79" t="str">
        <f>IFERROR(__xludf.DUMMYFUNCTION("""COMPUTED_VALUE"""),"E")</f>
        <v>E</v>
      </c>
      <c r="E30" s="79" t="str">
        <f>IFERROR(__xludf.DUMMYFUNCTION("""COMPUTED_VALUE"""),"E-3")</f>
        <v>E-3</v>
      </c>
      <c r="F30" s="82">
        <f>IFERROR(__xludf.DUMMYFUNCTION("""COMPUTED_VALUE"""),3.0)</f>
        <v>3</v>
      </c>
      <c r="G30" s="79" t="str">
        <f>IFERROR(__xludf.DUMMYFUNCTION("""COMPUTED_VALUE"""),"3 WUSTHO B PUTRI")</f>
        <v>3 WUSTHO B PUTRI</v>
      </c>
      <c r="H30" s="14" t="str">
        <f>IFERROR(__xludf.DUMMYFUNCTION("""COMPUTED_VALUE"""),"6285707549770")</f>
        <v>6285707549770</v>
      </c>
      <c r="I30" s="83">
        <f>IFERROR(__xludf.DUMMYFUNCTION("""COMPUTED_VALUE"""),3000000.0)</f>
        <v>3000000</v>
      </c>
      <c r="J30" s="83">
        <f>IFERROR(__xludf.DUMMYFUNCTION("""COMPUTED_VALUE"""),500000.0)</f>
        <v>500000</v>
      </c>
      <c r="K30" s="83">
        <f>IFERROR(__xludf.DUMMYFUNCTION("""COMPUTED_VALUE"""),0.0)</f>
        <v>0</v>
      </c>
      <c r="L30" s="83">
        <f>IFERROR(__xludf.DUMMYFUNCTION("""COMPUTED_VALUE"""),3500000.0)</f>
        <v>3500000</v>
      </c>
      <c r="M30" s="14" t="str">
        <f t="shared" ref="M30:P30" si="31">text(I30,"Rp #,##0")</f>
        <v>Rp 3.000.000</v>
      </c>
      <c r="N30" s="14" t="str">
        <f t="shared" si="31"/>
        <v>Rp 500.000</v>
      </c>
      <c r="O30" s="14" t="str">
        <f t="shared" si="31"/>
        <v>Rp 0</v>
      </c>
      <c r="P30" s="14" t="str">
        <f t="shared" si="31"/>
        <v>Rp 3.500.000</v>
      </c>
      <c r="Q30" s="14" t="str">
        <f t="shared" si="4"/>
        <v>Syahriyah = Rp 3.000.000
Jariyah = Rp 500.000
Daftar Ulang = Rp 0
Total = Rp 3.500.000
______________________
ID : 2024070340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79">
        <f t="shared" si="2"/>
        <v>30</v>
      </c>
      <c r="B31" s="14" t="str">
        <f>IFERROR(__xludf.DUMMYFUNCTION("""COMPUTED_VALUE"""),"AULIYAH SYIFA WINARNI")</f>
        <v>AULIYAH SYIFA WINARNI</v>
      </c>
      <c r="C31" s="79">
        <f>IFERROR(__xludf.DUMMYFUNCTION("""COMPUTED_VALUE"""),2.024070188E9)</f>
        <v>2024070188</v>
      </c>
      <c r="D31" s="79" t="str">
        <f>IFERROR(__xludf.DUMMYFUNCTION("""COMPUTED_VALUE"""),"E")</f>
        <v>E</v>
      </c>
      <c r="E31" s="79" t="str">
        <f>IFERROR(__xludf.DUMMYFUNCTION("""COMPUTED_VALUE"""),"E-3")</f>
        <v>E-3</v>
      </c>
      <c r="F31" s="82">
        <f>IFERROR(__xludf.DUMMYFUNCTION("""COMPUTED_VALUE"""),3.0)</f>
        <v>3</v>
      </c>
      <c r="G31" s="79" t="str">
        <f>IFERROR(__xludf.DUMMYFUNCTION("""COMPUTED_VALUE"""),"3 WUSTHO C PUTRI")</f>
        <v>3 WUSTHO C PUTRI</v>
      </c>
      <c r="H31" s="14" t="str">
        <f>IFERROR(__xludf.DUMMYFUNCTION("""COMPUTED_VALUE"""),"6282248415765")</f>
        <v>6282248415765</v>
      </c>
      <c r="I31" s="83">
        <f>IFERROR(__xludf.DUMMYFUNCTION("""COMPUTED_VALUE"""),0.0)</f>
        <v>0</v>
      </c>
      <c r="J31" s="83">
        <f>IFERROR(__xludf.DUMMYFUNCTION("""COMPUTED_VALUE"""),0.0)</f>
        <v>0</v>
      </c>
      <c r="K31" s="83">
        <f>IFERROR(__xludf.DUMMYFUNCTION("""COMPUTED_VALUE"""),0.0)</f>
        <v>0</v>
      </c>
      <c r="L31" s="83">
        <f>IFERROR(__xludf.DUMMYFUNCTION("""COMPUTED_VALUE"""),0.0)</f>
        <v>0</v>
      </c>
      <c r="M31" s="14" t="str">
        <f t="shared" ref="M31:P31" si="32">text(I31,"Rp #,##0")</f>
        <v>Rp 0</v>
      </c>
      <c r="N31" s="14" t="str">
        <f t="shared" si="32"/>
        <v>Rp 0</v>
      </c>
      <c r="O31" s="14" t="str">
        <f t="shared" si="32"/>
        <v>Rp 0</v>
      </c>
      <c r="P31" s="14" t="str">
        <f t="shared" si="32"/>
        <v>Rp 0</v>
      </c>
      <c r="Q31" s="14" t="str">
        <f t="shared" si="4"/>
        <v>Syahriyah = Rp 0
Jariyah = Rp 0
Daftar Ulang = Rp 0
Total = Rp 0
______________________
ID : 2024070188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79">
        <f t="shared" si="2"/>
        <v>31</v>
      </c>
      <c r="B32" s="14" t="str">
        <f>IFERROR(__xludf.DUMMYFUNCTION("""COMPUTED_VALUE"""),"DAVINA NANGSYA AZZAHRAH")</f>
        <v>DAVINA NANGSYA AZZAHRAH</v>
      </c>
      <c r="C32" s="79">
        <f>IFERROR(__xludf.DUMMYFUNCTION("""COMPUTED_VALUE"""),2.024070415E9)</f>
        <v>2024070415</v>
      </c>
      <c r="D32" s="79" t="str">
        <f>IFERROR(__xludf.DUMMYFUNCTION("""COMPUTED_VALUE"""),"E")</f>
        <v>E</v>
      </c>
      <c r="E32" s="79" t="str">
        <f>IFERROR(__xludf.DUMMYFUNCTION("""COMPUTED_VALUE"""),"E-3")</f>
        <v>E-3</v>
      </c>
      <c r="F32" s="82">
        <f>IFERROR(__xludf.DUMMYFUNCTION("""COMPUTED_VALUE"""),3.0)</f>
        <v>3</v>
      </c>
      <c r="G32" s="79" t="str">
        <f>IFERROR(__xludf.DUMMYFUNCTION("""COMPUTED_VALUE"""),"3 WUSTHO A PUTRI")</f>
        <v>3 WUSTHO A PUTRI</v>
      </c>
      <c r="H32" s="14" t="str">
        <f>IFERROR(__xludf.DUMMYFUNCTION("""COMPUTED_VALUE"""),"6289537096560")</f>
        <v>6289537096560</v>
      </c>
      <c r="I32" s="83">
        <f>IFERROR(__xludf.DUMMYFUNCTION("""COMPUTED_VALUE"""),2160000.0)</f>
        <v>2160000</v>
      </c>
      <c r="J32" s="83">
        <f>IFERROR(__xludf.DUMMYFUNCTION("""COMPUTED_VALUE"""),0.0)</f>
        <v>0</v>
      </c>
      <c r="K32" s="83">
        <f>IFERROR(__xludf.DUMMYFUNCTION("""COMPUTED_VALUE"""),350000.0)</f>
        <v>350000</v>
      </c>
      <c r="L32" s="83">
        <f>IFERROR(__xludf.DUMMYFUNCTION("""COMPUTED_VALUE"""),2510000.0)</f>
        <v>2510000</v>
      </c>
      <c r="M32" s="14" t="str">
        <f t="shared" ref="M32:P32" si="33">text(I32,"Rp #,##0")</f>
        <v>Rp 2.160.000</v>
      </c>
      <c r="N32" s="14" t="str">
        <f t="shared" si="33"/>
        <v>Rp 0</v>
      </c>
      <c r="O32" s="14" t="str">
        <f t="shared" si="33"/>
        <v>Rp 350.000</v>
      </c>
      <c r="P32" s="14" t="str">
        <f t="shared" si="33"/>
        <v>Rp 2.510.000</v>
      </c>
      <c r="Q32" s="14" t="str">
        <f t="shared" si="4"/>
        <v>Syahriyah = Rp 2.160.000
Jariyah = Rp 0
Daftar Ulang = Rp 350.000
Total = Rp 2.510.000
______________________
ID : 2024070415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79">
        <f t="shared" si="2"/>
        <v>32</v>
      </c>
      <c r="B33" s="14" t="str">
        <f>IFERROR(__xludf.DUMMYFUNCTION("""COMPUTED_VALUE"""),"NILLA ADDINIA KHAFSOH")</f>
        <v>NILLA ADDINIA KHAFSOH</v>
      </c>
      <c r="C33" s="79">
        <f>IFERROR(__xludf.DUMMYFUNCTION("""COMPUTED_VALUE"""),2.024070195E9)</f>
        <v>2024070195</v>
      </c>
      <c r="D33" s="79" t="str">
        <f>IFERROR(__xludf.DUMMYFUNCTION("""COMPUTED_VALUE"""),"E")</f>
        <v>E</v>
      </c>
      <c r="E33" s="79" t="str">
        <f>IFERROR(__xludf.DUMMYFUNCTION("""COMPUTED_VALUE"""),"E-3")</f>
        <v>E-3</v>
      </c>
      <c r="F33" s="82">
        <f>IFERROR(__xludf.DUMMYFUNCTION("""COMPUTED_VALUE"""),3.0)</f>
        <v>3</v>
      </c>
      <c r="G33" s="79" t="str">
        <f>IFERROR(__xludf.DUMMYFUNCTION("""COMPUTED_VALUE"""),"3 WUSTHO C PUTRI")</f>
        <v>3 WUSTHO C PUTRI</v>
      </c>
      <c r="H33" s="14" t="str">
        <f>IFERROR(__xludf.DUMMYFUNCTION("""COMPUTED_VALUE"""),"6285813135311")</f>
        <v>6285813135311</v>
      </c>
      <c r="I33" s="83">
        <f>IFERROR(__xludf.DUMMYFUNCTION("""COMPUTED_VALUE"""),1000000.0)</f>
        <v>1000000</v>
      </c>
      <c r="J33" s="83">
        <f>IFERROR(__xludf.DUMMYFUNCTION("""COMPUTED_VALUE"""),1000000.0)</f>
        <v>1000000</v>
      </c>
      <c r="K33" s="83">
        <f>IFERROR(__xludf.DUMMYFUNCTION("""COMPUTED_VALUE"""),0.0)</f>
        <v>0</v>
      </c>
      <c r="L33" s="83">
        <f>IFERROR(__xludf.DUMMYFUNCTION("""COMPUTED_VALUE"""),2000000.0)</f>
        <v>2000000</v>
      </c>
      <c r="M33" s="14" t="str">
        <f t="shared" ref="M33:P33" si="34">text(I33,"Rp #,##0")</f>
        <v>Rp 1.000.000</v>
      </c>
      <c r="N33" s="14" t="str">
        <f t="shared" si="34"/>
        <v>Rp 1.000.000</v>
      </c>
      <c r="O33" s="14" t="str">
        <f t="shared" si="34"/>
        <v>Rp 0</v>
      </c>
      <c r="P33" s="14" t="str">
        <f t="shared" si="34"/>
        <v>Rp 2.000.000</v>
      </c>
      <c r="Q33" s="14" t="str">
        <f t="shared" si="4"/>
        <v>Syahriyah = Rp 1.000.000
Jariyah = Rp 1.000.000
Daftar Ulang = Rp 0
Total = Rp 2.000.000
______________________
ID : 2024070195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79">
        <f t="shared" si="2"/>
        <v>33</v>
      </c>
      <c r="B34" s="14" t="str">
        <f>IFERROR(__xludf.DUMMYFUNCTION("""COMPUTED_VALUE"""),"AZZAHRA SAYLA RAHMAH")</f>
        <v>AZZAHRA SAYLA RAHMAH</v>
      </c>
      <c r="C34" s="79">
        <f>IFERROR(__xludf.DUMMYFUNCTION("""COMPUTED_VALUE"""),2.025070536E9)</f>
        <v>2025070536</v>
      </c>
      <c r="D34" s="79" t="str">
        <f>IFERROR(__xludf.DUMMYFUNCTION("""COMPUTED_VALUE"""),"E")</f>
        <v>E</v>
      </c>
      <c r="E34" s="79" t="str">
        <f>IFERROR(__xludf.DUMMYFUNCTION("""COMPUTED_VALUE"""),"E-4")</f>
        <v>E-4</v>
      </c>
      <c r="F34" s="82">
        <f>IFERROR(__xludf.DUMMYFUNCTION("""COMPUTED_VALUE"""),2.0)</f>
        <v>2</v>
      </c>
      <c r="G34" s="79" t="str">
        <f>IFERROR(__xludf.DUMMYFUNCTION("""COMPUTED_VALUE"""),"2 ULA A PUTRI")</f>
        <v>2 ULA A PUTRI</v>
      </c>
      <c r="H34" s="14" t="str">
        <f>IFERROR(__xludf.DUMMYFUNCTION("""COMPUTED_VALUE"""),"6285706388647")</f>
        <v>6285706388647</v>
      </c>
      <c r="I34" s="83">
        <f>IFERROR(__xludf.DUMMYFUNCTION("""COMPUTED_VALUE"""),0.0)</f>
        <v>0</v>
      </c>
      <c r="J34" s="83">
        <f>IFERROR(__xludf.DUMMYFUNCTION("""COMPUTED_VALUE"""),1000000.0)</f>
        <v>1000000</v>
      </c>
      <c r="K34" s="83">
        <f>IFERROR(__xludf.DUMMYFUNCTION("""COMPUTED_VALUE"""),0.0)</f>
        <v>0</v>
      </c>
      <c r="L34" s="83">
        <f>IFERROR(__xludf.DUMMYFUNCTION("""COMPUTED_VALUE"""),1000000.0)</f>
        <v>1000000</v>
      </c>
      <c r="M34" s="14" t="str">
        <f t="shared" ref="M34:P34" si="35">text(I34,"Rp #,##0")</f>
        <v>Rp 0</v>
      </c>
      <c r="N34" s="14" t="str">
        <f t="shared" si="35"/>
        <v>Rp 1.000.000</v>
      </c>
      <c r="O34" s="14" t="str">
        <f t="shared" si="35"/>
        <v>Rp 0</v>
      </c>
      <c r="P34" s="14" t="str">
        <f t="shared" si="35"/>
        <v>Rp 1.000.000</v>
      </c>
      <c r="Q34" s="14" t="str">
        <f t="shared" si="4"/>
        <v>Syahriyah = Rp 0
Jariyah = Rp 1.000.000
Daftar Ulang = Rp 0
Total = Rp 1.000.000
______________________
ID : 2025070536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79">
        <f t="shared" si="2"/>
        <v>34</v>
      </c>
      <c r="B35" s="14" t="str">
        <f>IFERROR(__xludf.DUMMYFUNCTION("""COMPUTED_VALUE"""),"DEEPIKA ATHALIA PRASANTI")</f>
        <v>DEEPIKA ATHALIA PRASANTI</v>
      </c>
      <c r="C35" s="79">
        <f>IFERROR(__xludf.DUMMYFUNCTION("""COMPUTED_VALUE"""),2.025070496E9)</f>
        <v>2025070496</v>
      </c>
      <c r="D35" s="79" t="str">
        <f>IFERROR(__xludf.DUMMYFUNCTION("""COMPUTED_VALUE"""),"E")</f>
        <v>E</v>
      </c>
      <c r="E35" s="79" t="str">
        <f>IFERROR(__xludf.DUMMYFUNCTION("""COMPUTED_VALUE"""),"E-4")</f>
        <v>E-4</v>
      </c>
      <c r="F35" s="82">
        <f>IFERROR(__xludf.DUMMYFUNCTION("""COMPUTED_VALUE"""),2.0)</f>
        <v>2</v>
      </c>
      <c r="G35" s="79" t="str">
        <f>IFERROR(__xludf.DUMMYFUNCTION("""COMPUTED_VALUE"""),"2 ULA A PUTRI")</f>
        <v>2 ULA A PUTRI</v>
      </c>
      <c r="H35" s="14" t="str">
        <f>IFERROR(__xludf.DUMMYFUNCTION("""COMPUTED_VALUE"""),"6281235016503")</f>
        <v>6281235016503</v>
      </c>
      <c r="I35" s="83">
        <f>IFERROR(__xludf.DUMMYFUNCTION("""COMPUTED_VALUE"""),0.0)</f>
        <v>0</v>
      </c>
      <c r="J35" s="83">
        <f>IFERROR(__xludf.DUMMYFUNCTION("""COMPUTED_VALUE"""),0.0)</f>
        <v>0</v>
      </c>
      <c r="K35" s="83">
        <f>IFERROR(__xludf.DUMMYFUNCTION("""COMPUTED_VALUE"""),0.0)</f>
        <v>0</v>
      </c>
      <c r="L35" s="83">
        <f>IFERROR(__xludf.DUMMYFUNCTION("""COMPUTED_VALUE"""),0.0)</f>
        <v>0</v>
      </c>
      <c r="M35" s="14" t="str">
        <f t="shared" ref="M35:P35" si="36">text(I35,"Rp #,##0")</f>
        <v>Rp 0</v>
      </c>
      <c r="N35" s="14" t="str">
        <f t="shared" si="36"/>
        <v>Rp 0</v>
      </c>
      <c r="O35" s="14" t="str">
        <f t="shared" si="36"/>
        <v>Rp 0</v>
      </c>
      <c r="P35" s="14" t="str">
        <f t="shared" si="36"/>
        <v>Rp 0</v>
      </c>
      <c r="Q35" s="14" t="str">
        <f t="shared" si="4"/>
        <v>Syahriyah = Rp 0
Jariyah = Rp 0
Daftar Ulang = Rp 0
Total = Rp 0
______________________
ID : 2025070496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79">
        <f t="shared" si="2"/>
        <v>35</v>
      </c>
      <c r="B36" s="14" t="str">
        <f>IFERROR(__xludf.DUMMYFUNCTION("""COMPUTED_VALUE"""),"ELVA FITRIANI FATIKHAH")</f>
        <v>ELVA FITRIANI FATIKHAH</v>
      </c>
      <c r="C36" s="79">
        <f>IFERROR(__xludf.DUMMYFUNCTION("""COMPUTED_VALUE"""),2.025070597E9)</f>
        <v>2025070597</v>
      </c>
      <c r="D36" s="79" t="str">
        <f>IFERROR(__xludf.DUMMYFUNCTION("""COMPUTED_VALUE"""),"E")</f>
        <v>E</v>
      </c>
      <c r="E36" s="79" t="str">
        <f>IFERROR(__xludf.DUMMYFUNCTION("""COMPUTED_VALUE"""),"E-4")</f>
        <v>E-4</v>
      </c>
      <c r="F36" s="82">
        <f>IFERROR(__xludf.DUMMYFUNCTION("""COMPUTED_VALUE"""),2.0)</f>
        <v>2</v>
      </c>
      <c r="G36" s="79" t="str">
        <f>IFERROR(__xludf.DUMMYFUNCTION("""COMPUTED_VALUE"""),"2 ULA B PUTRI")</f>
        <v>2 ULA B PUTRI</v>
      </c>
      <c r="H36" s="14" t="str">
        <f>IFERROR(__xludf.DUMMYFUNCTION("""COMPUTED_VALUE"""),"6285755196151")</f>
        <v>6285755196151</v>
      </c>
      <c r="I36" s="83">
        <f>IFERROR(__xludf.DUMMYFUNCTION("""COMPUTED_VALUE"""),0.0)</f>
        <v>0</v>
      </c>
      <c r="J36" s="83">
        <f>IFERROR(__xludf.DUMMYFUNCTION("""COMPUTED_VALUE"""),1000000.0)</f>
        <v>1000000</v>
      </c>
      <c r="K36" s="83">
        <f>IFERROR(__xludf.DUMMYFUNCTION("""COMPUTED_VALUE"""),0.0)</f>
        <v>0</v>
      </c>
      <c r="L36" s="83">
        <f>IFERROR(__xludf.DUMMYFUNCTION("""COMPUTED_VALUE"""),1000000.0)</f>
        <v>1000000</v>
      </c>
      <c r="M36" s="14" t="str">
        <f t="shared" ref="M36:P36" si="37">text(I36,"Rp #,##0")</f>
        <v>Rp 0</v>
      </c>
      <c r="N36" s="14" t="str">
        <f t="shared" si="37"/>
        <v>Rp 1.000.000</v>
      </c>
      <c r="O36" s="14" t="str">
        <f t="shared" si="37"/>
        <v>Rp 0</v>
      </c>
      <c r="P36" s="14" t="str">
        <f t="shared" si="37"/>
        <v>Rp 1.000.000</v>
      </c>
      <c r="Q36" s="14" t="str">
        <f t="shared" si="4"/>
        <v>Syahriyah = Rp 0
Jariyah = Rp 1.000.000
Daftar Ulang = Rp 0
Total = Rp 1.000.000
______________________
ID : 2025070597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79">
        <f t="shared" si="2"/>
        <v>36</v>
      </c>
      <c r="B37" s="14" t="str">
        <f>IFERROR(__xludf.DUMMYFUNCTION("""COMPUTED_VALUE"""),"FAJRIYAH NIKMATUS SU`AMAN")</f>
        <v>FAJRIYAH NIKMATUS SU`AMAN</v>
      </c>
      <c r="C37" s="79">
        <f>IFERROR(__xludf.DUMMYFUNCTION("""COMPUTED_VALUE"""),2.025070498E9)</f>
        <v>2025070498</v>
      </c>
      <c r="D37" s="79" t="str">
        <f>IFERROR(__xludf.DUMMYFUNCTION("""COMPUTED_VALUE"""),"E")</f>
        <v>E</v>
      </c>
      <c r="E37" s="79" t="str">
        <f>IFERROR(__xludf.DUMMYFUNCTION("""COMPUTED_VALUE"""),"E-4")</f>
        <v>E-4</v>
      </c>
      <c r="F37" s="82">
        <f>IFERROR(__xludf.DUMMYFUNCTION("""COMPUTED_VALUE"""),2.0)</f>
        <v>2</v>
      </c>
      <c r="G37" s="79" t="str">
        <f>IFERROR(__xludf.DUMMYFUNCTION("""COMPUTED_VALUE"""),"2 ULA B PUTRI")</f>
        <v>2 ULA B PUTRI</v>
      </c>
      <c r="H37" s="14" t="str">
        <f>IFERROR(__xludf.DUMMYFUNCTION("""COMPUTED_VALUE"""),"6285792072867")</f>
        <v>6285792072867</v>
      </c>
      <c r="I37" s="83">
        <f>IFERROR(__xludf.DUMMYFUNCTION("""COMPUTED_VALUE"""),0.0)</f>
        <v>0</v>
      </c>
      <c r="J37" s="83">
        <f>IFERROR(__xludf.DUMMYFUNCTION("""COMPUTED_VALUE"""),0.0)</f>
        <v>0</v>
      </c>
      <c r="K37" s="83">
        <f>IFERROR(__xludf.DUMMYFUNCTION("""COMPUTED_VALUE"""),0.0)</f>
        <v>0</v>
      </c>
      <c r="L37" s="83">
        <f>IFERROR(__xludf.DUMMYFUNCTION("""COMPUTED_VALUE"""),0.0)</f>
        <v>0</v>
      </c>
      <c r="M37" s="14" t="str">
        <f t="shared" ref="M37:P37" si="38">text(I37,"Rp #,##0")</f>
        <v>Rp 0</v>
      </c>
      <c r="N37" s="14" t="str">
        <f t="shared" si="38"/>
        <v>Rp 0</v>
      </c>
      <c r="O37" s="14" t="str">
        <f t="shared" si="38"/>
        <v>Rp 0</v>
      </c>
      <c r="P37" s="14" t="str">
        <f t="shared" si="38"/>
        <v>Rp 0</v>
      </c>
      <c r="Q37" s="14" t="str">
        <f t="shared" si="4"/>
        <v>Syahriyah = Rp 0
Jariyah = Rp 0
Daftar Ulang = Rp 0
Total = Rp 0
______________________
ID : 2025070498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79">
        <f t="shared" si="2"/>
        <v>37</v>
      </c>
      <c r="B38" s="14" t="str">
        <f>IFERROR(__xludf.DUMMYFUNCTION("""COMPUTED_VALUE"""),"KAYSYAH AZIZATUS SAADA")</f>
        <v>KAYSYAH AZIZATUS SAADA</v>
      </c>
      <c r="C38" s="79">
        <f>IFERROR(__xludf.DUMMYFUNCTION("""COMPUTED_VALUE"""),2.025070643E9)</f>
        <v>2025070643</v>
      </c>
      <c r="D38" s="79" t="str">
        <f>IFERROR(__xludf.DUMMYFUNCTION("""COMPUTED_VALUE"""),"E")</f>
        <v>E</v>
      </c>
      <c r="E38" s="79" t="str">
        <f>IFERROR(__xludf.DUMMYFUNCTION("""COMPUTED_VALUE"""),"E-4")</f>
        <v>E-4</v>
      </c>
      <c r="F38" s="82">
        <f>IFERROR(__xludf.DUMMYFUNCTION("""COMPUTED_VALUE"""),2.0)</f>
        <v>2</v>
      </c>
      <c r="G38" s="79" t="str">
        <f>IFERROR(__xludf.DUMMYFUNCTION("""COMPUTED_VALUE"""),"2 ULA B PUTRI")</f>
        <v>2 ULA B PUTRI</v>
      </c>
      <c r="H38" s="14" t="str">
        <f>IFERROR(__xludf.DUMMYFUNCTION("""COMPUTED_VALUE"""),"6285784282773")</f>
        <v>6285784282773</v>
      </c>
      <c r="I38" s="83">
        <f>IFERROR(__xludf.DUMMYFUNCTION("""COMPUTED_VALUE"""),0.0)</f>
        <v>0</v>
      </c>
      <c r="J38" s="83">
        <f>IFERROR(__xludf.DUMMYFUNCTION("""COMPUTED_VALUE"""),1000000.0)</f>
        <v>1000000</v>
      </c>
      <c r="K38" s="83">
        <f>IFERROR(__xludf.DUMMYFUNCTION("""COMPUTED_VALUE"""),0.0)</f>
        <v>0</v>
      </c>
      <c r="L38" s="83">
        <f>IFERROR(__xludf.DUMMYFUNCTION("""COMPUTED_VALUE"""),1000000.0)</f>
        <v>1000000</v>
      </c>
      <c r="M38" s="14" t="str">
        <f t="shared" ref="M38:P38" si="39">text(I38,"Rp #,##0")</f>
        <v>Rp 0</v>
      </c>
      <c r="N38" s="14" t="str">
        <f t="shared" si="39"/>
        <v>Rp 1.000.000</v>
      </c>
      <c r="O38" s="14" t="str">
        <f t="shared" si="39"/>
        <v>Rp 0</v>
      </c>
      <c r="P38" s="14" t="str">
        <f t="shared" si="39"/>
        <v>Rp 1.000.000</v>
      </c>
      <c r="Q38" s="14" t="str">
        <f t="shared" si="4"/>
        <v>Syahriyah = Rp 0
Jariyah = Rp 1.000.000
Daftar Ulang = Rp 0
Total = Rp 1.000.000
______________________
ID : 2025070643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79">
        <f t="shared" si="2"/>
        <v>38</v>
      </c>
      <c r="B39" s="14" t="str">
        <f>IFERROR(__xludf.DUMMYFUNCTION("""COMPUTED_VALUE"""),"KHANSA ASADEL AL KHAIBAH")</f>
        <v>KHANSA ASADEL AL KHAIBAH</v>
      </c>
      <c r="C39" s="79">
        <f>IFERROR(__xludf.DUMMYFUNCTION("""COMPUTED_VALUE"""),2.025070478E9)</f>
        <v>2025070478</v>
      </c>
      <c r="D39" s="79" t="str">
        <f>IFERROR(__xludf.DUMMYFUNCTION("""COMPUTED_VALUE"""),"E")</f>
        <v>E</v>
      </c>
      <c r="E39" s="79" t="str">
        <f>IFERROR(__xludf.DUMMYFUNCTION("""COMPUTED_VALUE"""),"E-4")</f>
        <v>E-4</v>
      </c>
      <c r="F39" s="82">
        <f>IFERROR(__xludf.DUMMYFUNCTION("""COMPUTED_VALUE"""),2.0)</f>
        <v>2</v>
      </c>
      <c r="G39" s="79" t="str">
        <f>IFERROR(__xludf.DUMMYFUNCTION("""COMPUTED_VALUE"""),"2 ULA A PUTRI")</f>
        <v>2 ULA A PUTRI</v>
      </c>
      <c r="H39" s="14" t="str">
        <f>IFERROR(__xludf.DUMMYFUNCTION("""COMPUTED_VALUE"""),"6285755176962")</f>
        <v>6285755176962</v>
      </c>
      <c r="I39" s="83">
        <f>IFERROR(__xludf.DUMMYFUNCTION("""COMPUTED_VALUE"""),0.0)</f>
        <v>0</v>
      </c>
      <c r="J39" s="83">
        <f>IFERROR(__xludf.DUMMYFUNCTION("""COMPUTED_VALUE"""),0.0)</f>
        <v>0</v>
      </c>
      <c r="K39" s="83">
        <f>IFERROR(__xludf.DUMMYFUNCTION("""COMPUTED_VALUE"""),0.0)</f>
        <v>0</v>
      </c>
      <c r="L39" s="83">
        <f>IFERROR(__xludf.DUMMYFUNCTION("""COMPUTED_VALUE"""),0.0)</f>
        <v>0</v>
      </c>
      <c r="M39" s="14" t="str">
        <f t="shared" ref="M39:P39" si="40">text(I39,"Rp #,##0")</f>
        <v>Rp 0</v>
      </c>
      <c r="N39" s="14" t="str">
        <f t="shared" si="40"/>
        <v>Rp 0</v>
      </c>
      <c r="O39" s="14" t="str">
        <f t="shared" si="40"/>
        <v>Rp 0</v>
      </c>
      <c r="P39" s="14" t="str">
        <f t="shared" si="40"/>
        <v>Rp 0</v>
      </c>
      <c r="Q39" s="14" t="str">
        <f t="shared" si="4"/>
        <v>Syahriyah = Rp 0
Jariyah = Rp 0
Daftar Ulang = Rp 0
Total = Rp 0
______________________
ID : 2025070478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79">
        <f t="shared" si="2"/>
        <v>39</v>
      </c>
      <c r="B40" s="14" t="str">
        <f>IFERROR(__xludf.DUMMYFUNCTION("""COMPUTED_VALUE"""),"NAILATUS SYIFA`UL HUSNA")</f>
        <v>NAILATUS SYIFA`UL HUSNA</v>
      </c>
      <c r="C40" s="79">
        <f>IFERROR(__xludf.DUMMYFUNCTION("""COMPUTED_VALUE"""),2.025070511E9)</f>
        <v>2025070511</v>
      </c>
      <c r="D40" s="79" t="str">
        <f>IFERROR(__xludf.DUMMYFUNCTION("""COMPUTED_VALUE"""),"E")</f>
        <v>E</v>
      </c>
      <c r="E40" s="79" t="str">
        <f>IFERROR(__xludf.DUMMYFUNCTION("""COMPUTED_VALUE"""),"E-4")</f>
        <v>E-4</v>
      </c>
      <c r="F40" s="82">
        <f>IFERROR(__xludf.DUMMYFUNCTION("""COMPUTED_VALUE"""),2.0)</f>
        <v>2</v>
      </c>
      <c r="G40" s="79" t="str">
        <f>IFERROR(__xludf.DUMMYFUNCTION("""COMPUTED_VALUE"""),"2 ULA A PUTRI")</f>
        <v>2 ULA A PUTRI</v>
      </c>
      <c r="H40" s="14" t="str">
        <f>IFERROR(__xludf.DUMMYFUNCTION("""COMPUTED_VALUE"""),"6285257244488")</f>
        <v>6285257244488</v>
      </c>
      <c r="I40" s="83">
        <f>IFERROR(__xludf.DUMMYFUNCTION("""COMPUTED_VALUE"""),0.0)</f>
        <v>0</v>
      </c>
      <c r="J40" s="83">
        <f>IFERROR(__xludf.DUMMYFUNCTION("""COMPUTED_VALUE"""),1000000.0)</f>
        <v>1000000</v>
      </c>
      <c r="K40" s="83">
        <f>IFERROR(__xludf.DUMMYFUNCTION("""COMPUTED_VALUE"""),0.0)</f>
        <v>0</v>
      </c>
      <c r="L40" s="83">
        <f>IFERROR(__xludf.DUMMYFUNCTION("""COMPUTED_VALUE"""),1000000.0)</f>
        <v>1000000</v>
      </c>
      <c r="M40" s="14" t="str">
        <f t="shared" ref="M40:P40" si="41">text(I40,"Rp #,##0")</f>
        <v>Rp 0</v>
      </c>
      <c r="N40" s="14" t="str">
        <f t="shared" si="41"/>
        <v>Rp 1.000.000</v>
      </c>
      <c r="O40" s="14" t="str">
        <f t="shared" si="41"/>
        <v>Rp 0</v>
      </c>
      <c r="P40" s="14" t="str">
        <f t="shared" si="41"/>
        <v>Rp 1.000.000</v>
      </c>
      <c r="Q40" s="14" t="str">
        <f t="shared" si="4"/>
        <v>Syahriyah = Rp 0
Jariyah = Rp 1.000.000
Daftar Ulang = Rp 0
Total = Rp 1.000.000
______________________
ID : 2025070511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79">
        <f t="shared" si="2"/>
        <v>40</v>
      </c>
      <c r="B41" s="14" t="str">
        <f>IFERROR(__xludf.DUMMYFUNCTION("""COMPUTED_VALUE"""),"NAJWA BILQIS NAFISAH")</f>
        <v>NAJWA BILQIS NAFISAH</v>
      </c>
      <c r="C41" s="79">
        <f>IFERROR(__xludf.DUMMYFUNCTION("""COMPUTED_VALUE"""),2.025070552E9)</f>
        <v>2025070552</v>
      </c>
      <c r="D41" s="79" t="str">
        <f>IFERROR(__xludf.DUMMYFUNCTION("""COMPUTED_VALUE"""),"E")</f>
        <v>E</v>
      </c>
      <c r="E41" s="79" t="str">
        <f>IFERROR(__xludf.DUMMYFUNCTION("""COMPUTED_VALUE"""),"E-4")</f>
        <v>E-4</v>
      </c>
      <c r="F41" s="82">
        <f>IFERROR(__xludf.DUMMYFUNCTION("""COMPUTED_VALUE"""),2.0)</f>
        <v>2</v>
      </c>
      <c r="G41" s="79" t="str">
        <f>IFERROR(__xludf.DUMMYFUNCTION("""COMPUTED_VALUE"""),"2 ULA B PUTRI")</f>
        <v>2 ULA B PUTRI</v>
      </c>
      <c r="H41" s="14" t="str">
        <f>IFERROR(__xludf.DUMMYFUNCTION("""COMPUTED_VALUE"""),"6285606769994")</f>
        <v>6285606769994</v>
      </c>
      <c r="I41" s="83">
        <f>IFERROR(__xludf.DUMMYFUNCTION("""COMPUTED_VALUE"""),0.0)</f>
        <v>0</v>
      </c>
      <c r="J41" s="83">
        <f>IFERROR(__xludf.DUMMYFUNCTION("""COMPUTED_VALUE"""),1000000.0)</f>
        <v>1000000</v>
      </c>
      <c r="K41" s="83">
        <f>IFERROR(__xludf.DUMMYFUNCTION("""COMPUTED_VALUE"""),0.0)</f>
        <v>0</v>
      </c>
      <c r="L41" s="83">
        <f>IFERROR(__xludf.DUMMYFUNCTION("""COMPUTED_VALUE"""),1000000.0)</f>
        <v>1000000</v>
      </c>
      <c r="M41" s="14" t="str">
        <f t="shared" ref="M41:P41" si="42">text(I41,"Rp #,##0")</f>
        <v>Rp 0</v>
      </c>
      <c r="N41" s="14" t="str">
        <f t="shared" si="42"/>
        <v>Rp 1.000.000</v>
      </c>
      <c r="O41" s="14" t="str">
        <f t="shared" si="42"/>
        <v>Rp 0</v>
      </c>
      <c r="P41" s="14" t="str">
        <f t="shared" si="42"/>
        <v>Rp 1.000.000</v>
      </c>
      <c r="Q41" s="14" t="str">
        <f t="shared" si="4"/>
        <v>Syahriyah = Rp 0
Jariyah = Rp 1.000.000
Daftar Ulang = Rp 0
Total = Rp 1.000.000
______________________
ID : 2025070552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79">
        <f t="shared" si="2"/>
        <v>41</v>
      </c>
      <c r="B42" s="14" t="str">
        <f>IFERROR(__xludf.DUMMYFUNCTION("""COMPUTED_VALUE"""),"NOVITA PUTRI SALSABILA")</f>
        <v>NOVITA PUTRI SALSABILA</v>
      </c>
      <c r="C42" s="79">
        <f>IFERROR(__xludf.DUMMYFUNCTION("""COMPUTED_VALUE"""),2.025070506E9)</f>
        <v>2025070506</v>
      </c>
      <c r="D42" s="79" t="str">
        <f>IFERROR(__xludf.DUMMYFUNCTION("""COMPUTED_VALUE"""),"E")</f>
        <v>E</v>
      </c>
      <c r="E42" s="79" t="str">
        <f>IFERROR(__xludf.DUMMYFUNCTION("""COMPUTED_VALUE"""),"E-4")</f>
        <v>E-4</v>
      </c>
      <c r="F42" s="82">
        <f>IFERROR(__xludf.DUMMYFUNCTION("""COMPUTED_VALUE"""),2.0)</f>
        <v>2</v>
      </c>
      <c r="G42" s="79" t="str">
        <f>IFERROR(__xludf.DUMMYFUNCTION("""COMPUTED_VALUE"""),"2 ULA A PUTRI")</f>
        <v>2 ULA A PUTRI</v>
      </c>
      <c r="H42" s="14" t="str">
        <f>IFERROR(__xludf.DUMMYFUNCTION("""COMPUTED_VALUE"""),"6287783842404")</f>
        <v>6287783842404</v>
      </c>
      <c r="I42" s="83">
        <f>IFERROR(__xludf.DUMMYFUNCTION("""COMPUTED_VALUE"""),0.0)</f>
        <v>0</v>
      </c>
      <c r="J42" s="83">
        <f>IFERROR(__xludf.DUMMYFUNCTION("""COMPUTED_VALUE"""),0.0)</f>
        <v>0</v>
      </c>
      <c r="K42" s="83">
        <f>IFERROR(__xludf.DUMMYFUNCTION("""COMPUTED_VALUE"""),0.0)</f>
        <v>0</v>
      </c>
      <c r="L42" s="83">
        <f>IFERROR(__xludf.DUMMYFUNCTION("""COMPUTED_VALUE"""),0.0)</f>
        <v>0</v>
      </c>
      <c r="M42" s="14" t="str">
        <f t="shared" ref="M42:P42" si="43">text(I42,"Rp #,##0")</f>
        <v>Rp 0</v>
      </c>
      <c r="N42" s="14" t="str">
        <f t="shared" si="43"/>
        <v>Rp 0</v>
      </c>
      <c r="O42" s="14" t="str">
        <f t="shared" si="43"/>
        <v>Rp 0</v>
      </c>
      <c r="P42" s="14" t="str">
        <f t="shared" si="43"/>
        <v>Rp 0</v>
      </c>
      <c r="Q42" s="14" t="str">
        <f t="shared" si="4"/>
        <v>Syahriyah = Rp 0
Jariyah = Rp 0
Daftar Ulang = Rp 0
Total = Rp 0
______________________
ID : 2025070506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79">
        <f t="shared" si="2"/>
        <v>42</v>
      </c>
      <c r="B43" s="14" t="str">
        <f>IFERROR(__xludf.DUMMYFUNCTION("""COMPUTED_VALUE"""),"RIZKA ILMA HAQQIYA")</f>
        <v>RIZKA ILMA HAQQIYA</v>
      </c>
      <c r="C43" s="79">
        <f>IFERROR(__xludf.DUMMYFUNCTION("""COMPUTED_VALUE"""),2.025070629E9)</f>
        <v>2025070629</v>
      </c>
      <c r="D43" s="79" t="str">
        <f>IFERROR(__xludf.DUMMYFUNCTION("""COMPUTED_VALUE"""),"E")</f>
        <v>E</v>
      </c>
      <c r="E43" s="79" t="str">
        <f>IFERROR(__xludf.DUMMYFUNCTION("""COMPUTED_VALUE"""),"E-4")</f>
        <v>E-4</v>
      </c>
      <c r="F43" s="82">
        <f>IFERROR(__xludf.DUMMYFUNCTION("""COMPUTED_VALUE"""),2.0)</f>
        <v>2</v>
      </c>
      <c r="G43" s="79" t="str">
        <f>IFERROR(__xludf.DUMMYFUNCTION("""COMPUTED_VALUE"""),"2 ULA A PUTRI")</f>
        <v>2 ULA A PUTRI</v>
      </c>
      <c r="H43" s="14" t="str">
        <f>IFERROR(__xludf.DUMMYFUNCTION("""COMPUTED_VALUE"""),"6285815230735")</f>
        <v>6285815230735</v>
      </c>
      <c r="I43" s="83">
        <f>IFERROR(__xludf.DUMMYFUNCTION("""COMPUTED_VALUE"""),0.0)</f>
        <v>0</v>
      </c>
      <c r="J43" s="83">
        <f>IFERROR(__xludf.DUMMYFUNCTION("""COMPUTED_VALUE"""),0.0)</f>
        <v>0</v>
      </c>
      <c r="K43" s="83">
        <f>IFERROR(__xludf.DUMMYFUNCTION("""COMPUTED_VALUE"""),0.0)</f>
        <v>0</v>
      </c>
      <c r="L43" s="83">
        <f>IFERROR(__xludf.DUMMYFUNCTION("""COMPUTED_VALUE"""),0.0)</f>
        <v>0</v>
      </c>
      <c r="M43" s="14" t="str">
        <f t="shared" ref="M43:P43" si="44">text(I43,"Rp #,##0")</f>
        <v>Rp 0</v>
      </c>
      <c r="N43" s="14" t="str">
        <f t="shared" si="44"/>
        <v>Rp 0</v>
      </c>
      <c r="O43" s="14" t="str">
        <f t="shared" si="44"/>
        <v>Rp 0</v>
      </c>
      <c r="P43" s="14" t="str">
        <f t="shared" si="44"/>
        <v>Rp 0</v>
      </c>
      <c r="Q43" s="14" t="str">
        <f t="shared" si="4"/>
        <v>Syahriyah = Rp 0
Jariyah = Rp 0
Daftar Ulang = Rp 0
Total = Rp 0
______________________
ID : 2025070629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79">
        <f t="shared" si="2"/>
        <v>43</v>
      </c>
      <c r="B44" s="14" t="str">
        <f>IFERROR(__xludf.DUMMYFUNCTION("""COMPUTED_VALUE"""),"SHOFIE AULIA AFIQAH MARSAID")</f>
        <v>SHOFIE AULIA AFIQAH MARSAID</v>
      </c>
      <c r="C44" s="79">
        <f>IFERROR(__xludf.DUMMYFUNCTION("""COMPUTED_VALUE"""),2.025070593E9)</f>
        <v>2025070593</v>
      </c>
      <c r="D44" s="79" t="str">
        <f>IFERROR(__xludf.DUMMYFUNCTION("""COMPUTED_VALUE"""),"E")</f>
        <v>E</v>
      </c>
      <c r="E44" s="79" t="str">
        <f>IFERROR(__xludf.DUMMYFUNCTION("""COMPUTED_VALUE"""),"E-4")</f>
        <v>E-4</v>
      </c>
      <c r="F44" s="82">
        <f>IFERROR(__xludf.DUMMYFUNCTION("""COMPUTED_VALUE"""),2.0)</f>
        <v>2</v>
      </c>
      <c r="G44" s="79" t="str">
        <f>IFERROR(__xludf.DUMMYFUNCTION("""COMPUTED_VALUE"""),"ULA")</f>
        <v>ULA</v>
      </c>
      <c r="H44" s="14" t="str">
        <f>IFERROR(__xludf.DUMMYFUNCTION("""COMPUTED_VALUE"""),"6285706162506")</f>
        <v>6285706162506</v>
      </c>
      <c r="I44" s="83">
        <f>IFERROR(__xludf.DUMMYFUNCTION("""COMPUTED_VALUE"""),500000.0)</f>
        <v>500000</v>
      </c>
      <c r="J44" s="83">
        <f>IFERROR(__xludf.DUMMYFUNCTION("""COMPUTED_VALUE"""),1000000.0)</f>
        <v>1000000</v>
      </c>
      <c r="K44" s="83">
        <f>IFERROR(__xludf.DUMMYFUNCTION("""COMPUTED_VALUE"""),0.0)</f>
        <v>0</v>
      </c>
      <c r="L44" s="83">
        <f>IFERROR(__xludf.DUMMYFUNCTION("""COMPUTED_VALUE"""),1500000.0)</f>
        <v>1500000</v>
      </c>
      <c r="M44" s="14" t="str">
        <f t="shared" ref="M44:P44" si="45">text(I44,"Rp #,##0")</f>
        <v>Rp 500.000</v>
      </c>
      <c r="N44" s="14" t="str">
        <f t="shared" si="45"/>
        <v>Rp 1.000.000</v>
      </c>
      <c r="O44" s="14" t="str">
        <f t="shared" si="45"/>
        <v>Rp 0</v>
      </c>
      <c r="P44" s="14" t="str">
        <f t="shared" si="45"/>
        <v>Rp 1.500.000</v>
      </c>
      <c r="Q44" s="14" t="str">
        <f t="shared" si="4"/>
        <v>Syahriyah = Rp 500.000
Jariyah = Rp 1.000.000
Daftar Ulang = Rp 0
Total = Rp 1.500.000
______________________
ID : 2025070593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79">
        <f t="shared" si="2"/>
        <v>44</v>
      </c>
      <c r="B45" s="14" t="str">
        <f>IFERROR(__xludf.DUMMYFUNCTION("""COMPUTED_VALUE"""),"SINTIYA PUTRI HIDAYAH")</f>
        <v>SINTIYA PUTRI HIDAYAH</v>
      </c>
      <c r="C45" s="79">
        <f>IFERROR(__xludf.DUMMYFUNCTION("""COMPUTED_VALUE"""),2.025070614E9)</f>
        <v>2025070614</v>
      </c>
      <c r="D45" s="79" t="str">
        <f>IFERROR(__xludf.DUMMYFUNCTION("""COMPUTED_VALUE"""),"E")</f>
        <v>E</v>
      </c>
      <c r="E45" s="79" t="str">
        <f>IFERROR(__xludf.DUMMYFUNCTION("""COMPUTED_VALUE"""),"E-4")</f>
        <v>E-4</v>
      </c>
      <c r="F45" s="82">
        <f>IFERROR(__xludf.DUMMYFUNCTION("""COMPUTED_VALUE"""),2.0)</f>
        <v>2</v>
      </c>
      <c r="G45" s="79" t="str">
        <f>IFERROR(__xludf.DUMMYFUNCTION("""COMPUTED_VALUE"""),"2 ULA A PUTRI")</f>
        <v>2 ULA A PUTRI</v>
      </c>
      <c r="H45" s="14" t="str">
        <f>IFERROR(__xludf.DUMMYFUNCTION("""COMPUTED_VALUE"""),"6281335474858")</f>
        <v>6281335474858</v>
      </c>
      <c r="I45" s="83">
        <f>IFERROR(__xludf.DUMMYFUNCTION("""COMPUTED_VALUE"""),0.0)</f>
        <v>0</v>
      </c>
      <c r="J45" s="83">
        <f>IFERROR(__xludf.DUMMYFUNCTION("""COMPUTED_VALUE"""),1000000.0)</f>
        <v>1000000</v>
      </c>
      <c r="K45" s="83">
        <f>IFERROR(__xludf.DUMMYFUNCTION("""COMPUTED_VALUE"""),0.0)</f>
        <v>0</v>
      </c>
      <c r="L45" s="83">
        <f>IFERROR(__xludf.DUMMYFUNCTION("""COMPUTED_VALUE"""),1000000.0)</f>
        <v>1000000</v>
      </c>
      <c r="M45" s="14" t="str">
        <f t="shared" ref="M45:P45" si="46">text(I45,"Rp #,##0")</f>
        <v>Rp 0</v>
      </c>
      <c r="N45" s="14" t="str">
        <f t="shared" si="46"/>
        <v>Rp 1.000.000</v>
      </c>
      <c r="O45" s="14" t="str">
        <f t="shared" si="46"/>
        <v>Rp 0</v>
      </c>
      <c r="P45" s="14" t="str">
        <f t="shared" si="46"/>
        <v>Rp 1.000.000</v>
      </c>
      <c r="Q45" s="14" t="str">
        <f t="shared" si="4"/>
        <v>Syahriyah = Rp 0
Jariyah = Rp 1.000.000
Daftar Ulang = Rp 0
Total = Rp 1.000.000
______________________
ID : 2025070614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79">
        <f t="shared" si="2"/>
        <v>45</v>
      </c>
      <c r="B46" s="14" t="str">
        <f>IFERROR(__xludf.DUMMYFUNCTION("""COMPUTED_VALUE"""),"AFRA NAILA ARKARNA")</f>
        <v>AFRA NAILA ARKARNA</v>
      </c>
      <c r="C46" s="79">
        <f>IFERROR(__xludf.DUMMYFUNCTION("""COMPUTED_VALUE"""),2.025070164E9)</f>
        <v>2025070164</v>
      </c>
      <c r="D46" s="79" t="str">
        <f>IFERROR(__xludf.DUMMYFUNCTION("""COMPUTED_VALUE"""),"E")</f>
        <v>E</v>
      </c>
      <c r="E46" s="79" t="str">
        <f>IFERROR(__xludf.DUMMYFUNCTION("""COMPUTED_VALUE"""),"E-5")</f>
        <v>E-5</v>
      </c>
      <c r="F46" s="82">
        <f>IFERROR(__xludf.DUMMYFUNCTION("""COMPUTED_VALUE"""),2.0)</f>
        <v>2</v>
      </c>
      <c r="G46" s="79" t="str">
        <f>IFERROR(__xludf.DUMMYFUNCTION("""COMPUTED_VALUE"""),"2 WUSTHO B PUTRI")</f>
        <v>2 WUSTHO B PUTRI</v>
      </c>
      <c r="H46" s="14" t="str">
        <f>IFERROR(__xludf.DUMMYFUNCTION("""COMPUTED_VALUE"""),"62881026635988")</f>
        <v>62881026635988</v>
      </c>
      <c r="I46" s="83">
        <f>IFERROR(__xludf.DUMMYFUNCTION("""COMPUTED_VALUE"""),950000.0)</f>
        <v>950000</v>
      </c>
      <c r="J46" s="83">
        <f>IFERROR(__xludf.DUMMYFUNCTION("""COMPUTED_VALUE"""),800000.0)</f>
        <v>800000</v>
      </c>
      <c r="K46" s="83">
        <f>IFERROR(__xludf.DUMMYFUNCTION("""COMPUTED_VALUE"""),0.0)</f>
        <v>0</v>
      </c>
      <c r="L46" s="83">
        <f>IFERROR(__xludf.DUMMYFUNCTION("""COMPUTED_VALUE"""),1750000.0)</f>
        <v>1750000</v>
      </c>
      <c r="M46" s="14" t="str">
        <f t="shared" ref="M46:P46" si="47">text(I46,"Rp #,##0")</f>
        <v>Rp 950.000</v>
      </c>
      <c r="N46" s="14" t="str">
        <f t="shared" si="47"/>
        <v>Rp 800.000</v>
      </c>
      <c r="O46" s="14" t="str">
        <f t="shared" si="47"/>
        <v>Rp 0</v>
      </c>
      <c r="P46" s="14" t="str">
        <f t="shared" si="47"/>
        <v>Rp 1.750.000</v>
      </c>
      <c r="Q46" s="14" t="str">
        <f t="shared" si="4"/>
        <v>Syahriyah = Rp 950.000
Jariyah = Rp 800.000
Daftar Ulang = Rp 0
Total = Rp 1.750.000
______________________
ID : 2025070164</v>
      </c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79">
        <f t="shared" si="2"/>
        <v>46</v>
      </c>
      <c r="B47" s="14" t="str">
        <f>IFERROR(__xludf.DUMMYFUNCTION("""COMPUTED_VALUE"""),"ALMIRA GHANIYAH AZ-ZAHRAH")</f>
        <v>ALMIRA GHANIYAH AZ-ZAHRAH</v>
      </c>
      <c r="C47" s="79">
        <f>IFERROR(__xludf.DUMMYFUNCTION("""COMPUTED_VALUE"""),2.025070071E9)</f>
        <v>2025070071</v>
      </c>
      <c r="D47" s="79" t="str">
        <f>IFERROR(__xludf.DUMMYFUNCTION("""COMPUTED_VALUE"""),"E")</f>
        <v>E</v>
      </c>
      <c r="E47" s="79" t="str">
        <f>IFERROR(__xludf.DUMMYFUNCTION("""COMPUTED_VALUE"""),"E-5")</f>
        <v>E-5</v>
      </c>
      <c r="F47" s="82">
        <f>IFERROR(__xludf.DUMMYFUNCTION("""COMPUTED_VALUE"""),2.0)</f>
        <v>2</v>
      </c>
      <c r="G47" s="79" t="str">
        <f>IFERROR(__xludf.DUMMYFUNCTION("""COMPUTED_VALUE"""),"2 WUSTHO B PUTRI")</f>
        <v>2 WUSTHO B PUTRI</v>
      </c>
      <c r="H47" s="14" t="str">
        <f>IFERROR(__xludf.DUMMYFUNCTION("""COMPUTED_VALUE"""),"62895410761833")</f>
        <v>62895410761833</v>
      </c>
      <c r="I47" s="83">
        <f>IFERROR(__xludf.DUMMYFUNCTION("""COMPUTED_VALUE"""),0.0)</f>
        <v>0</v>
      </c>
      <c r="J47" s="83">
        <f>IFERROR(__xludf.DUMMYFUNCTION("""COMPUTED_VALUE"""),0.0)</f>
        <v>0</v>
      </c>
      <c r="K47" s="83">
        <f>IFERROR(__xludf.DUMMYFUNCTION("""COMPUTED_VALUE"""),0.0)</f>
        <v>0</v>
      </c>
      <c r="L47" s="83">
        <f>IFERROR(__xludf.DUMMYFUNCTION("""COMPUTED_VALUE"""),0.0)</f>
        <v>0</v>
      </c>
      <c r="M47" s="14" t="str">
        <f t="shared" ref="M47:P47" si="48">text(I47,"Rp #,##0")</f>
        <v>Rp 0</v>
      </c>
      <c r="N47" s="14" t="str">
        <f t="shared" si="48"/>
        <v>Rp 0</v>
      </c>
      <c r="O47" s="14" t="str">
        <f t="shared" si="48"/>
        <v>Rp 0</v>
      </c>
      <c r="P47" s="14" t="str">
        <f t="shared" si="48"/>
        <v>Rp 0</v>
      </c>
      <c r="Q47" s="14" t="str">
        <f t="shared" si="4"/>
        <v>Syahriyah = Rp 0
Jariyah = Rp 0
Daftar Ulang = Rp 0
Total = Rp 0
______________________
ID : 2025070071</v>
      </c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79">
        <f t="shared" si="2"/>
        <v>47</v>
      </c>
      <c r="B48" s="14" t="str">
        <f>IFERROR(__xludf.DUMMYFUNCTION("""COMPUTED_VALUE"""),"ALVINA AGHNIYA FATMAH")</f>
        <v>ALVINA AGHNIYA FATMAH</v>
      </c>
      <c r="C48" s="79">
        <f>IFERROR(__xludf.DUMMYFUNCTION("""COMPUTED_VALUE"""),2.025070316E9)</f>
        <v>2025070316</v>
      </c>
      <c r="D48" s="79" t="str">
        <f>IFERROR(__xludf.DUMMYFUNCTION("""COMPUTED_VALUE"""),"E")</f>
        <v>E</v>
      </c>
      <c r="E48" s="79" t="str">
        <f>IFERROR(__xludf.DUMMYFUNCTION("""COMPUTED_VALUE"""),"E-5")</f>
        <v>E-5</v>
      </c>
      <c r="F48" s="82">
        <f>IFERROR(__xludf.DUMMYFUNCTION("""COMPUTED_VALUE"""),2.0)</f>
        <v>2</v>
      </c>
      <c r="G48" s="79" t="str">
        <f>IFERROR(__xludf.DUMMYFUNCTION("""COMPUTED_VALUE"""),"TAHFIDZ")</f>
        <v>TAHFIDZ</v>
      </c>
      <c r="H48" s="14" t="str">
        <f>IFERROR(__xludf.DUMMYFUNCTION("""COMPUTED_VALUE"""),"6285802923208")</f>
        <v>6285802923208</v>
      </c>
      <c r="I48" s="83">
        <f>IFERROR(__xludf.DUMMYFUNCTION("""COMPUTED_VALUE"""),0.0)</f>
        <v>0</v>
      </c>
      <c r="J48" s="83">
        <f>IFERROR(__xludf.DUMMYFUNCTION("""COMPUTED_VALUE"""),1000000.0)</f>
        <v>1000000</v>
      </c>
      <c r="K48" s="83">
        <f>IFERROR(__xludf.DUMMYFUNCTION("""COMPUTED_VALUE"""),0.0)</f>
        <v>0</v>
      </c>
      <c r="L48" s="83">
        <f>IFERROR(__xludf.DUMMYFUNCTION("""COMPUTED_VALUE"""),1000000.0)</f>
        <v>1000000</v>
      </c>
      <c r="M48" s="14" t="str">
        <f t="shared" ref="M48:P48" si="49">text(I48,"Rp #,##0")</f>
        <v>Rp 0</v>
      </c>
      <c r="N48" s="14" t="str">
        <f t="shared" si="49"/>
        <v>Rp 1.000.000</v>
      </c>
      <c r="O48" s="14" t="str">
        <f t="shared" si="49"/>
        <v>Rp 0</v>
      </c>
      <c r="P48" s="14" t="str">
        <f t="shared" si="49"/>
        <v>Rp 1.000.000</v>
      </c>
      <c r="Q48" s="14" t="str">
        <f t="shared" si="4"/>
        <v>Syahriyah = Rp 0
Jariyah = Rp 1.000.000
Daftar Ulang = Rp 0
Total = Rp 1.000.000
______________________
ID : 2025070316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79">
        <f t="shared" si="2"/>
        <v>48</v>
      </c>
      <c r="B49" s="14" t="str">
        <f>IFERROR(__xludf.DUMMYFUNCTION("""COMPUTED_VALUE"""),"FARIZA KAHLA` NAJWA")</f>
        <v>FARIZA KAHLA` NAJWA</v>
      </c>
      <c r="C49" s="79">
        <f>IFERROR(__xludf.DUMMYFUNCTION("""COMPUTED_VALUE"""),2.025070149E9)</f>
        <v>2025070149</v>
      </c>
      <c r="D49" s="79" t="str">
        <f>IFERROR(__xludf.DUMMYFUNCTION("""COMPUTED_VALUE"""),"E")</f>
        <v>E</v>
      </c>
      <c r="E49" s="79" t="str">
        <f>IFERROR(__xludf.DUMMYFUNCTION("""COMPUTED_VALUE"""),"E-5")</f>
        <v>E-5</v>
      </c>
      <c r="F49" s="82">
        <f>IFERROR(__xludf.DUMMYFUNCTION("""COMPUTED_VALUE"""),2.0)</f>
        <v>2</v>
      </c>
      <c r="G49" s="79" t="str">
        <f>IFERROR(__xludf.DUMMYFUNCTION("""COMPUTED_VALUE"""),"2 WUSTHO B PUTRI")</f>
        <v>2 WUSTHO B PUTRI</v>
      </c>
      <c r="H49" s="14" t="str">
        <f>IFERROR(__xludf.DUMMYFUNCTION("""COMPUTED_VALUE"""),"6281216494000")</f>
        <v>6281216494000</v>
      </c>
      <c r="I49" s="83">
        <f>IFERROR(__xludf.DUMMYFUNCTION("""COMPUTED_VALUE"""),0.0)</f>
        <v>0</v>
      </c>
      <c r="J49" s="83">
        <f>IFERROR(__xludf.DUMMYFUNCTION("""COMPUTED_VALUE"""),0.0)</f>
        <v>0</v>
      </c>
      <c r="K49" s="83">
        <f>IFERROR(__xludf.DUMMYFUNCTION("""COMPUTED_VALUE"""),0.0)</f>
        <v>0</v>
      </c>
      <c r="L49" s="83">
        <f>IFERROR(__xludf.DUMMYFUNCTION("""COMPUTED_VALUE"""),0.0)</f>
        <v>0</v>
      </c>
      <c r="M49" s="14" t="str">
        <f t="shared" ref="M49:P49" si="50">text(I49,"Rp #,##0")</f>
        <v>Rp 0</v>
      </c>
      <c r="N49" s="14" t="str">
        <f t="shared" si="50"/>
        <v>Rp 0</v>
      </c>
      <c r="O49" s="14" t="str">
        <f t="shared" si="50"/>
        <v>Rp 0</v>
      </c>
      <c r="P49" s="14" t="str">
        <f t="shared" si="50"/>
        <v>Rp 0</v>
      </c>
      <c r="Q49" s="14" t="str">
        <f t="shared" si="4"/>
        <v>Syahriyah = Rp 0
Jariyah = Rp 0
Daftar Ulang = Rp 0
Total = Rp 0
______________________
ID : 2025070149</v>
      </c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9">
        <f t="shared" si="2"/>
        <v>49</v>
      </c>
      <c r="B50" s="14" t="str">
        <f>IFERROR(__xludf.DUMMYFUNCTION("""COMPUTED_VALUE"""),"HALWA MALEEHATUL FITRIYAH")</f>
        <v>HALWA MALEEHATUL FITRIYAH</v>
      </c>
      <c r="C50" s="79">
        <f>IFERROR(__xludf.DUMMYFUNCTION("""COMPUTED_VALUE"""),2.025070655E9)</f>
        <v>2025070655</v>
      </c>
      <c r="D50" s="79" t="str">
        <f>IFERROR(__xludf.DUMMYFUNCTION("""COMPUTED_VALUE"""),"E")</f>
        <v>E</v>
      </c>
      <c r="E50" s="79" t="str">
        <f>IFERROR(__xludf.DUMMYFUNCTION("""COMPUTED_VALUE"""),"E-5")</f>
        <v>E-5</v>
      </c>
      <c r="F50" s="82">
        <f>IFERROR(__xludf.DUMMYFUNCTION("""COMPUTED_VALUE"""),2.0)</f>
        <v>2</v>
      </c>
      <c r="G50" s="79" t="str">
        <f>IFERROR(__xludf.DUMMYFUNCTION("""COMPUTED_VALUE"""),"2 ULA A PUTRI")</f>
        <v>2 ULA A PUTRI</v>
      </c>
      <c r="H50" s="14" t="str">
        <f>IFERROR(__xludf.DUMMYFUNCTION("""COMPUTED_VALUE"""),"6281515526152")</f>
        <v>6281515526152</v>
      </c>
      <c r="I50" s="83">
        <f>IFERROR(__xludf.DUMMYFUNCTION("""COMPUTED_VALUE"""),0.0)</f>
        <v>0</v>
      </c>
      <c r="J50" s="83">
        <f>IFERROR(__xludf.DUMMYFUNCTION("""COMPUTED_VALUE"""),1000000.0)</f>
        <v>1000000</v>
      </c>
      <c r="K50" s="83">
        <f>IFERROR(__xludf.DUMMYFUNCTION("""COMPUTED_VALUE"""),0.0)</f>
        <v>0</v>
      </c>
      <c r="L50" s="83">
        <f>IFERROR(__xludf.DUMMYFUNCTION("""COMPUTED_VALUE"""),1000000.0)</f>
        <v>1000000</v>
      </c>
      <c r="M50" s="14" t="str">
        <f t="shared" ref="M50:P50" si="51">text(I50,"Rp #,##0")</f>
        <v>Rp 0</v>
      </c>
      <c r="N50" s="14" t="str">
        <f t="shared" si="51"/>
        <v>Rp 1.000.000</v>
      </c>
      <c r="O50" s="14" t="str">
        <f t="shared" si="51"/>
        <v>Rp 0</v>
      </c>
      <c r="P50" s="14" t="str">
        <f t="shared" si="51"/>
        <v>Rp 1.000.000</v>
      </c>
      <c r="Q50" s="14" t="str">
        <f t="shared" si="4"/>
        <v>Syahriyah = Rp 0
Jariyah = Rp 1.000.000
Daftar Ulang = Rp 0
Total = Rp 1.000.000
______________________
ID : 2025070655</v>
      </c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9">
        <f t="shared" si="2"/>
        <v>50</v>
      </c>
      <c r="B51" s="14" t="str">
        <f>IFERROR(__xludf.DUMMYFUNCTION("""COMPUTED_VALUE"""),"HILWAA FARIDATUL AZIZAH")</f>
        <v>HILWAA FARIDATUL AZIZAH</v>
      </c>
      <c r="C51" s="79">
        <f>IFERROR(__xludf.DUMMYFUNCTION("""COMPUTED_VALUE"""),2.025070355E9)</f>
        <v>2025070355</v>
      </c>
      <c r="D51" s="79" t="str">
        <f>IFERROR(__xludf.DUMMYFUNCTION("""COMPUTED_VALUE"""),"E")</f>
        <v>E</v>
      </c>
      <c r="E51" s="79" t="str">
        <f>IFERROR(__xludf.DUMMYFUNCTION("""COMPUTED_VALUE"""),"E-5")</f>
        <v>E-5</v>
      </c>
      <c r="F51" s="82">
        <f>IFERROR(__xludf.DUMMYFUNCTION("""COMPUTED_VALUE"""),2.0)</f>
        <v>2</v>
      </c>
      <c r="G51" s="79" t="str">
        <f>IFERROR(__xludf.DUMMYFUNCTION("""COMPUTED_VALUE"""),"2 WUSTHO B PUTRI")</f>
        <v>2 WUSTHO B PUTRI</v>
      </c>
      <c r="H51" s="14" t="str">
        <f>IFERROR(__xludf.DUMMYFUNCTION("""COMPUTED_VALUE"""),"6288989765237")</f>
        <v>6288989765237</v>
      </c>
      <c r="I51" s="83">
        <f>IFERROR(__xludf.DUMMYFUNCTION("""COMPUTED_VALUE"""),0.0)</f>
        <v>0</v>
      </c>
      <c r="J51" s="83">
        <f>IFERROR(__xludf.DUMMYFUNCTION("""COMPUTED_VALUE"""),0.0)</f>
        <v>0</v>
      </c>
      <c r="K51" s="83">
        <f>IFERROR(__xludf.DUMMYFUNCTION("""COMPUTED_VALUE"""),0.0)</f>
        <v>0</v>
      </c>
      <c r="L51" s="83">
        <f>IFERROR(__xludf.DUMMYFUNCTION("""COMPUTED_VALUE"""),0.0)</f>
        <v>0</v>
      </c>
      <c r="M51" s="14" t="str">
        <f t="shared" ref="M51:P51" si="52">text(I51,"Rp #,##0")</f>
        <v>Rp 0</v>
      </c>
      <c r="N51" s="14" t="str">
        <f t="shared" si="52"/>
        <v>Rp 0</v>
      </c>
      <c r="O51" s="14" t="str">
        <f t="shared" si="52"/>
        <v>Rp 0</v>
      </c>
      <c r="P51" s="14" t="str">
        <f t="shared" si="52"/>
        <v>Rp 0</v>
      </c>
      <c r="Q51" s="14" t="str">
        <f t="shared" si="4"/>
        <v>Syahriyah = Rp 0
Jariyah = Rp 0
Daftar Ulang = Rp 0
Total = Rp 0
______________________
ID : 2025070355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9">
        <f t="shared" si="2"/>
        <v>51</v>
      </c>
      <c r="B52" s="14" t="str">
        <f>IFERROR(__xludf.DUMMYFUNCTION("""COMPUTED_VALUE"""),"INDAH AYU FERA")</f>
        <v>INDAH AYU FERA</v>
      </c>
      <c r="C52" s="79">
        <f>IFERROR(__xludf.DUMMYFUNCTION("""COMPUTED_VALUE"""),2.025070167E9)</f>
        <v>2025070167</v>
      </c>
      <c r="D52" s="79" t="str">
        <f>IFERROR(__xludf.DUMMYFUNCTION("""COMPUTED_VALUE"""),"E")</f>
        <v>E</v>
      </c>
      <c r="E52" s="79" t="str">
        <f>IFERROR(__xludf.DUMMYFUNCTION("""COMPUTED_VALUE"""),"E-5")</f>
        <v>E-5</v>
      </c>
      <c r="F52" s="82">
        <f>IFERROR(__xludf.DUMMYFUNCTION("""COMPUTED_VALUE"""),2.0)</f>
        <v>2</v>
      </c>
      <c r="G52" s="79" t="str">
        <f>IFERROR(__xludf.DUMMYFUNCTION("""COMPUTED_VALUE"""),"2 WUSTHO B PUTRI")</f>
        <v>2 WUSTHO B PUTRI</v>
      </c>
      <c r="H52" s="14" t="str">
        <f>IFERROR(__xludf.DUMMYFUNCTION("""COMPUTED_VALUE"""),"6281331557560")</f>
        <v>6281331557560</v>
      </c>
      <c r="I52" s="83">
        <f>IFERROR(__xludf.DUMMYFUNCTION("""COMPUTED_VALUE"""),2000000.0)</f>
        <v>2000000</v>
      </c>
      <c r="J52" s="83">
        <f>IFERROR(__xludf.DUMMYFUNCTION("""COMPUTED_VALUE"""),0.0)</f>
        <v>0</v>
      </c>
      <c r="K52" s="83">
        <f>IFERROR(__xludf.DUMMYFUNCTION("""COMPUTED_VALUE"""),0.0)</f>
        <v>0</v>
      </c>
      <c r="L52" s="83">
        <f>IFERROR(__xludf.DUMMYFUNCTION("""COMPUTED_VALUE"""),2000000.0)</f>
        <v>2000000</v>
      </c>
      <c r="M52" s="14" t="str">
        <f t="shared" ref="M52:P52" si="53">text(I52,"Rp #,##0")</f>
        <v>Rp 2.000.000</v>
      </c>
      <c r="N52" s="14" t="str">
        <f t="shared" si="53"/>
        <v>Rp 0</v>
      </c>
      <c r="O52" s="14" t="str">
        <f t="shared" si="53"/>
        <v>Rp 0</v>
      </c>
      <c r="P52" s="14" t="str">
        <f t="shared" si="53"/>
        <v>Rp 2.000.000</v>
      </c>
      <c r="Q52" s="14" t="str">
        <f t="shared" si="4"/>
        <v>Syahriyah = Rp 2.000.000
Jariyah = Rp 0
Daftar Ulang = Rp 0
Total = Rp 2.000.000
______________________
ID : 2025070167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9">
        <f t="shared" si="2"/>
        <v>52</v>
      </c>
      <c r="B53" s="14" t="str">
        <f>IFERROR(__xludf.DUMMYFUNCTION("""COMPUTED_VALUE"""),"KHANSA ZHAFIRAH AFRAH")</f>
        <v>KHANSA ZHAFIRAH AFRAH</v>
      </c>
      <c r="C53" s="79">
        <f>IFERROR(__xludf.DUMMYFUNCTION("""COMPUTED_VALUE"""),2.025070141E9)</f>
        <v>2025070141</v>
      </c>
      <c r="D53" s="79" t="str">
        <f>IFERROR(__xludf.DUMMYFUNCTION("""COMPUTED_VALUE"""),"E")</f>
        <v>E</v>
      </c>
      <c r="E53" s="79" t="str">
        <f>IFERROR(__xludf.DUMMYFUNCTION("""COMPUTED_VALUE"""),"E-5")</f>
        <v>E-5</v>
      </c>
      <c r="F53" s="82">
        <f>IFERROR(__xludf.DUMMYFUNCTION("""COMPUTED_VALUE"""),2.0)</f>
        <v>2</v>
      </c>
      <c r="G53" s="79" t="str">
        <f>IFERROR(__xludf.DUMMYFUNCTION("""COMPUTED_VALUE"""),"2 MAK PUTRI")</f>
        <v>2 MAK PUTRI</v>
      </c>
      <c r="H53" s="14" t="str">
        <f>IFERROR(__xludf.DUMMYFUNCTION("""COMPUTED_VALUE"""),"6281216956050")</f>
        <v>6281216956050</v>
      </c>
      <c r="I53" s="83">
        <f>IFERROR(__xludf.DUMMYFUNCTION("""COMPUTED_VALUE"""),1000000.0)</f>
        <v>1000000</v>
      </c>
      <c r="J53" s="83">
        <f>IFERROR(__xludf.DUMMYFUNCTION("""COMPUTED_VALUE"""),0.0)</f>
        <v>0</v>
      </c>
      <c r="K53" s="83">
        <f>IFERROR(__xludf.DUMMYFUNCTION("""COMPUTED_VALUE"""),0.0)</f>
        <v>0</v>
      </c>
      <c r="L53" s="83">
        <f>IFERROR(__xludf.DUMMYFUNCTION("""COMPUTED_VALUE"""),1000000.0)</f>
        <v>1000000</v>
      </c>
      <c r="M53" s="14" t="str">
        <f t="shared" ref="M53:P53" si="54">text(I53,"Rp #,##0")</f>
        <v>Rp 1.000.000</v>
      </c>
      <c r="N53" s="14" t="str">
        <f t="shared" si="54"/>
        <v>Rp 0</v>
      </c>
      <c r="O53" s="14" t="str">
        <f t="shared" si="54"/>
        <v>Rp 0</v>
      </c>
      <c r="P53" s="14" t="str">
        <f t="shared" si="54"/>
        <v>Rp 1.000.000</v>
      </c>
      <c r="Q53" s="14" t="str">
        <f t="shared" si="4"/>
        <v>Syahriyah = Rp 1.000.000
Jariyah = Rp 0
Daftar Ulang = Rp 0
Total = Rp 1.000.000
______________________
ID : 2025070141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9">
        <f t="shared" si="2"/>
        <v>53</v>
      </c>
      <c r="B54" s="14" t="str">
        <f>IFERROR(__xludf.DUMMYFUNCTION("""COMPUTED_VALUE"""),"MAULIDA ARIFAH")</f>
        <v>MAULIDA ARIFAH</v>
      </c>
      <c r="C54" s="79">
        <f>IFERROR(__xludf.DUMMYFUNCTION("""COMPUTED_VALUE"""),2.02507051E9)</f>
        <v>2025070510</v>
      </c>
      <c r="D54" s="79" t="str">
        <f>IFERROR(__xludf.DUMMYFUNCTION("""COMPUTED_VALUE"""),"E")</f>
        <v>E</v>
      </c>
      <c r="E54" s="79" t="str">
        <f>IFERROR(__xludf.DUMMYFUNCTION("""COMPUTED_VALUE"""),"E-5")</f>
        <v>E-5</v>
      </c>
      <c r="F54" s="82">
        <f>IFERROR(__xludf.DUMMYFUNCTION("""COMPUTED_VALUE"""),2.0)</f>
        <v>2</v>
      </c>
      <c r="G54" s="79" t="str">
        <f>IFERROR(__xludf.DUMMYFUNCTION("""COMPUTED_VALUE"""),"2 ULA A PUTRI")</f>
        <v>2 ULA A PUTRI</v>
      </c>
      <c r="H54" s="14" t="str">
        <f>IFERROR(__xludf.DUMMYFUNCTION("""COMPUTED_VALUE"""),"6281230750632")</f>
        <v>6281230750632</v>
      </c>
      <c r="I54" s="83">
        <f>IFERROR(__xludf.DUMMYFUNCTION("""COMPUTED_VALUE"""),500000.0)</f>
        <v>500000</v>
      </c>
      <c r="J54" s="83">
        <f>IFERROR(__xludf.DUMMYFUNCTION("""COMPUTED_VALUE"""),1000000.0)</f>
        <v>1000000</v>
      </c>
      <c r="K54" s="83">
        <f>IFERROR(__xludf.DUMMYFUNCTION("""COMPUTED_VALUE"""),0.0)</f>
        <v>0</v>
      </c>
      <c r="L54" s="83">
        <f>IFERROR(__xludf.DUMMYFUNCTION("""COMPUTED_VALUE"""),1500000.0)</f>
        <v>1500000</v>
      </c>
      <c r="M54" s="14" t="str">
        <f t="shared" ref="M54:P54" si="55">text(I54,"Rp #,##0")</f>
        <v>Rp 500.000</v>
      </c>
      <c r="N54" s="14" t="str">
        <f t="shared" si="55"/>
        <v>Rp 1.000.000</v>
      </c>
      <c r="O54" s="14" t="str">
        <f t="shared" si="55"/>
        <v>Rp 0</v>
      </c>
      <c r="P54" s="14" t="str">
        <f t="shared" si="55"/>
        <v>Rp 1.500.000</v>
      </c>
      <c r="Q54" s="14" t="str">
        <f t="shared" si="4"/>
        <v>Syahriyah = Rp 500.000
Jariyah = Rp 1.000.000
Daftar Ulang = Rp 0
Total = Rp 1.500.000
______________________
ID : 2025070510</v>
      </c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9">
        <f t="shared" si="2"/>
        <v>54</v>
      </c>
      <c r="B55" s="14" t="str">
        <f>IFERROR(__xludf.DUMMYFUNCTION("""COMPUTED_VALUE"""),"NURISMA ZIANA")</f>
        <v>NURISMA ZIANA</v>
      </c>
      <c r="C55" s="79">
        <f>IFERROR(__xludf.DUMMYFUNCTION("""COMPUTED_VALUE"""),2.025070443E9)</f>
        <v>2025070443</v>
      </c>
      <c r="D55" s="79" t="str">
        <f>IFERROR(__xludf.DUMMYFUNCTION("""COMPUTED_VALUE"""),"E")</f>
        <v>E</v>
      </c>
      <c r="E55" s="79" t="str">
        <f>IFERROR(__xludf.DUMMYFUNCTION("""COMPUTED_VALUE"""),"E-5")</f>
        <v>E-5</v>
      </c>
      <c r="F55" s="82">
        <f>IFERROR(__xludf.DUMMYFUNCTION("""COMPUTED_VALUE"""),2.0)</f>
        <v>2</v>
      </c>
      <c r="G55" s="79" t="str">
        <f>IFERROR(__xludf.DUMMYFUNCTION("""COMPUTED_VALUE"""),"2 WUSTHO D PUTRI")</f>
        <v>2 WUSTHO D PUTRI</v>
      </c>
      <c r="H55" s="14" t="str">
        <f>IFERROR(__xludf.DUMMYFUNCTION("""COMPUTED_VALUE"""),"6285815643321")</f>
        <v>6285815643321</v>
      </c>
      <c r="I55" s="83">
        <f>IFERROR(__xludf.DUMMYFUNCTION("""COMPUTED_VALUE"""),500000.0)</f>
        <v>500000</v>
      </c>
      <c r="J55" s="83">
        <f>IFERROR(__xludf.DUMMYFUNCTION("""COMPUTED_VALUE"""),0.0)</f>
        <v>0</v>
      </c>
      <c r="K55" s="83">
        <f>IFERROR(__xludf.DUMMYFUNCTION("""COMPUTED_VALUE"""),0.0)</f>
        <v>0</v>
      </c>
      <c r="L55" s="83">
        <f>IFERROR(__xludf.DUMMYFUNCTION("""COMPUTED_VALUE"""),500000.0)</f>
        <v>500000</v>
      </c>
      <c r="M55" s="14" t="str">
        <f t="shared" ref="M55:P55" si="56">text(I55,"Rp #,##0")</f>
        <v>Rp 500.000</v>
      </c>
      <c r="N55" s="14" t="str">
        <f t="shared" si="56"/>
        <v>Rp 0</v>
      </c>
      <c r="O55" s="14" t="str">
        <f t="shared" si="56"/>
        <v>Rp 0</v>
      </c>
      <c r="P55" s="14" t="str">
        <f t="shared" si="56"/>
        <v>Rp 500.000</v>
      </c>
      <c r="Q55" s="14" t="str">
        <f t="shared" si="4"/>
        <v>Syahriyah = Rp 500.000
Jariyah = Rp 0
Daftar Ulang = Rp 0
Total = Rp 500.000
______________________
ID : 2025070443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9">
        <f t="shared" si="2"/>
        <v>55</v>
      </c>
      <c r="B56" s="14" t="str">
        <f>IFERROR(__xludf.DUMMYFUNCTION("""COMPUTED_VALUE"""),"SHOFFI NANDHA RISTASARI")</f>
        <v>SHOFFI NANDHA RISTASARI</v>
      </c>
      <c r="C56" s="79">
        <f>IFERROR(__xludf.DUMMYFUNCTION("""COMPUTED_VALUE"""),2.025070234E9)</f>
        <v>2025070234</v>
      </c>
      <c r="D56" s="79" t="str">
        <f>IFERROR(__xludf.DUMMYFUNCTION("""COMPUTED_VALUE"""),"E")</f>
        <v>E</v>
      </c>
      <c r="E56" s="79" t="str">
        <f>IFERROR(__xludf.DUMMYFUNCTION("""COMPUTED_VALUE"""),"E-5")</f>
        <v>E-5</v>
      </c>
      <c r="F56" s="82">
        <f>IFERROR(__xludf.DUMMYFUNCTION("""COMPUTED_VALUE"""),2.0)</f>
        <v>2</v>
      </c>
      <c r="G56" s="79" t="str">
        <f>IFERROR(__xludf.DUMMYFUNCTION("""COMPUTED_VALUE"""),"2 MAK PUTRI")</f>
        <v>2 MAK PUTRI</v>
      </c>
      <c r="H56" s="14" t="str">
        <f>IFERROR(__xludf.DUMMYFUNCTION("""COMPUTED_VALUE"""),"6285755749598")</f>
        <v>6285755749598</v>
      </c>
      <c r="I56" s="83">
        <f>IFERROR(__xludf.DUMMYFUNCTION("""COMPUTED_VALUE"""),500000.0)</f>
        <v>500000</v>
      </c>
      <c r="J56" s="83">
        <f>IFERROR(__xludf.DUMMYFUNCTION("""COMPUTED_VALUE"""),1000000.0)</f>
        <v>1000000</v>
      </c>
      <c r="K56" s="83">
        <f>IFERROR(__xludf.DUMMYFUNCTION("""COMPUTED_VALUE"""),0.0)</f>
        <v>0</v>
      </c>
      <c r="L56" s="83">
        <f>IFERROR(__xludf.DUMMYFUNCTION("""COMPUTED_VALUE"""),1500000.0)</f>
        <v>1500000</v>
      </c>
      <c r="M56" s="14" t="str">
        <f t="shared" ref="M56:P56" si="57">text(I56,"Rp #,##0")</f>
        <v>Rp 500.000</v>
      </c>
      <c r="N56" s="14" t="str">
        <f t="shared" si="57"/>
        <v>Rp 1.000.000</v>
      </c>
      <c r="O56" s="14" t="str">
        <f t="shared" si="57"/>
        <v>Rp 0</v>
      </c>
      <c r="P56" s="14" t="str">
        <f t="shared" si="57"/>
        <v>Rp 1.500.000</v>
      </c>
      <c r="Q56" s="14" t="str">
        <f t="shared" si="4"/>
        <v>Syahriyah = Rp 500.000
Jariyah = Rp 1.000.000
Daftar Ulang = Rp 0
Total = Rp 1.500.000
______________________
ID : 2025070234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9">
        <f t="shared" si="2"/>
        <v>56</v>
      </c>
      <c r="B57" s="14" t="str">
        <f>IFERROR(__xludf.DUMMYFUNCTION("""COMPUTED_VALUE"""),"YOGI ROFIATUS MAULA")</f>
        <v>YOGI ROFIATUS MAULA</v>
      </c>
      <c r="C57" s="79">
        <f>IFERROR(__xludf.DUMMYFUNCTION("""COMPUTED_VALUE"""),2.025070503E9)</f>
        <v>2025070503</v>
      </c>
      <c r="D57" s="79" t="str">
        <f>IFERROR(__xludf.DUMMYFUNCTION("""COMPUTED_VALUE"""),"E")</f>
        <v>E</v>
      </c>
      <c r="E57" s="79" t="str">
        <f>IFERROR(__xludf.DUMMYFUNCTION("""COMPUTED_VALUE"""),"E-5")</f>
        <v>E-5</v>
      </c>
      <c r="F57" s="82">
        <f>IFERROR(__xludf.DUMMYFUNCTION("""COMPUTED_VALUE"""),2.0)</f>
        <v>2</v>
      </c>
      <c r="G57" s="79" t="str">
        <f>IFERROR(__xludf.DUMMYFUNCTION("""COMPUTED_VALUE"""),"2 ULA C PUTRI")</f>
        <v>2 ULA C PUTRI</v>
      </c>
      <c r="H57" s="14" t="str">
        <f>IFERROR(__xludf.DUMMYFUNCTION("""COMPUTED_VALUE"""),"6285755100370")</f>
        <v>6285755100370</v>
      </c>
      <c r="I57" s="83">
        <f>IFERROR(__xludf.DUMMYFUNCTION("""COMPUTED_VALUE"""),0.0)</f>
        <v>0</v>
      </c>
      <c r="J57" s="83">
        <f>IFERROR(__xludf.DUMMYFUNCTION("""COMPUTED_VALUE"""),1000000.0)</f>
        <v>1000000</v>
      </c>
      <c r="K57" s="83">
        <f>IFERROR(__xludf.DUMMYFUNCTION("""COMPUTED_VALUE"""),0.0)</f>
        <v>0</v>
      </c>
      <c r="L57" s="83">
        <f>IFERROR(__xludf.DUMMYFUNCTION("""COMPUTED_VALUE"""),1000000.0)</f>
        <v>1000000</v>
      </c>
      <c r="M57" s="14" t="str">
        <f t="shared" ref="M57:P57" si="58">text(I57,"Rp #,##0")</f>
        <v>Rp 0</v>
      </c>
      <c r="N57" s="14" t="str">
        <f t="shared" si="58"/>
        <v>Rp 1.000.000</v>
      </c>
      <c r="O57" s="14" t="str">
        <f t="shared" si="58"/>
        <v>Rp 0</v>
      </c>
      <c r="P57" s="14" t="str">
        <f t="shared" si="58"/>
        <v>Rp 1.000.000</v>
      </c>
      <c r="Q57" s="14" t="str">
        <f t="shared" si="4"/>
        <v>Syahriyah = Rp 0
Jariyah = Rp 1.000.000
Daftar Ulang = Rp 0
Total = Rp 1.000.000
______________________
ID : 2025070503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9">
        <f t="shared" si="2"/>
        <v>57</v>
      </c>
      <c r="B58" s="14" t="str">
        <f>IFERROR(__xludf.DUMMYFUNCTION("""COMPUTED_VALUE"""),"ZAHIRA JULIA SAIDAH")</f>
        <v>ZAHIRA JULIA SAIDAH</v>
      </c>
      <c r="C58" s="79">
        <f>IFERROR(__xludf.DUMMYFUNCTION("""COMPUTED_VALUE"""),2.025070168E9)</f>
        <v>2025070168</v>
      </c>
      <c r="D58" s="79" t="str">
        <f>IFERROR(__xludf.DUMMYFUNCTION("""COMPUTED_VALUE"""),"E")</f>
        <v>E</v>
      </c>
      <c r="E58" s="79" t="str">
        <f>IFERROR(__xludf.DUMMYFUNCTION("""COMPUTED_VALUE"""),"E-5")</f>
        <v>E-5</v>
      </c>
      <c r="F58" s="82">
        <f>IFERROR(__xludf.DUMMYFUNCTION("""COMPUTED_VALUE"""),2.0)</f>
        <v>2</v>
      </c>
      <c r="G58" s="79" t="str">
        <f>IFERROR(__xludf.DUMMYFUNCTION("""COMPUTED_VALUE"""),"2 WUSTHO B PUTRI")</f>
        <v>2 WUSTHO B PUTRI</v>
      </c>
      <c r="H58" s="14" t="str">
        <f>IFERROR(__xludf.DUMMYFUNCTION("""COMPUTED_VALUE"""),"6285859402324")</f>
        <v>6285859402324</v>
      </c>
      <c r="I58" s="83">
        <f>IFERROR(__xludf.DUMMYFUNCTION("""COMPUTED_VALUE"""),3500000.0)</f>
        <v>3500000</v>
      </c>
      <c r="J58" s="83">
        <f>IFERROR(__xludf.DUMMYFUNCTION("""COMPUTED_VALUE"""),0.0)</f>
        <v>0</v>
      </c>
      <c r="K58" s="83">
        <f>IFERROR(__xludf.DUMMYFUNCTION("""COMPUTED_VALUE"""),0.0)</f>
        <v>0</v>
      </c>
      <c r="L58" s="83">
        <f>IFERROR(__xludf.DUMMYFUNCTION("""COMPUTED_VALUE"""),3500000.0)</f>
        <v>3500000</v>
      </c>
      <c r="M58" s="14" t="str">
        <f t="shared" ref="M58:P58" si="59">text(I58,"Rp #,##0")</f>
        <v>Rp 3.500.000</v>
      </c>
      <c r="N58" s="14" t="str">
        <f t="shared" si="59"/>
        <v>Rp 0</v>
      </c>
      <c r="O58" s="14" t="str">
        <f t="shared" si="59"/>
        <v>Rp 0</v>
      </c>
      <c r="P58" s="14" t="str">
        <f t="shared" si="59"/>
        <v>Rp 3.500.000</v>
      </c>
      <c r="Q58" s="14" t="str">
        <f t="shared" si="4"/>
        <v>Syahriyah = Rp 3.500.000
Jariyah = Rp 0
Daftar Ulang = Rp 0
Total = Rp 3.500.000
______________________
ID : 2025070168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9">
        <f t="shared" si="2"/>
        <v>58</v>
      </c>
      <c r="B59" s="14" t="str">
        <f>IFERROR(__xludf.DUMMYFUNCTION("""COMPUTED_VALUE"""),"AURA HANNA ZILFAH DLOFWATUL `AISY")</f>
        <v>AURA HANNA ZILFAH DLOFWATUL `AISY</v>
      </c>
      <c r="C59" s="79">
        <f>IFERROR(__xludf.DUMMYFUNCTION("""COMPUTED_VALUE"""),2.025070411E9)</f>
        <v>2025070411</v>
      </c>
      <c r="D59" s="79" t="str">
        <f>IFERROR(__xludf.DUMMYFUNCTION("""COMPUTED_VALUE"""),"E")</f>
        <v>E</v>
      </c>
      <c r="E59" s="79" t="str">
        <f>IFERROR(__xludf.DUMMYFUNCTION("""COMPUTED_VALUE"""),"E-5")</f>
        <v>E-5</v>
      </c>
      <c r="F59" s="82">
        <f>IFERROR(__xludf.DUMMYFUNCTION("""COMPUTED_VALUE"""),2.0)</f>
        <v>2</v>
      </c>
      <c r="G59" s="79" t="str">
        <f>IFERROR(__xludf.DUMMYFUNCTION("""COMPUTED_VALUE"""),"2 WUSTHO B PUTRI")</f>
        <v>2 WUSTHO B PUTRI</v>
      </c>
      <c r="H59" s="14" t="str">
        <f>IFERROR(__xludf.DUMMYFUNCTION("""COMPUTED_VALUE"""),"6282141276033")</f>
        <v>6282141276033</v>
      </c>
      <c r="I59" s="83">
        <f>IFERROR(__xludf.DUMMYFUNCTION("""COMPUTED_VALUE"""),0.0)</f>
        <v>0</v>
      </c>
      <c r="J59" s="83">
        <f>IFERROR(__xludf.DUMMYFUNCTION("""COMPUTED_VALUE"""),0.0)</f>
        <v>0</v>
      </c>
      <c r="K59" s="83">
        <f>IFERROR(__xludf.DUMMYFUNCTION("""COMPUTED_VALUE"""),0.0)</f>
        <v>0</v>
      </c>
      <c r="L59" s="83">
        <f>IFERROR(__xludf.DUMMYFUNCTION("""COMPUTED_VALUE"""),0.0)</f>
        <v>0</v>
      </c>
      <c r="M59" s="14" t="str">
        <f t="shared" ref="M59:P59" si="60">text(I59,"Rp #,##0")</f>
        <v>Rp 0</v>
      </c>
      <c r="N59" s="14" t="str">
        <f t="shared" si="60"/>
        <v>Rp 0</v>
      </c>
      <c r="O59" s="14" t="str">
        <f t="shared" si="60"/>
        <v>Rp 0</v>
      </c>
      <c r="P59" s="14" t="str">
        <f t="shared" si="60"/>
        <v>Rp 0</v>
      </c>
      <c r="Q59" s="14" t="str">
        <f t="shared" si="4"/>
        <v>Syahriyah = Rp 0
Jariyah = Rp 0
Daftar Ulang = Rp 0
Total = Rp 0
______________________
ID : 2025070411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9">
        <f t="shared" si="2"/>
        <v>59</v>
      </c>
      <c r="B60" s="14" t="str">
        <f>IFERROR(__xludf.DUMMYFUNCTION("""COMPUTED_VALUE"""),"NURUL AZMY")</f>
        <v>NURUL AZMY</v>
      </c>
      <c r="C60" s="79">
        <f>IFERROR(__xludf.DUMMYFUNCTION("""COMPUTED_VALUE"""),2.02507013E9)</f>
        <v>2025070130</v>
      </c>
      <c r="D60" s="79" t="str">
        <f>IFERROR(__xludf.DUMMYFUNCTION("""COMPUTED_VALUE"""),"E")</f>
        <v>E</v>
      </c>
      <c r="E60" s="79" t="str">
        <f>IFERROR(__xludf.DUMMYFUNCTION("""COMPUTED_VALUE"""),"E-5")</f>
        <v>E-5</v>
      </c>
      <c r="F60" s="82">
        <f>IFERROR(__xludf.DUMMYFUNCTION("""COMPUTED_VALUE"""),2.0)</f>
        <v>2</v>
      </c>
      <c r="G60" s="79" t="str">
        <f>IFERROR(__xludf.DUMMYFUNCTION("""COMPUTED_VALUE"""),"2 MAK PUTRI")</f>
        <v>2 MAK PUTRI</v>
      </c>
      <c r="H60" s="14" t="str">
        <f>IFERROR(__xludf.DUMMYFUNCTION("""COMPUTED_VALUE"""),"6285607273151")</f>
        <v>6285607273151</v>
      </c>
      <c r="I60" s="83">
        <f>IFERROR(__xludf.DUMMYFUNCTION("""COMPUTED_VALUE"""),0.0)</f>
        <v>0</v>
      </c>
      <c r="J60" s="83">
        <f>IFERROR(__xludf.DUMMYFUNCTION("""COMPUTED_VALUE"""),0.0)</f>
        <v>0</v>
      </c>
      <c r="K60" s="83">
        <f>IFERROR(__xludf.DUMMYFUNCTION("""COMPUTED_VALUE"""),0.0)</f>
        <v>0</v>
      </c>
      <c r="L60" s="83">
        <f>IFERROR(__xludf.DUMMYFUNCTION("""COMPUTED_VALUE"""),0.0)</f>
        <v>0</v>
      </c>
      <c r="M60" s="14" t="str">
        <f t="shared" ref="M60:P60" si="61">text(I60,"Rp #,##0")</f>
        <v>Rp 0</v>
      </c>
      <c r="N60" s="14" t="str">
        <f t="shared" si="61"/>
        <v>Rp 0</v>
      </c>
      <c r="O60" s="14" t="str">
        <f t="shared" si="61"/>
        <v>Rp 0</v>
      </c>
      <c r="P60" s="14" t="str">
        <f t="shared" si="61"/>
        <v>Rp 0</v>
      </c>
      <c r="Q60" s="14" t="str">
        <f t="shared" si="4"/>
        <v>Syahriyah = Rp 0
Jariyah = Rp 0
Daftar Ulang = Rp 0
Total = Rp 0
______________________
ID : 2025070130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9">
        <f t="shared" si="2"/>
        <v>60</v>
      </c>
      <c r="B61" s="14" t="str">
        <f>IFERROR(__xludf.DUMMYFUNCTION("""COMPUTED_VALUE"""),"INTAN PUTRI CAHYANI")</f>
        <v>INTAN PUTRI CAHYANI</v>
      </c>
      <c r="C61" s="79">
        <f>IFERROR(__xludf.DUMMYFUNCTION("""COMPUTED_VALUE"""),2.025070101E9)</f>
        <v>2025070101</v>
      </c>
      <c r="D61" s="79" t="str">
        <f>IFERROR(__xludf.DUMMYFUNCTION("""COMPUTED_VALUE"""),"E")</f>
        <v>E</v>
      </c>
      <c r="E61" s="79" t="str">
        <f>IFERROR(__xludf.DUMMYFUNCTION("""COMPUTED_VALUE"""),"E-5")</f>
        <v>E-5</v>
      </c>
      <c r="F61" s="82">
        <f>IFERROR(__xludf.DUMMYFUNCTION("""COMPUTED_VALUE"""),2.0)</f>
        <v>2</v>
      </c>
      <c r="G61" s="79" t="str">
        <f>IFERROR(__xludf.DUMMYFUNCTION("""COMPUTED_VALUE"""),"2 MAK PUTRI")</f>
        <v>2 MAK PUTRI</v>
      </c>
      <c r="H61" s="14" t="str">
        <f>IFERROR(__xludf.DUMMYFUNCTION("""COMPUTED_VALUE"""),"62882010266512")</f>
        <v>62882010266512</v>
      </c>
      <c r="I61" s="83">
        <f>IFERROR(__xludf.DUMMYFUNCTION("""COMPUTED_VALUE"""),0.0)</f>
        <v>0</v>
      </c>
      <c r="J61" s="83">
        <f>IFERROR(__xludf.DUMMYFUNCTION("""COMPUTED_VALUE"""),0.0)</f>
        <v>0</v>
      </c>
      <c r="K61" s="83">
        <f>IFERROR(__xludf.DUMMYFUNCTION("""COMPUTED_VALUE"""),0.0)</f>
        <v>0</v>
      </c>
      <c r="L61" s="83">
        <f>IFERROR(__xludf.DUMMYFUNCTION("""COMPUTED_VALUE"""),0.0)</f>
        <v>0</v>
      </c>
      <c r="M61" s="14" t="str">
        <f t="shared" ref="M61:P61" si="62">text(I61,"Rp #,##0")</f>
        <v>Rp 0</v>
      </c>
      <c r="N61" s="14" t="str">
        <f t="shared" si="62"/>
        <v>Rp 0</v>
      </c>
      <c r="O61" s="14" t="str">
        <f t="shared" si="62"/>
        <v>Rp 0</v>
      </c>
      <c r="P61" s="14" t="str">
        <f t="shared" si="62"/>
        <v>Rp 0</v>
      </c>
      <c r="Q61" s="14" t="str">
        <f t="shared" si="4"/>
        <v>Syahriyah = Rp 0
Jariyah = Rp 0
Daftar Ulang = Rp 0
Total = Rp 0
______________________
ID : 2025070101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9">
        <f t="shared" si="2"/>
        <v>61</v>
      </c>
      <c r="B62" s="14" t="str">
        <f>IFERROR(__xludf.DUMMYFUNCTION("""COMPUTED_VALUE"""),"ZAIMAH LULU AZKIYAH")</f>
        <v>ZAIMAH LULU AZKIYAH</v>
      </c>
      <c r="C62" s="79">
        <f>IFERROR(__xludf.DUMMYFUNCTION("""COMPUTED_VALUE"""),2.02507021E9)</f>
        <v>2025070210</v>
      </c>
      <c r="D62" s="79" t="str">
        <f>IFERROR(__xludf.DUMMYFUNCTION("""COMPUTED_VALUE"""),"E")</f>
        <v>E</v>
      </c>
      <c r="E62" s="79" t="str">
        <f>IFERROR(__xludf.DUMMYFUNCTION("""COMPUTED_VALUE"""),"E-5")</f>
        <v>E-5</v>
      </c>
      <c r="F62" s="82">
        <f>IFERROR(__xludf.DUMMYFUNCTION("""COMPUTED_VALUE"""),2.0)</f>
        <v>2</v>
      </c>
      <c r="G62" s="79" t="str">
        <f>IFERROR(__xludf.DUMMYFUNCTION("""COMPUTED_VALUE"""),"2 WUSTHO B PUTRI")</f>
        <v>2 WUSTHO B PUTRI</v>
      </c>
      <c r="H62" s="14" t="str">
        <f>IFERROR(__xludf.DUMMYFUNCTION("""COMPUTED_VALUE"""),"6285812457269")</f>
        <v>6285812457269</v>
      </c>
      <c r="I62" s="83">
        <f>IFERROR(__xludf.DUMMYFUNCTION("""COMPUTED_VALUE"""),1000000.0)</f>
        <v>1000000</v>
      </c>
      <c r="J62" s="83">
        <f>IFERROR(__xludf.DUMMYFUNCTION("""COMPUTED_VALUE"""),0.0)</f>
        <v>0</v>
      </c>
      <c r="K62" s="83">
        <f>IFERROR(__xludf.DUMMYFUNCTION("""COMPUTED_VALUE"""),0.0)</f>
        <v>0</v>
      </c>
      <c r="L62" s="83">
        <f>IFERROR(__xludf.DUMMYFUNCTION("""COMPUTED_VALUE"""),1000000.0)</f>
        <v>1000000</v>
      </c>
      <c r="M62" s="14" t="str">
        <f t="shared" ref="M62:P62" si="63">text(I62,"Rp #,##0")</f>
        <v>Rp 1.000.000</v>
      </c>
      <c r="N62" s="14" t="str">
        <f t="shared" si="63"/>
        <v>Rp 0</v>
      </c>
      <c r="O62" s="14" t="str">
        <f t="shared" si="63"/>
        <v>Rp 0</v>
      </c>
      <c r="P62" s="14" t="str">
        <f t="shared" si="63"/>
        <v>Rp 1.000.000</v>
      </c>
      <c r="Q62" s="14" t="str">
        <f t="shared" si="4"/>
        <v>Syahriyah = Rp 1.000.000
Jariyah = Rp 0
Daftar Ulang = Rp 0
Total = Rp 1.000.000
______________________
ID : 2025070210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9">
        <f t="shared" si="2"/>
        <v>62</v>
      </c>
      <c r="B63" s="14" t="str">
        <f>IFERROR(__xludf.DUMMYFUNCTION("""COMPUTED_VALUE"""),"ANISA RETNO LULUK NUR MANGGALI")</f>
        <v>ANISA RETNO LULUK NUR MANGGALI</v>
      </c>
      <c r="C63" s="79">
        <f>IFERROR(__xludf.DUMMYFUNCTION("""COMPUTED_VALUE"""),2.025070598E9)</f>
        <v>2025070598</v>
      </c>
      <c r="D63" s="79" t="str">
        <f>IFERROR(__xludf.DUMMYFUNCTION("""COMPUTED_VALUE"""),"E")</f>
        <v>E</v>
      </c>
      <c r="E63" s="79" t="str">
        <f>IFERROR(__xludf.DUMMYFUNCTION("""COMPUTED_VALUE"""),"E-6")</f>
        <v>E-6</v>
      </c>
      <c r="F63" s="82">
        <f>IFERROR(__xludf.DUMMYFUNCTION("""COMPUTED_VALUE"""),2.0)</f>
        <v>2</v>
      </c>
      <c r="G63" s="79" t="str">
        <f>IFERROR(__xludf.DUMMYFUNCTION("""COMPUTED_VALUE"""),"2 ULA C PUTRI")</f>
        <v>2 ULA C PUTRI</v>
      </c>
      <c r="H63" s="14" t="str">
        <f>IFERROR(__xludf.DUMMYFUNCTION("""COMPUTED_VALUE"""),"6285749892788")</f>
        <v>6285749892788</v>
      </c>
      <c r="I63" s="83">
        <f>IFERROR(__xludf.DUMMYFUNCTION("""COMPUTED_VALUE"""),0.0)</f>
        <v>0</v>
      </c>
      <c r="J63" s="83">
        <f>IFERROR(__xludf.DUMMYFUNCTION("""COMPUTED_VALUE"""),200000.0)</f>
        <v>200000</v>
      </c>
      <c r="K63" s="83">
        <f>IFERROR(__xludf.DUMMYFUNCTION("""COMPUTED_VALUE"""),0.0)</f>
        <v>0</v>
      </c>
      <c r="L63" s="83">
        <f>IFERROR(__xludf.DUMMYFUNCTION("""COMPUTED_VALUE"""),200000.0)</f>
        <v>200000</v>
      </c>
      <c r="M63" s="14" t="str">
        <f t="shared" ref="M63:P63" si="64">text(I63,"Rp #,##0")</f>
        <v>Rp 0</v>
      </c>
      <c r="N63" s="14" t="str">
        <f t="shared" si="64"/>
        <v>Rp 200.000</v>
      </c>
      <c r="O63" s="14" t="str">
        <f t="shared" si="64"/>
        <v>Rp 0</v>
      </c>
      <c r="P63" s="14" t="str">
        <f t="shared" si="64"/>
        <v>Rp 200.000</v>
      </c>
      <c r="Q63" s="14" t="str">
        <f t="shared" si="4"/>
        <v>Syahriyah = Rp 0
Jariyah = Rp 200.000
Daftar Ulang = Rp 0
Total = Rp 200.000
______________________
ID : 2025070598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79">
        <f t="shared" si="2"/>
        <v>63</v>
      </c>
      <c r="B64" s="14" t="str">
        <f>IFERROR(__xludf.DUMMYFUNCTION("""COMPUTED_VALUE"""),"ANITA RETNO LULUK NUR WAKISTASARI")</f>
        <v>ANITA RETNO LULUK NUR WAKISTASARI</v>
      </c>
      <c r="C64" s="79">
        <f>IFERROR(__xludf.DUMMYFUNCTION("""COMPUTED_VALUE"""),2.025070599E9)</f>
        <v>2025070599</v>
      </c>
      <c r="D64" s="79" t="str">
        <f>IFERROR(__xludf.DUMMYFUNCTION("""COMPUTED_VALUE"""),"E")</f>
        <v>E</v>
      </c>
      <c r="E64" s="79" t="str">
        <f>IFERROR(__xludf.DUMMYFUNCTION("""COMPUTED_VALUE"""),"E-6")</f>
        <v>E-6</v>
      </c>
      <c r="F64" s="82">
        <f>IFERROR(__xludf.DUMMYFUNCTION("""COMPUTED_VALUE"""),2.0)</f>
        <v>2</v>
      </c>
      <c r="G64" s="79" t="str">
        <f>IFERROR(__xludf.DUMMYFUNCTION("""COMPUTED_VALUE"""),"2 ULA B PUTRI")</f>
        <v>2 ULA B PUTRI</v>
      </c>
      <c r="H64" s="14" t="str">
        <f>IFERROR(__xludf.DUMMYFUNCTION("""COMPUTED_VALUE"""),"6285749892788")</f>
        <v>6285749892788</v>
      </c>
      <c r="I64" s="83">
        <f>IFERROR(__xludf.DUMMYFUNCTION("""COMPUTED_VALUE"""),0.0)</f>
        <v>0</v>
      </c>
      <c r="J64" s="83">
        <f>IFERROR(__xludf.DUMMYFUNCTION("""COMPUTED_VALUE"""),200000.0)</f>
        <v>200000</v>
      </c>
      <c r="K64" s="83">
        <f>IFERROR(__xludf.DUMMYFUNCTION("""COMPUTED_VALUE"""),0.0)</f>
        <v>0</v>
      </c>
      <c r="L64" s="83">
        <f>IFERROR(__xludf.DUMMYFUNCTION("""COMPUTED_VALUE"""),200000.0)</f>
        <v>200000</v>
      </c>
      <c r="M64" s="14" t="str">
        <f t="shared" ref="M64:P64" si="65">text(I64,"Rp #,##0")</f>
        <v>Rp 0</v>
      </c>
      <c r="N64" s="14" t="str">
        <f t="shared" si="65"/>
        <v>Rp 200.000</v>
      </c>
      <c r="O64" s="14" t="str">
        <f t="shared" si="65"/>
        <v>Rp 0</v>
      </c>
      <c r="P64" s="14" t="str">
        <f t="shared" si="65"/>
        <v>Rp 200.000</v>
      </c>
      <c r="Q64" s="14" t="str">
        <f t="shared" si="4"/>
        <v>Syahriyah = Rp 0
Jariyah = Rp 200.000
Daftar Ulang = Rp 0
Total = Rp 200.000
______________________
ID : 2025070599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79">
        <f t="shared" si="2"/>
        <v>64</v>
      </c>
      <c r="B65" s="14" t="str">
        <f>IFERROR(__xludf.DUMMYFUNCTION("""COMPUTED_VALUE"""),"ASYIFATUR RAHMAH AL AZZA")</f>
        <v>ASYIFATUR RAHMAH AL AZZA</v>
      </c>
      <c r="C65" s="79">
        <f>IFERROR(__xludf.DUMMYFUNCTION("""COMPUTED_VALUE"""),2.025070664E9)</f>
        <v>2025070664</v>
      </c>
      <c r="D65" s="79" t="str">
        <f>IFERROR(__xludf.DUMMYFUNCTION("""COMPUTED_VALUE"""),"E")</f>
        <v>E</v>
      </c>
      <c r="E65" s="79" t="str">
        <f>IFERROR(__xludf.DUMMYFUNCTION("""COMPUTED_VALUE"""),"E-6")</f>
        <v>E-6</v>
      </c>
      <c r="F65" s="82">
        <f>IFERROR(__xludf.DUMMYFUNCTION("""COMPUTED_VALUE"""),2.0)</f>
        <v>2</v>
      </c>
      <c r="G65" s="79" t="str">
        <f>IFERROR(__xludf.DUMMYFUNCTION("""COMPUTED_VALUE"""),"2 ULA B PUTRI")</f>
        <v>2 ULA B PUTRI</v>
      </c>
      <c r="H65" s="14" t="str">
        <f>IFERROR(__xludf.DUMMYFUNCTION("""COMPUTED_VALUE"""),"6285859446395")</f>
        <v>6285859446395</v>
      </c>
      <c r="I65" s="83">
        <f>IFERROR(__xludf.DUMMYFUNCTION("""COMPUTED_VALUE"""),3000000.0)</f>
        <v>3000000</v>
      </c>
      <c r="J65" s="83">
        <f>IFERROR(__xludf.DUMMYFUNCTION("""COMPUTED_VALUE"""),0.0)</f>
        <v>0</v>
      </c>
      <c r="K65" s="83">
        <f>IFERROR(__xludf.DUMMYFUNCTION("""COMPUTED_VALUE"""),0.0)</f>
        <v>0</v>
      </c>
      <c r="L65" s="83">
        <f>IFERROR(__xludf.DUMMYFUNCTION("""COMPUTED_VALUE"""),3000000.0)</f>
        <v>3000000</v>
      </c>
      <c r="M65" s="14" t="str">
        <f t="shared" ref="M65:P65" si="66">text(I65,"Rp #,##0")</f>
        <v>Rp 3.000.000</v>
      </c>
      <c r="N65" s="14" t="str">
        <f t="shared" si="66"/>
        <v>Rp 0</v>
      </c>
      <c r="O65" s="14" t="str">
        <f t="shared" si="66"/>
        <v>Rp 0</v>
      </c>
      <c r="P65" s="14" t="str">
        <f t="shared" si="66"/>
        <v>Rp 3.000.000</v>
      </c>
      <c r="Q65" s="14" t="str">
        <f t="shared" si="4"/>
        <v>Syahriyah = Rp 3.000.000
Jariyah = Rp 0
Daftar Ulang = Rp 0
Total = Rp 3.000.000
______________________
ID : 2025070664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79">
        <f t="shared" si="2"/>
        <v>65</v>
      </c>
      <c r="B66" s="14" t="str">
        <f>IFERROR(__xludf.DUMMYFUNCTION("""COMPUTED_VALUE"""),"CITRA RAMADHANIA ABDILLAH")</f>
        <v>CITRA RAMADHANIA ABDILLAH</v>
      </c>
      <c r="C66" s="79">
        <f>IFERROR(__xludf.DUMMYFUNCTION("""COMPUTED_VALUE"""),2.025070549E9)</f>
        <v>2025070549</v>
      </c>
      <c r="D66" s="79" t="str">
        <f>IFERROR(__xludf.DUMMYFUNCTION("""COMPUTED_VALUE"""),"E")</f>
        <v>E</v>
      </c>
      <c r="E66" s="79" t="str">
        <f>IFERROR(__xludf.DUMMYFUNCTION("""COMPUTED_VALUE"""),"E-6")</f>
        <v>E-6</v>
      </c>
      <c r="F66" s="82">
        <f>IFERROR(__xludf.DUMMYFUNCTION("""COMPUTED_VALUE"""),2.0)</f>
        <v>2</v>
      </c>
      <c r="G66" s="79" t="str">
        <f>IFERROR(__xludf.DUMMYFUNCTION("""COMPUTED_VALUE"""),"2 ULA B PUTRI")</f>
        <v>2 ULA B PUTRI</v>
      </c>
      <c r="H66" s="14" t="str">
        <f>IFERROR(__xludf.DUMMYFUNCTION("""COMPUTED_VALUE"""),"6281293344944")</f>
        <v>6281293344944</v>
      </c>
      <c r="I66" s="83">
        <f>IFERROR(__xludf.DUMMYFUNCTION("""COMPUTED_VALUE"""),0.0)</f>
        <v>0</v>
      </c>
      <c r="J66" s="83">
        <f>IFERROR(__xludf.DUMMYFUNCTION("""COMPUTED_VALUE"""),0.0)</f>
        <v>0</v>
      </c>
      <c r="K66" s="83">
        <f>IFERROR(__xludf.DUMMYFUNCTION("""COMPUTED_VALUE"""),0.0)</f>
        <v>0</v>
      </c>
      <c r="L66" s="83">
        <f>IFERROR(__xludf.DUMMYFUNCTION("""COMPUTED_VALUE"""),0.0)</f>
        <v>0</v>
      </c>
      <c r="M66" s="14" t="str">
        <f t="shared" ref="M66:P66" si="67">text(I66,"Rp #,##0")</f>
        <v>Rp 0</v>
      </c>
      <c r="N66" s="14" t="str">
        <f t="shared" si="67"/>
        <v>Rp 0</v>
      </c>
      <c r="O66" s="14" t="str">
        <f t="shared" si="67"/>
        <v>Rp 0</v>
      </c>
      <c r="P66" s="14" t="str">
        <f t="shared" si="67"/>
        <v>Rp 0</v>
      </c>
      <c r="Q66" s="14" t="str">
        <f t="shared" si="4"/>
        <v>Syahriyah = Rp 0
Jariyah = Rp 0
Daftar Ulang = Rp 0
Total = Rp 0
______________________
ID : 2025070549</v>
      </c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79">
        <f t="shared" si="2"/>
        <v>66</v>
      </c>
      <c r="B67" s="14" t="str">
        <f>IFERROR(__xludf.DUMMYFUNCTION("""COMPUTED_VALUE"""),"FAIZAH WAHIDATUR RAHMAH")</f>
        <v>FAIZAH WAHIDATUR RAHMAH</v>
      </c>
      <c r="C67" s="79">
        <f>IFERROR(__xludf.DUMMYFUNCTION("""COMPUTED_VALUE"""),2.02507057E9)</f>
        <v>2025070570</v>
      </c>
      <c r="D67" s="79" t="str">
        <f>IFERROR(__xludf.DUMMYFUNCTION("""COMPUTED_VALUE"""),"E")</f>
        <v>E</v>
      </c>
      <c r="E67" s="79" t="str">
        <f>IFERROR(__xludf.DUMMYFUNCTION("""COMPUTED_VALUE"""),"E-6")</f>
        <v>E-6</v>
      </c>
      <c r="F67" s="82">
        <f>IFERROR(__xludf.DUMMYFUNCTION("""COMPUTED_VALUE"""),2.0)</f>
        <v>2</v>
      </c>
      <c r="G67" s="79" t="str">
        <f>IFERROR(__xludf.DUMMYFUNCTION("""COMPUTED_VALUE"""),"2 ULA B PUTRI")</f>
        <v>2 ULA B PUTRI</v>
      </c>
      <c r="H67" s="14" t="str">
        <f>IFERROR(__xludf.DUMMYFUNCTION("""COMPUTED_VALUE"""),"6287701956767")</f>
        <v>6287701956767</v>
      </c>
      <c r="I67" s="83">
        <f>IFERROR(__xludf.DUMMYFUNCTION("""COMPUTED_VALUE"""),0.0)</f>
        <v>0</v>
      </c>
      <c r="J67" s="83">
        <f>IFERROR(__xludf.DUMMYFUNCTION("""COMPUTED_VALUE"""),1000000.0)</f>
        <v>1000000</v>
      </c>
      <c r="K67" s="83">
        <f>IFERROR(__xludf.DUMMYFUNCTION("""COMPUTED_VALUE"""),0.0)</f>
        <v>0</v>
      </c>
      <c r="L67" s="83">
        <f>IFERROR(__xludf.DUMMYFUNCTION("""COMPUTED_VALUE"""),1000000.0)</f>
        <v>1000000</v>
      </c>
      <c r="M67" s="14" t="str">
        <f t="shared" ref="M67:P67" si="68">text(I67,"Rp #,##0")</f>
        <v>Rp 0</v>
      </c>
      <c r="N67" s="14" t="str">
        <f t="shared" si="68"/>
        <v>Rp 1.000.000</v>
      </c>
      <c r="O67" s="14" t="str">
        <f t="shared" si="68"/>
        <v>Rp 0</v>
      </c>
      <c r="P67" s="14" t="str">
        <f t="shared" si="68"/>
        <v>Rp 1.000.000</v>
      </c>
      <c r="Q67" s="14" t="str">
        <f t="shared" si="4"/>
        <v>Syahriyah = Rp 0
Jariyah = Rp 1.000.000
Daftar Ulang = Rp 0
Total = Rp 1.000.000
______________________
ID : 2025070570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79">
        <f t="shared" si="2"/>
        <v>67</v>
      </c>
      <c r="B68" s="14" t="str">
        <f>IFERROR(__xludf.DUMMYFUNCTION("""COMPUTED_VALUE"""),"TITIN HAMIDAH ALIFIA")</f>
        <v>TITIN HAMIDAH ALIFIA</v>
      </c>
      <c r="C68" s="79">
        <f>IFERROR(__xludf.DUMMYFUNCTION("""COMPUTED_VALUE"""),2.025070581E9)</f>
        <v>2025070581</v>
      </c>
      <c r="D68" s="79" t="str">
        <f>IFERROR(__xludf.DUMMYFUNCTION("""COMPUTED_VALUE"""),"E")</f>
        <v>E</v>
      </c>
      <c r="E68" s="79" t="str">
        <f>IFERROR(__xludf.DUMMYFUNCTION("""COMPUTED_VALUE"""),"E-6")</f>
        <v>E-6</v>
      </c>
      <c r="F68" s="82">
        <f>IFERROR(__xludf.DUMMYFUNCTION("""COMPUTED_VALUE"""),2.0)</f>
        <v>2</v>
      </c>
      <c r="G68" s="79" t="str">
        <f>IFERROR(__xludf.DUMMYFUNCTION("""COMPUTED_VALUE"""),"2 ULA A PUTRI")</f>
        <v>2 ULA A PUTRI</v>
      </c>
      <c r="H68" s="14" t="str">
        <f>IFERROR(__xludf.DUMMYFUNCTION("""COMPUTED_VALUE"""),"6285755628243")</f>
        <v>6285755628243</v>
      </c>
      <c r="I68" s="83">
        <f>IFERROR(__xludf.DUMMYFUNCTION("""COMPUTED_VALUE"""),0.0)</f>
        <v>0</v>
      </c>
      <c r="J68" s="83">
        <f>IFERROR(__xludf.DUMMYFUNCTION("""COMPUTED_VALUE"""),500000.0)</f>
        <v>500000</v>
      </c>
      <c r="K68" s="83">
        <f>IFERROR(__xludf.DUMMYFUNCTION("""COMPUTED_VALUE"""),0.0)</f>
        <v>0</v>
      </c>
      <c r="L68" s="83">
        <f>IFERROR(__xludf.DUMMYFUNCTION("""COMPUTED_VALUE"""),500000.0)</f>
        <v>500000</v>
      </c>
      <c r="M68" s="14" t="str">
        <f t="shared" ref="M68:P68" si="69">text(I68,"Rp #,##0")</f>
        <v>Rp 0</v>
      </c>
      <c r="N68" s="14" t="str">
        <f t="shared" si="69"/>
        <v>Rp 500.000</v>
      </c>
      <c r="O68" s="14" t="str">
        <f t="shared" si="69"/>
        <v>Rp 0</v>
      </c>
      <c r="P68" s="14" t="str">
        <f t="shared" si="69"/>
        <v>Rp 500.000</v>
      </c>
      <c r="Q68" s="14" t="str">
        <f t="shared" si="4"/>
        <v>Syahriyah = Rp 0
Jariyah = Rp 500.000
Daftar Ulang = Rp 0
Total = Rp 500.000
______________________
ID : 2025070581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79">
        <f t="shared" si="2"/>
        <v>68</v>
      </c>
      <c r="B69" s="14" t="str">
        <f>IFERROR(__xludf.DUMMYFUNCTION("""COMPUTED_VALUE"""),"AJENG `AINUS SHOFIA")</f>
        <v>AJENG `AINUS SHOFIA</v>
      </c>
      <c r="C69" s="79">
        <f>IFERROR(__xludf.DUMMYFUNCTION("""COMPUTED_VALUE"""),2.025070024E9)</f>
        <v>2025070024</v>
      </c>
      <c r="D69" s="79" t="str">
        <f>IFERROR(__xludf.DUMMYFUNCTION("""COMPUTED_VALUE"""),"E")</f>
        <v>E</v>
      </c>
      <c r="E69" s="79" t="str">
        <f>IFERROR(__xludf.DUMMYFUNCTION("""COMPUTED_VALUE"""),"E-6")</f>
        <v>E-6</v>
      </c>
      <c r="F69" s="82">
        <f>IFERROR(__xludf.DUMMYFUNCTION("""COMPUTED_VALUE"""),2.0)</f>
        <v>2</v>
      </c>
      <c r="G69" s="79" t="str">
        <f>IFERROR(__xludf.DUMMYFUNCTION("""COMPUTED_VALUE"""),"2 WUSTHO B PUTRI")</f>
        <v>2 WUSTHO B PUTRI</v>
      </c>
      <c r="H69" s="14" t="str">
        <f>IFERROR(__xludf.DUMMYFUNCTION("""COMPUTED_VALUE"""),"62816216569")</f>
        <v>62816216569</v>
      </c>
      <c r="I69" s="83">
        <f>IFERROR(__xludf.DUMMYFUNCTION("""COMPUTED_VALUE"""),0.0)</f>
        <v>0</v>
      </c>
      <c r="J69" s="83">
        <f>IFERROR(__xludf.DUMMYFUNCTION("""COMPUTED_VALUE"""),0.0)</f>
        <v>0</v>
      </c>
      <c r="K69" s="83">
        <f>IFERROR(__xludf.DUMMYFUNCTION("""COMPUTED_VALUE"""),0.0)</f>
        <v>0</v>
      </c>
      <c r="L69" s="83">
        <f>IFERROR(__xludf.DUMMYFUNCTION("""COMPUTED_VALUE"""),0.0)</f>
        <v>0</v>
      </c>
      <c r="M69" s="14" t="str">
        <f t="shared" ref="M69:P69" si="70">text(I69,"Rp #,##0")</f>
        <v>Rp 0</v>
      </c>
      <c r="N69" s="14" t="str">
        <f t="shared" si="70"/>
        <v>Rp 0</v>
      </c>
      <c r="O69" s="14" t="str">
        <f t="shared" si="70"/>
        <v>Rp 0</v>
      </c>
      <c r="P69" s="14" t="str">
        <f t="shared" si="70"/>
        <v>Rp 0</v>
      </c>
      <c r="Q69" s="14" t="str">
        <f t="shared" si="4"/>
        <v>Syahriyah = Rp 0
Jariyah = Rp 0
Daftar Ulang = Rp 0
Total = Rp 0
______________________
ID : 2025070024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79">
        <f t="shared" si="2"/>
        <v>69</v>
      </c>
      <c r="B70" s="14" t="str">
        <f>IFERROR(__xludf.DUMMYFUNCTION("""COMPUTED_VALUE"""),"NI`MATUL JANNAH")</f>
        <v>NI`MATUL JANNAH</v>
      </c>
      <c r="C70" s="79">
        <f>IFERROR(__xludf.DUMMYFUNCTION("""COMPUTED_VALUE"""),2.025070199E9)</f>
        <v>2025070199</v>
      </c>
      <c r="D70" s="79" t="str">
        <f>IFERROR(__xludf.DUMMYFUNCTION("""COMPUTED_VALUE"""),"E")</f>
        <v>E</v>
      </c>
      <c r="E70" s="79" t="str">
        <f>IFERROR(__xludf.DUMMYFUNCTION("""COMPUTED_VALUE"""),"E-6")</f>
        <v>E-6</v>
      </c>
      <c r="F70" s="82">
        <f>IFERROR(__xludf.DUMMYFUNCTION("""COMPUTED_VALUE"""),2.0)</f>
        <v>2</v>
      </c>
      <c r="G70" s="79" t="str">
        <f>IFERROR(__xludf.DUMMYFUNCTION("""COMPUTED_VALUE"""),"2 MAK PUTRI")</f>
        <v>2 MAK PUTRI</v>
      </c>
      <c r="H70" s="14" t="str">
        <f>IFERROR(__xludf.DUMMYFUNCTION("""COMPUTED_VALUE"""),"6285606014252")</f>
        <v>6285606014252</v>
      </c>
      <c r="I70" s="83">
        <f>IFERROR(__xludf.DUMMYFUNCTION("""COMPUTED_VALUE"""),0.0)</f>
        <v>0</v>
      </c>
      <c r="J70" s="83">
        <f>IFERROR(__xludf.DUMMYFUNCTION("""COMPUTED_VALUE"""),0.0)</f>
        <v>0</v>
      </c>
      <c r="K70" s="83">
        <f>IFERROR(__xludf.DUMMYFUNCTION("""COMPUTED_VALUE"""),0.0)</f>
        <v>0</v>
      </c>
      <c r="L70" s="83">
        <f>IFERROR(__xludf.DUMMYFUNCTION("""COMPUTED_VALUE"""),0.0)</f>
        <v>0</v>
      </c>
      <c r="M70" s="14" t="str">
        <f t="shared" ref="M70:P70" si="71">text(I70,"Rp #,##0")</f>
        <v>Rp 0</v>
      </c>
      <c r="N70" s="14" t="str">
        <f t="shared" si="71"/>
        <v>Rp 0</v>
      </c>
      <c r="O70" s="14" t="str">
        <f t="shared" si="71"/>
        <v>Rp 0</v>
      </c>
      <c r="P70" s="14" t="str">
        <f t="shared" si="71"/>
        <v>Rp 0</v>
      </c>
      <c r="Q70" s="14" t="str">
        <f t="shared" si="4"/>
        <v>Syahriyah = Rp 0
Jariyah = Rp 0
Daftar Ulang = Rp 0
Total = Rp 0
______________________
ID : 2025070199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79">
        <f t="shared" si="2"/>
        <v>70</v>
      </c>
      <c r="B71" s="14" t="str">
        <f>IFERROR(__xludf.DUMMYFUNCTION("""COMPUTED_VALUE"""),"AIDA NURUL AINI")</f>
        <v>AIDA NURUL AINI</v>
      </c>
      <c r="C71" s="79">
        <f>IFERROR(__xludf.DUMMYFUNCTION("""COMPUTED_VALUE"""),2.024070582E9)</f>
        <v>2024070582</v>
      </c>
      <c r="D71" s="79" t="str">
        <f>IFERROR(__xludf.DUMMYFUNCTION("""COMPUTED_VALUE"""),"E")</f>
        <v>E</v>
      </c>
      <c r="E71" s="79" t="str">
        <f>IFERROR(__xludf.DUMMYFUNCTION("""COMPUTED_VALUE"""),"E-9")</f>
        <v>E-9</v>
      </c>
      <c r="F71" s="82">
        <f>IFERROR(__xludf.DUMMYFUNCTION("""COMPUTED_VALUE"""),3.0)</f>
        <v>3</v>
      </c>
      <c r="G71" s="79" t="str">
        <f>IFERROR(__xludf.DUMMYFUNCTION("""COMPUTED_VALUE"""),"3 ULA A PUTRI")</f>
        <v>3 ULA A PUTRI</v>
      </c>
      <c r="H71" s="14" t="str">
        <f>IFERROR(__xludf.DUMMYFUNCTION("""COMPUTED_VALUE"""),"6285732704608")</f>
        <v>6285732704608</v>
      </c>
      <c r="I71" s="83">
        <f>IFERROR(__xludf.DUMMYFUNCTION("""COMPUTED_VALUE"""),0.0)</f>
        <v>0</v>
      </c>
      <c r="J71" s="83">
        <f>IFERROR(__xludf.DUMMYFUNCTION("""COMPUTED_VALUE"""),1000000.0)</f>
        <v>1000000</v>
      </c>
      <c r="K71" s="83">
        <f>IFERROR(__xludf.DUMMYFUNCTION("""COMPUTED_VALUE"""),0.0)</f>
        <v>0</v>
      </c>
      <c r="L71" s="83">
        <f>IFERROR(__xludf.DUMMYFUNCTION("""COMPUTED_VALUE"""),1000000.0)</f>
        <v>1000000</v>
      </c>
      <c r="M71" s="14" t="str">
        <f t="shared" ref="M71:P71" si="72">text(I71,"Rp #,##0")</f>
        <v>Rp 0</v>
      </c>
      <c r="N71" s="14" t="str">
        <f t="shared" si="72"/>
        <v>Rp 1.000.000</v>
      </c>
      <c r="O71" s="14" t="str">
        <f t="shared" si="72"/>
        <v>Rp 0</v>
      </c>
      <c r="P71" s="14" t="str">
        <f t="shared" si="72"/>
        <v>Rp 1.000.000</v>
      </c>
      <c r="Q71" s="14" t="str">
        <f t="shared" si="4"/>
        <v>Syahriyah = Rp 0
Jariyah = Rp 1.000.000
Daftar Ulang = Rp 0
Total = Rp 1.000.000
______________________
ID : 2024070582</v>
      </c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79">
        <f t="shared" si="2"/>
        <v>71</v>
      </c>
      <c r="B72" s="14" t="str">
        <f>IFERROR(__xludf.DUMMYFUNCTION("""COMPUTED_VALUE"""),"AIKE NESAFA ULIFIA")</f>
        <v>AIKE NESAFA ULIFIA</v>
      </c>
      <c r="C72" s="79">
        <f>IFERROR(__xludf.DUMMYFUNCTION("""COMPUTED_VALUE"""),2.02407045E9)</f>
        <v>2024070450</v>
      </c>
      <c r="D72" s="79" t="str">
        <f>IFERROR(__xludf.DUMMYFUNCTION("""COMPUTED_VALUE"""),"E")</f>
        <v>E</v>
      </c>
      <c r="E72" s="79" t="str">
        <f>IFERROR(__xludf.DUMMYFUNCTION("""COMPUTED_VALUE"""),"E-9")</f>
        <v>E-9</v>
      </c>
      <c r="F72" s="82">
        <f>IFERROR(__xludf.DUMMYFUNCTION("""COMPUTED_VALUE"""),3.0)</f>
        <v>3</v>
      </c>
      <c r="G72" s="79" t="str">
        <f>IFERROR(__xludf.DUMMYFUNCTION("""COMPUTED_VALUE"""),"3 ULA B PUTRI")</f>
        <v>3 ULA B PUTRI</v>
      </c>
      <c r="H72" s="14" t="str">
        <f>IFERROR(__xludf.DUMMYFUNCTION("""COMPUTED_VALUE"""),"6285733946516")</f>
        <v>6285733946516</v>
      </c>
      <c r="I72" s="83">
        <f>IFERROR(__xludf.DUMMYFUNCTION("""COMPUTED_VALUE"""),0.0)</f>
        <v>0</v>
      </c>
      <c r="J72" s="83">
        <f>IFERROR(__xludf.DUMMYFUNCTION("""COMPUTED_VALUE"""),0.0)</f>
        <v>0</v>
      </c>
      <c r="K72" s="83">
        <f>IFERROR(__xludf.DUMMYFUNCTION("""COMPUTED_VALUE"""),0.0)</f>
        <v>0</v>
      </c>
      <c r="L72" s="83">
        <f>IFERROR(__xludf.DUMMYFUNCTION("""COMPUTED_VALUE"""),0.0)</f>
        <v>0</v>
      </c>
      <c r="M72" s="14" t="str">
        <f t="shared" ref="M72:P72" si="73">text(I72,"Rp #,##0")</f>
        <v>Rp 0</v>
      </c>
      <c r="N72" s="14" t="str">
        <f t="shared" si="73"/>
        <v>Rp 0</v>
      </c>
      <c r="O72" s="14" t="str">
        <f t="shared" si="73"/>
        <v>Rp 0</v>
      </c>
      <c r="P72" s="14" t="str">
        <f t="shared" si="73"/>
        <v>Rp 0</v>
      </c>
      <c r="Q72" s="14" t="str">
        <f t="shared" si="4"/>
        <v>Syahriyah = Rp 0
Jariyah = Rp 0
Daftar Ulang = Rp 0
Total = Rp 0
______________________
ID : 2024070450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9">
        <f t="shared" si="2"/>
        <v>72</v>
      </c>
      <c r="B73" s="14" t="str">
        <f>IFERROR(__xludf.DUMMYFUNCTION("""COMPUTED_VALUE"""),"CHARISA WANIDYA UTAMA HARTONO")</f>
        <v>CHARISA WANIDYA UTAMA HARTONO</v>
      </c>
      <c r="C73" s="79">
        <f>IFERROR(__xludf.DUMMYFUNCTION("""COMPUTED_VALUE"""),2.024070476E9)</f>
        <v>2024070476</v>
      </c>
      <c r="D73" s="79" t="str">
        <f>IFERROR(__xludf.DUMMYFUNCTION("""COMPUTED_VALUE"""),"E")</f>
        <v>E</v>
      </c>
      <c r="E73" s="79" t="str">
        <f>IFERROR(__xludf.DUMMYFUNCTION("""COMPUTED_VALUE"""),"E-9")</f>
        <v>E-9</v>
      </c>
      <c r="F73" s="82">
        <f>IFERROR(__xludf.DUMMYFUNCTION("""COMPUTED_VALUE"""),3.0)</f>
        <v>3</v>
      </c>
      <c r="G73" s="79" t="str">
        <f>IFERROR(__xludf.DUMMYFUNCTION("""COMPUTED_VALUE"""),"3 ULA A PUTRI")</f>
        <v>3 ULA A PUTRI</v>
      </c>
      <c r="H73" s="14" t="str">
        <f>IFERROR(__xludf.DUMMYFUNCTION("""COMPUTED_VALUE"""),"6282234537281")</f>
        <v>6282234537281</v>
      </c>
      <c r="I73" s="83">
        <f>IFERROR(__xludf.DUMMYFUNCTION("""COMPUTED_VALUE"""),0.0)</f>
        <v>0</v>
      </c>
      <c r="J73" s="83">
        <f>IFERROR(__xludf.DUMMYFUNCTION("""COMPUTED_VALUE"""),0.0)</f>
        <v>0</v>
      </c>
      <c r="K73" s="83">
        <f>IFERROR(__xludf.DUMMYFUNCTION("""COMPUTED_VALUE"""),0.0)</f>
        <v>0</v>
      </c>
      <c r="L73" s="83">
        <f>IFERROR(__xludf.DUMMYFUNCTION("""COMPUTED_VALUE"""),0.0)</f>
        <v>0</v>
      </c>
      <c r="M73" s="14" t="str">
        <f t="shared" ref="M73:P73" si="74">text(I73,"Rp #,##0")</f>
        <v>Rp 0</v>
      </c>
      <c r="N73" s="14" t="str">
        <f t="shared" si="74"/>
        <v>Rp 0</v>
      </c>
      <c r="O73" s="14" t="str">
        <f t="shared" si="74"/>
        <v>Rp 0</v>
      </c>
      <c r="P73" s="14" t="str">
        <f t="shared" si="74"/>
        <v>Rp 0</v>
      </c>
      <c r="Q73" s="14" t="str">
        <f t="shared" si="4"/>
        <v>Syahriyah = Rp 0
Jariyah = Rp 0
Daftar Ulang = Rp 0
Total = Rp 0
______________________
ID : 2024070476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9">
        <f t="shared" si="2"/>
        <v>73</v>
      </c>
      <c r="B74" s="14" t="str">
        <f>IFERROR(__xludf.DUMMYFUNCTION("""COMPUTED_VALUE"""),"DWI MAULIDIYAH")</f>
        <v>DWI MAULIDIYAH</v>
      </c>
      <c r="C74" s="79">
        <f>IFERROR(__xludf.DUMMYFUNCTION("""COMPUTED_VALUE"""),2.024070596E9)</f>
        <v>2024070596</v>
      </c>
      <c r="D74" s="79" t="str">
        <f>IFERROR(__xludf.DUMMYFUNCTION("""COMPUTED_VALUE"""),"E")</f>
        <v>E</v>
      </c>
      <c r="E74" s="79" t="str">
        <f>IFERROR(__xludf.DUMMYFUNCTION("""COMPUTED_VALUE"""),"E-9")</f>
        <v>E-9</v>
      </c>
      <c r="F74" s="82">
        <f>IFERROR(__xludf.DUMMYFUNCTION("""COMPUTED_VALUE"""),3.0)</f>
        <v>3</v>
      </c>
      <c r="G74" s="79" t="str">
        <f>IFERROR(__xludf.DUMMYFUNCTION("""COMPUTED_VALUE"""),"3 ULA B PUTRI")</f>
        <v>3 ULA B PUTRI</v>
      </c>
      <c r="H74" s="14" t="str">
        <f>IFERROR(__xludf.DUMMYFUNCTION("""COMPUTED_VALUE"""),"6285853420436")</f>
        <v>6285853420436</v>
      </c>
      <c r="I74" s="83">
        <f>IFERROR(__xludf.DUMMYFUNCTION("""COMPUTED_VALUE"""),270000.0)</f>
        <v>270000</v>
      </c>
      <c r="J74" s="83">
        <f>IFERROR(__xludf.DUMMYFUNCTION("""COMPUTED_VALUE"""),0.0)</f>
        <v>0</v>
      </c>
      <c r="K74" s="83">
        <f>IFERROR(__xludf.DUMMYFUNCTION("""COMPUTED_VALUE"""),0.0)</f>
        <v>0</v>
      </c>
      <c r="L74" s="83">
        <f>IFERROR(__xludf.DUMMYFUNCTION("""COMPUTED_VALUE"""),270000.0)</f>
        <v>270000</v>
      </c>
      <c r="M74" s="14" t="str">
        <f t="shared" ref="M74:P74" si="75">text(I74,"Rp #,##0")</f>
        <v>Rp 270.000</v>
      </c>
      <c r="N74" s="14" t="str">
        <f t="shared" si="75"/>
        <v>Rp 0</v>
      </c>
      <c r="O74" s="14" t="str">
        <f t="shared" si="75"/>
        <v>Rp 0</v>
      </c>
      <c r="P74" s="14" t="str">
        <f t="shared" si="75"/>
        <v>Rp 270.000</v>
      </c>
      <c r="Q74" s="14" t="str">
        <f t="shared" si="4"/>
        <v>Syahriyah = Rp 270.000
Jariyah = Rp 0
Daftar Ulang = Rp 0
Total = Rp 270.000
______________________
ID : 2024070596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9">
        <f t="shared" si="2"/>
        <v>74</v>
      </c>
      <c r="B75" s="14" t="str">
        <f>IFERROR(__xludf.DUMMYFUNCTION("""COMPUTED_VALUE"""),"FARAH OKTARIAN SYAHPUTRI")</f>
        <v>FARAH OKTARIAN SYAHPUTRI</v>
      </c>
      <c r="C75" s="79">
        <f>IFERROR(__xludf.DUMMYFUNCTION("""COMPUTED_VALUE"""),2.024070466E9)</f>
        <v>2024070466</v>
      </c>
      <c r="D75" s="79" t="str">
        <f>IFERROR(__xludf.DUMMYFUNCTION("""COMPUTED_VALUE"""),"E")</f>
        <v>E</v>
      </c>
      <c r="E75" s="79" t="str">
        <f>IFERROR(__xludf.DUMMYFUNCTION("""COMPUTED_VALUE"""),"E-9")</f>
        <v>E-9</v>
      </c>
      <c r="F75" s="82">
        <f>IFERROR(__xludf.DUMMYFUNCTION("""COMPUTED_VALUE"""),3.0)</f>
        <v>3</v>
      </c>
      <c r="G75" s="79" t="str">
        <f>IFERROR(__xludf.DUMMYFUNCTION("""COMPUTED_VALUE"""),"3 ULA C PUTRI")</f>
        <v>3 ULA C PUTRI</v>
      </c>
      <c r="H75" s="14" t="str">
        <f>IFERROR(__xludf.DUMMYFUNCTION("""COMPUTED_VALUE"""),"6281332772930")</f>
        <v>6281332772930</v>
      </c>
      <c r="I75" s="83">
        <f>IFERROR(__xludf.DUMMYFUNCTION("""COMPUTED_VALUE"""),0.0)</f>
        <v>0</v>
      </c>
      <c r="J75" s="83">
        <f>IFERROR(__xludf.DUMMYFUNCTION("""COMPUTED_VALUE"""),500000.0)</f>
        <v>500000</v>
      </c>
      <c r="K75" s="83">
        <f>IFERROR(__xludf.DUMMYFUNCTION("""COMPUTED_VALUE"""),0.0)</f>
        <v>0</v>
      </c>
      <c r="L75" s="83">
        <f>IFERROR(__xludf.DUMMYFUNCTION("""COMPUTED_VALUE"""),500000.0)</f>
        <v>500000</v>
      </c>
      <c r="M75" s="14" t="str">
        <f t="shared" ref="M75:P75" si="76">text(I75,"Rp #,##0")</f>
        <v>Rp 0</v>
      </c>
      <c r="N75" s="14" t="str">
        <f t="shared" si="76"/>
        <v>Rp 500.000</v>
      </c>
      <c r="O75" s="14" t="str">
        <f t="shared" si="76"/>
        <v>Rp 0</v>
      </c>
      <c r="P75" s="14" t="str">
        <f t="shared" si="76"/>
        <v>Rp 500.000</v>
      </c>
      <c r="Q75" s="14" t="str">
        <f t="shared" si="4"/>
        <v>Syahriyah = Rp 0
Jariyah = Rp 500.000
Daftar Ulang = Rp 0
Total = Rp 500.000
______________________
ID : 2024070466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9">
        <f t="shared" si="2"/>
        <v>75</v>
      </c>
      <c r="B76" s="14" t="str">
        <f>IFERROR(__xludf.DUMMYFUNCTION("""COMPUTED_VALUE"""),"LAILATUL MAGHFIROH")</f>
        <v>LAILATUL MAGHFIROH</v>
      </c>
      <c r="C76" s="79">
        <f>IFERROR(__xludf.DUMMYFUNCTION("""COMPUTED_VALUE"""),2.024070449E9)</f>
        <v>2024070449</v>
      </c>
      <c r="D76" s="79" t="str">
        <f>IFERROR(__xludf.DUMMYFUNCTION("""COMPUTED_VALUE"""),"E")</f>
        <v>E</v>
      </c>
      <c r="E76" s="79" t="str">
        <f>IFERROR(__xludf.DUMMYFUNCTION("""COMPUTED_VALUE"""),"E-9")</f>
        <v>E-9</v>
      </c>
      <c r="F76" s="82">
        <f>IFERROR(__xludf.DUMMYFUNCTION("""COMPUTED_VALUE"""),3.0)</f>
        <v>3</v>
      </c>
      <c r="G76" s="79" t="str">
        <f>IFERROR(__xludf.DUMMYFUNCTION("""COMPUTED_VALUE"""),"3 ULA A PUTRI")</f>
        <v>3 ULA A PUTRI</v>
      </c>
      <c r="H76" s="14" t="str">
        <f>IFERROR(__xludf.DUMMYFUNCTION("""COMPUTED_VALUE"""),"6285745981726")</f>
        <v>6285745981726</v>
      </c>
      <c r="I76" s="83">
        <f>IFERROR(__xludf.DUMMYFUNCTION("""COMPUTED_VALUE"""),0.0)</f>
        <v>0</v>
      </c>
      <c r="J76" s="83">
        <f>IFERROR(__xludf.DUMMYFUNCTION("""COMPUTED_VALUE"""),0.0)</f>
        <v>0</v>
      </c>
      <c r="K76" s="83">
        <f>IFERROR(__xludf.DUMMYFUNCTION("""COMPUTED_VALUE"""),0.0)</f>
        <v>0</v>
      </c>
      <c r="L76" s="83">
        <f>IFERROR(__xludf.DUMMYFUNCTION("""COMPUTED_VALUE"""),0.0)</f>
        <v>0</v>
      </c>
      <c r="M76" s="14" t="str">
        <f t="shared" ref="M76:P76" si="77">text(I76,"Rp #,##0")</f>
        <v>Rp 0</v>
      </c>
      <c r="N76" s="14" t="str">
        <f t="shared" si="77"/>
        <v>Rp 0</v>
      </c>
      <c r="O76" s="14" t="str">
        <f t="shared" si="77"/>
        <v>Rp 0</v>
      </c>
      <c r="P76" s="14" t="str">
        <f t="shared" si="77"/>
        <v>Rp 0</v>
      </c>
      <c r="Q76" s="14" t="str">
        <f t="shared" si="4"/>
        <v>Syahriyah = Rp 0
Jariyah = Rp 0
Daftar Ulang = Rp 0
Total = Rp 0
______________________
ID : 2024070449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9">
        <f t="shared" si="2"/>
        <v>76</v>
      </c>
      <c r="B77" s="14" t="str">
        <f>IFERROR(__xludf.DUMMYFUNCTION("""COMPUTED_VALUE"""),"RENY ARYSTA MIERZA")</f>
        <v>RENY ARYSTA MIERZA</v>
      </c>
      <c r="C77" s="79">
        <f>IFERROR(__xludf.DUMMYFUNCTION("""COMPUTED_VALUE"""),2.024070583E9)</f>
        <v>2024070583</v>
      </c>
      <c r="D77" s="79" t="str">
        <f>IFERROR(__xludf.DUMMYFUNCTION("""COMPUTED_VALUE"""),"E")</f>
        <v>E</v>
      </c>
      <c r="E77" s="79" t="str">
        <f>IFERROR(__xludf.DUMMYFUNCTION("""COMPUTED_VALUE"""),"E-9")</f>
        <v>E-9</v>
      </c>
      <c r="F77" s="82">
        <f>IFERROR(__xludf.DUMMYFUNCTION("""COMPUTED_VALUE"""),3.0)</f>
        <v>3</v>
      </c>
      <c r="G77" s="79" t="str">
        <f>IFERROR(__xludf.DUMMYFUNCTION("""COMPUTED_VALUE"""),"3 ULA B PUTRI")</f>
        <v>3 ULA B PUTRI</v>
      </c>
      <c r="H77" s="14" t="str">
        <f>IFERROR(__xludf.DUMMYFUNCTION("""COMPUTED_VALUE"""),"6285655316635")</f>
        <v>6285655316635</v>
      </c>
      <c r="I77" s="83">
        <f>IFERROR(__xludf.DUMMYFUNCTION("""COMPUTED_VALUE"""),0.0)</f>
        <v>0</v>
      </c>
      <c r="J77" s="83">
        <f>IFERROR(__xludf.DUMMYFUNCTION("""COMPUTED_VALUE"""),1000000.0)</f>
        <v>1000000</v>
      </c>
      <c r="K77" s="83">
        <f>IFERROR(__xludf.DUMMYFUNCTION("""COMPUTED_VALUE"""),0.0)</f>
        <v>0</v>
      </c>
      <c r="L77" s="83">
        <f>IFERROR(__xludf.DUMMYFUNCTION("""COMPUTED_VALUE"""),1000000.0)</f>
        <v>1000000</v>
      </c>
      <c r="M77" s="14" t="str">
        <f t="shared" ref="M77:P77" si="78">text(I77,"Rp #,##0")</f>
        <v>Rp 0</v>
      </c>
      <c r="N77" s="14" t="str">
        <f t="shared" si="78"/>
        <v>Rp 1.000.000</v>
      </c>
      <c r="O77" s="14" t="str">
        <f t="shared" si="78"/>
        <v>Rp 0</v>
      </c>
      <c r="P77" s="14" t="str">
        <f t="shared" si="78"/>
        <v>Rp 1.000.000</v>
      </c>
      <c r="Q77" s="14" t="str">
        <f t="shared" si="4"/>
        <v>Syahriyah = Rp 0
Jariyah = Rp 1.000.000
Daftar Ulang = Rp 0
Total = Rp 1.000.000
______________________
ID : 2024070583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9">
        <f t="shared" si="2"/>
        <v>77</v>
      </c>
      <c r="B78" s="14" t="str">
        <f>IFERROR(__xludf.DUMMYFUNCTION("""COMPUTED_VALUE"""),"RHEISYA BRILIANT OKTAVIANI")</f>
        <v>RHEISYA BRILIANT OKTAVIANI</v>
      </c>
      <c r="C78" s="79">
        <f>IFERROR(__xludf.DUMMYFUNCTION("""COMPUTED_VALUE"""),2.024070536E9)</f>
        <v>2024070536</v>
      </c>
      <c r="D78" s="79" t="str">
        <f>IFERROR(__xludf.DUMMYFUNCTION("""COMPUTED_VALUE"""),"E")</f>
        <v>E</v>
      </c>
      <c r="E78" s="79" t="str">
        <f>IFERROR(__xludf.DUMMYFUNCTION("""COMPUTED_VALUE"""),"E-9")</f>
        <v>E-9</v>
      </c>
      <c r="F78" s="82">
        <f>IFERROR(__xludf.DUMMYFUNCTION("""COMPUTED_VALUE"""),3.0)</f>
        <v>3</v>
      </c>
      <c r="G78" s="79" t="str">
        <f>IFERROR(__xludf.DUMMYFUNCTION("""COMPUTED_VALUE"""),"3 ULA C PUTRI")</f>
        <v>3 ULA C PUTRI</v>
      </c>
      <c r="H78" s="14" t="str">
        <f>IFERROR(__xludf.DUMMYFUNCTION("""COMPUTED_VALUE"""),"6289535203055")</f>
        <v>6289535203055</v>
      </c>
      <c r="I78" s="83">
        <f>IFERROR(__xludf.DUMMYFUNCTION("""COMPUTED_VALUE"""),0.0)</f>
        <v>0</v>
      </c>
      <c r="J78" s="83">
        <f>IFERROR(__xludf.DUMMYFUNCTION("""COMPUTED_VALUE"""),500000.0)</f>
        <v>500000</v>
      </c>
      <c r="K78" s="83">
        <f>IFERROR(__xludf.DUMMYFUNCTION("""COMPUTED_VALUE"""),0.0)</f>
        <v>0</v>
      </c>
      <c r="L78" s="83">
        <f>IFERROR(__xludf.DUMMYFUNCTION("""COMPUTED_VALUE"""),500000.0)</f>
        <v>500000</v>
      </c>
      <c r="M78" s="14" t="str">
        <f t="shared" ref="M78:P78" si="79">text(I78,"Rp #,##0")</f>
        <v>Rp 0</v>
      </c>
      <c r="N78" s="14" t="str">
        <f t="shared" si="79"/>
        <v>Rp 500.000</v>
      </c>
      <c r="O78" s="14" t="str">
        <f t="shared" si="79"/>
        <v>Rp 0</v>
      </c>
      <c r="P78" s="14" t="str">
        <f t="shared" si="79"/>
        <v>Rp 500.000</v>
      </c>
      <c r="Q78" s="14" t="str">
        <f t="shared" si="4"/>
        <v>Syahriyah = Rp 0
Jariyah = Rp 500.000
Daftar Ulang = Rp 0
Total = Rp 500.000
______________________
ID : 2024070536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9">
        <f t="shared" si="2"/>
        <v>78</v>
      </c>
      <c r="B79" s="14" t="str">
        <f>IFERROR(__xludf.DUMMYFUNCTION("""COMPUTED_VALUE"""),"ROSSALIA BELLA RAISYA")</f>
        <v>ROSSALIA BELLA RAISYA</v>
      </c>
      <c r="C79" s="79">
        <f>IFERROR(__xludf.DUMMYFUNCTION("""COMPUTED_VALUE"""),2.024070443E9)</f>
        <v>2024070443</v>
      </c>
      <c r="D79" s="79" t="str">
        <f>IFERROR(__xludf.DUMMYFUNCTION("""COMPUTED_VALUE"""),"E")</f>
        <v>E</v>
      </c>
      <c r="E79" s="79" t="str">
        <f>IFERROR(__xludf.DUMMYFUNCTION("""COMPUTED_VALUE"""),"E-9")</f>
        <v>E-9</v>
      </c>
      <c r="F79" s="82">
        <f>IFERROR(__xludf.DUMMYFUNCTION("""COMPUTED_VALUE"""),3.0)</f>
        <v>3</v>
      </c>
      <c r="G79" s="79" t="str">
        <f>IFERROR(__xludf.DUMMYFUNCTION("""COMPUTED_VALUE"""),"3 ULA C PUTRI")</f>
        <v>3 ULA C PUTRI</v>
      </c>
      <c r="H79" s="14" t="str">
        <f>IFERROR(__xludf.DUMMYFUNCTION("""COMPUTED_VALUE"""),"6282175167141")</f>
        <v>6282175167141</v>
      </c>
      <c r="I79" s="83">
        <f>IFERROR(__xludf.DUMMYFUNCTION("""COMPUTED_VALUE"""),0.0)</f>
        <v>0</v>
      </c>
      <c r="J79" s="83">
        <f>IFERROR(__xludf.DUMMYFUNCTION("""COMPUTED_VALUE"""),0.0)</f>
        <v>0</v>
      </c>
      <c r="K79" s="83">
        <f>IFERROR(__xludf.DUMMYFUNCTION("""COMPUTED_VALUE"""),0.0)</f>
        <v>0</v>
      </c>
      <c r="L79" s="83">
        <f>IFERROR(__xludf.DUMMYFUNCTION("""COMPUTED_VALUE"""),0.0)</f>
        <v>0</v>
      </c>
      <c r="M79" s="14" t="str">
        <f t="shared" ref="M79:P79" si="80">text(I79,"Rp #,##0")</f>
        <v>Rp 0</v>
      </c>
      <c r="N79" s="14" t="str">
        <f t="shared" si="80"/>
        <v>Rp 0</v>
      </c>
      <c r="O79" s="14" t="str">
        <f t="shared" si="80"/>
        <v>Rp 0</v>
      </c>
      <c r="P79" s="14" t="str">
        <f t="shared" si="80"/>
        <v>Rp 0</v>
      </c>
      <c r="Q79" s="14" t="str">
        <f t="shared" si="4"/>
        <v>Syahriyah = Rp 0
Jariyah = Rp 0
Daftar Ulang = Rp 0
Total = Rp 0
______________________
ID : 2024070443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9">
        <f t="shared" si="2"/>
        <v>79</v>
      </c>
      <c r="B80" s="14" t="str">
        <f>IFERROR(__xludf.DUMMYFUNCTION("""COMPUTED_VALUE"""),"ZALVI SYAFIRA SA`BANIA PUTRI")</f>
        <v>ZALVI SYAFIRA SA`BANIA PUTRI</v>
      </c>
      <c r="C80" s="79">
        <f>IFERROR(__xludf.DUMMYFUNCTION("""COMPUTED_VALUE"""),2.024070446E9)</f>
        <v>2024070446</v>
      </c>
      <c r="D80" s="79" t="str">
        <f>IFERROR(__xludf.DUMMYFUNCTION("""COMPUTED_VALUE"""),"E")</f>
        <v>E</v>
      </c>
      <c r="E80" s="79" t="str">
        <f>IFERROR(__xludf.DUMMYFUNCTION("""COMPUTED_VALUE"""),"E-9")</f>
        <v>E-9</v>
      </c>
      <c r="F80" s="82">
        <f>IFERROR(__xludf.DUMMYFUNCTION("""COMPUTED_VALUE"""),3.0)</f>
        <v>3</v>
      </c>
      <c r="G80" s="79" t="str">
        <f>IFERROR(__xludf.DUMMYFUNCTION("""COMPUTED_VALUE"""),"3 ULA A PUTRI")</f>
        <v>3 ULA A PUTRI</v>
      </c>
      <c r="H80" s="14" t="str">
        <f>IFERROR(__xludf.DUMMYFUNCTION("""COMPUTED_VALUE"""),"6285815817989")</f>
        <v>6285815817989</v>
      </c>
      <c r="I80" s="83">
        <f>IFERROR(__xludf.DUMMYFUNCTION("""COMPUTED_VALUE"""),0.0)</f>
        <v>0</v>
      </c>
      <c r="J80" s="83">
        <f>IFERROR(__xludf.DUMMYFUNCTION("""COMPUTED_VALUE"""),1000000.0)</f>
        <v>1000000</v>
      </c>
      <c r="K80" s="83">
        <f>IFERROR(__xludf.DUMMYFUNCTION("""COMPUTED_VALUE"""),0.0)</f>
        <v>0</v>
      </c>
      <c r="L80" s="83">
        <f>IFERROR(__xludf.DUMMYFUNCTION("""COMPUTED_VALUE"""),1000000.0)</f>
        <v>1000000</v>
      </c>
      <c r="M80" s="14" t="str">
        <f t="shared" ref="M80:P80" si="81">text(I80,"Rp #,##0")</f>
        <v>Rp 0</v>
      </c>
      <c r="N80" s="14" t="str">
        <f t="shared" si="81"/>
        <v>Rp 1.000.000</v>
      </c>
      <c r="O80" s="14" t="str">
        <f t="shared" si="81"/>
        <v>Rp 0</v>
      </c>
      <c r="P80" s="14" t="str">
        <f t="shared" si="81"/>
        <v>Rp 1.000.000</v>
      </c>
      <c r="Q80" s="14" t="str">
        <f t="shared" si="4"/>
        <v>Syahriyah = Rp 0
Jariyah = Rp 1.000.000
Daftar Ulang = Rp 0
Total = Rp 1.000.000
______________________
ID : 2024070446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9">
        <f t="shared" si="2"/>
        <v>80</v>
      </c>
      <c r="B81" s="14" t="str">
        <f>IFERROR(__xludf.DUMMYFUNCTION("""COMPUTED_VALUE"""),"ZASKIA MAHARANI PUTRI")</f>
        <v>ZASKIA MAHARANI PUTRI</v>
      </c>
      <c r="C81" s="79">
        <f>IFERROR(__xludf.DUMMYFUNCTION("""COMPUTED_VALUE"""),2.024070586E9)</f>
        <v>2024070586</v>
      </c>
      <c r="D81" s="79" t="str">
        <f>IFERROR(__xludf.DUMMYFUNCTION("""COMPUTED_VALUE"""),"E")</f>
        <v>E</v>
      </c>
      <c r="E81" s="79" t="str">
        <f>IFERROR(__xludf.DUMMYFUNCTION("""COMPUTED_VALUE"""),"E-9")</f>
        <v>E-9</v>
      </c>
      <c r="F81" s="82">
        <f>IFERROR(__xludf.DUMMYFUNCTION("""COMPUTED_VALUE"""),3.0)</f>
        <v>3</v>
      </c>
      <c r="G81" s="79" t="str">
        <f>IFERROR(__xludf.DUMMYFUNCTION("""COMPUTED_VALUE"""),"3 ULA A PUTRI")</f>
        <v>3 ULA A PUTRI</v>
      </c>
      <c r="H81" s="14" t="str">
        <f>IFERROR(__xludf.DUMMYFUNCTION("""COMPUTED_VALUE"""),"6285852103712")</f>
        <v>6285852103712</v>
      </c>
      <c r="I81" s="83">
        <f>IFERROR(__xludf.DUMMYFUNCTION("""COMPUTED_VALUE"""),7500000.0)</f>
        <v>7500000</v>
      </c>
      <c r="J81" s="83">
        <f>IFERROR(__xludf.DUMMYFUNCTION("""COMPUTED_VALUE"""),1600000.0)</f>
        <v>1600000</v>
      </c>
      <c r="K81" s="83">
        <f>IFERROR(__xludf.DUMMYFUNCTION("""COMPUTED_VALUE"""),350000.0)</f>
        <v>350000</v>
      </c>
      <c r="L81" s="83">
        <f>IFERROR(__xludf.DUMMYFUNCTION("""COMPUTED_VALUE"""),9450000.0)</f>
        <v>9450000</v>
      </c>
      <c r="M81" s="14" t="str">
        <f t="shared" ref="M81:P81" si="82">text(I81,"Rp #,##0")</f>
        <v>Rp 7.500.000</v>
      </c>
      <c r="N81" s="14" t="str">
        <f t="shared" si="82"/>
        <v>Rp 1.600.000</v>
      </c>
      <c r="O81" s="14" t="str">
        <f t="shared" si="82"/>
        <v>Rp 350.000</v>
      </c>
      <c r="P81" s="14" t="str">
        <f t="shared" si="82"/>
        <v>Rp 9.450.000</v>
      </c>
      <c r="Q81" s="14" t="str">
        <f t="shared" si="4"/>
        <v>Syahriyah = Rp 7.500.000
Jariyah = Rp 1.600.000
Daftar Ulang = Rp 350.000
Total = Rp 9.450.000
______________________
ID : 2024070586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9">
        <f t="shared" si="2"/>
        <v>81</v>
      </c>
      <c r="B82" s="14" t="str">
        <f>IFERROR(__xludf.DUMMYFUNCTION("""COMPUTED_VALUE"""),"ZHAFIRA MAULIDA")</f>
        <v>ZHAFIRA MAULIDA</v>
      </c>
      <c r="C82" s="79">
        <f>IFERROR(__xludf.DUMMYFUNCTION("""COMPUTED_VALUE"""),2.024070606E9)</f>
        <v>2024070606</v>
      </c>
      <c r="D82" s="79" t="str">
        <f>IFERROR(__xludf.DUMMYFUNCTION("""COMPUTED_VALUE"""),"E")</f>
        <v>E</v>
      </c>
      <c r="E82" s="79" t="str">
        <f>IFERROR(__xludf.DUMMYFUNCTION("""COMPUTED_VALUE"""),"E-9")</f>
        <v>E-9</v>
      </c>
      <c r="F82" s="82">
        <f>IFERROR(__xludf.DUMMYFUNCTION("""COMPUTED_VALUE"""),3.0)</f>
        <v>3</v>
      </c>
      <c r="G82" s="79" t="str">
        <f>IFERROR(__xludf.DUMMYFUNCTION("""COMPUTED_VALUE"""),"3 ULA B PUTRI")</f>
        <v>3 ULA B PUTRI</v>
      </c>
      <c r="H82" s="14" t="str">
        <f>IFERROR(__xludf.DUMMYFUNCTION("""COMPUTED_VALUE"""),"6285745828753")</f>
        <v>6285745828753</v>
      </c>
      <c r="I82" s="83">
        <f>IFERROR(__xludf.DUMMYFUNCTION("""COMPUTED_VALUE"""),0.0)</f>
        <v>0</v>
      </c>
      <c r="J82" s="83">
        <f>IFERROR(__xludf.DUMMYFUNCTION("""COMPUTED_VALUE"""),1000000.0)</f>
        <v>1000000</v>
      </c>
      <c r="K82" s="83">
        <f>IFERROR(__xludf.DUMMYFUNCTION("""COMPUTED_VALUE"""),0.0)</f>
        <v>0</v>
      </c>
      <c r="L82" s="83">
        <f>IFERROR(__xludf.DUMMYFUNCTION("""COMPUTED_VALUE"""),1000000.0)</f>
        <v>1000000</v>
      </c>
      <c r="M82" s="14" t="str">
        <f t="shared" ref="M82:P82" si="83">text(I82,"Rp #,##0")</f>
        <v>Rp 0</v>
      </c>
      <c r="N82" s="14" t="str">
        <f t="shared" si="83"/>
        <v>Rp 1.000.000</v>
      </c>
      <c r="O82" s="14" t="str">
        <f t="shared" si="83"/>
        <v>Rp 0</v>
      </c>
      <c r="P82" s="14" t="str">
        <f t="shared" si="83"/>
        <v>Rp 1.000.000</v>
      </c>
      <c r="Q82" s="14" t="str">
        <f t="shared" si="4"/>
        <v>Syahriyah = Rp 0
Jariyah = Rp 1.000.000
Daftar Ulang = Rp 0
Total = Rp 1.000.000
______________________
ID : 2024070606</v>
      </c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79">
        <f t="shared" si="2"/>
        <v>82</v>
      </c>
      <c r="B83" s="14" t="str">
        <f>IFERROR(__xludf.DUMMYFUNCTION("""COMPUTED_VALUE"""),"QUEENSHA KHAURA AFIQAH AL AZIFA")</f>
        <v>QUEENSHA KHAURA AFIQAH AL AZIFA</v>
      </c>
      <c r="C83" s="79">
        <f>IFERROR(__xludf.DUMMYFUNCTION("""COMPUTED_VALUE"""),2.024070647E9)</f>
        <v>2024070647</v>
      </c>
      <c r="D83" s="79" t="str">
        <f>IFERROR(__xludf.DUMMYFUNCTION("""COMPUTED_VALUE"""),"E")</f>
        <v>E</v>
      </c>
      <c r="E83" s="79" t="str">
        <f>IFERROR(__xludf.DUMMYFUNCTION("""COMPUTED_VALUE"""),"E-9")</f>
        <v>E-9</v>
      </c>
      <c r="F83" s="82">
        <f>IFERROR(__xludf.DUMMYFUNCTION("""COMPUTED_VALUE"""),3.0)</f>
        <v>3</v>
      </c>
      <c r="G83" s="79" t="str">
        <f>IFERROR(__xludf.DUMMYFUNCTION("""COMPUTED_VALUE"""),"3 ULA B PUTRI")</f>
        <v>3 ULA B PUTRI</v>
      </c>
      <c r="H83" s="14" t="str">
        <f>IFERROR(__xludf.DUMMYFUNCTION("""COMPUTED_VALUE"""),"628573050168")</f>
        <v>628573050168</v>
      </c>
      <c r="I83" s="83">
        <f>IFERROR(__xludf.DUMMYFUNCTION("""COMPUTED_VALUE"""),0.0)</f>
        <v>0</v>
      </c>
      <c r="J83" s="83">
        <f>IFERROR(__xludf.DUMMYFUNCTION("""COMPUTED_VALUE"""),1000000.0)</f>
        <v>1000000</v>
      </c>
      <c r="K83" s="83">
        <f>IFERROR(__xludf.DUMMYFUNCTION("""COMPUTED_VALUE"""),0.0)</f>
        <v>0</v>
      </c>
      <c r="L83" s="83">
        <f>IFERROR(__xludf.DUMMYFUNCTION("""COMPUTED_VALUE"""),1000000.0)</f>
        <v>1000000</v>
      </c>
      <c r="M83" s="14" t="str">
        <f t="shared" ref="M83:P83" si="84">text(I83,"Rp #,##0")</f>
        <v>Rp 0</v>
      </c>
      <c r="N83" s="14" t="str">
        <f t="shared" si="84"/>
        <v>Rp 1.000.000</v>
      </c>
      <c r="O83" s="14" t="str">
        <f t="shared" si="84"/>
        <v>Rp 0</v>
      </c>
      <c r="P83" s="14" t="str">
        <f t="shared" si="84"/>
        <v>Rp 1.000.000</v>
      </c>
      <c r="Q83" s="14" t="str">
        <f t="shared" si="4"/>
        <v>Syahriyah = Rp 0
Jariyah = Rp 1.000.000
Daftar Ulang = Rp 0
Total = Rp 1.000.000
______________________
ID : 2024070647</v>
      </c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79" t="str">
        <f t="shared" si="2"/>
        <v/>
      </c>
      <c r="B84" s="14"/>
      <c r="C84" s="79"/>
      <c r="D84" s="79"/>
      <c r="E84" s="79"/>
      <c r="F84" s="79"/>
      <c r="G84" s="79"/>
      <c r="H84" s="14"/>
      <c r="I84" s="14"/>
      <c r="J84" s="14"/>
      <c r="K84" s="14"/>
      <c r="L84" s="14"/>
      <c r="M84" s="14" t="str">
        <f t="shared" ref="M84:P84" si="85">text(I84,"Rp #,##0")</f>
        <v>Rp 0</v>
      </c>
      <c r="N84" s="14" t="str">
        <f t="shared" si="85"/>
        <v>Rp 0</v>
      </c>
      <c r="O84" s="14" t="str">
        <f t="shared" si="85"/>
        <v>Rp 0</v>
      </c>
      <c r="P84" s="14" t="str">
        <f t="shared" si="85"/>
        <v>Rp 0</v>
      </c>
      <c r="Q84" s="14" t="str">
        <f t="shared" si="4"/>
        <v>Syahriyah = Rp 0
Jariyah = Rp 0
Daftar Ulang = Rp 0
Total = Rp 0
______________________
ID : </v>
      </c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79" t="str">
        <f t="shared" si="2"/>
        <v/>
      </c>
      <c r="B85" s="14"/>
      <c r="C85" s="79"/>
      <c r="D85" s="79"/>
      <c r="E85" s="79"/>
      <c r="F85" s="79"/>
      <c r="G85" s="79"/>
      <c r="H85" s="14"/>
      <c r="I85" s="14"/>
      <c r="J85" s="14"/>
      <c r="K85" s="14"/>
      <c r="L85" s="14"/>
      <c r="M85" s="14" t="str">
        <f t="shared" ref="M85:P85" si="86">text(I85,"Rp #,##0")</f>
        <v>Rp 0</v>
      </c>
      <c r="N85" s="14" t="str">
        <f t="shared" si="86"/>
        <v>Rp 0</v>
      </c>
      <c r="O85" s="14" t="str">
        <f t="shared" si="86"/>
        <v>Rp 0</v>
      </c>
      <c r="P85" s="14" t="str">
        <f t="shared" si="86"/>
        <v>Rp 0</v>
      </c>
      <c r="Q85" s="14" t="str">
        <f t="shared" si="4"/>
        <v>Syahriyah = Rp 0
Jariyah = Rp 0
Daftar Ulang = Rp 0
Total = Rp 0
______________________
ID : </v>
      </c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79" t="str">
        <f t="shared" si="2"/>
        <v/>
      </c>
      <c r="B86" s="14"/>
      <c r="C86" s="79"/>
      <c r="D86" s="79"/>
      <c r="E86" s="79"/>
      <c r="F86" s="79"/>
      <c r="G86" s="79"/>
      <c r="H86" s="14"/>
      <c r="I86" s="14"/>
      <c r="J86" s="14"/>
      <c r="K86" s="14"/>
      <c r="L86" s="14"/>
      <c r="M86" s="14" t="str">
        <f t="shared" ref="M86:P86" si="87">text(I86,"Rp #,##0")</f>
        <v>Rp 0</v>
      </c>
      <c r="N86" s="14" t="str">
        <f t="shared" si="87"/>
        <v>Rp 0</v>
      </c>
      <c r="O86" s="14" t="str">
        <f t="shared" si="87"/>
        <v>Rp 0</v>
      </c>
      <c r="P86" s="14" t="str">
        <f t="shared" si="87"/>
        <v>Rp 0</v>
      </c>
      <c r="Q86" s="14" t="str">
        <f t="shared" si="4"/>
        <v>Syahriyah = Rp 0
Jariyah = Rp 0
Daftar Ulang = Rp 0
Total = Rp 0
______________________
ID : 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79" t="str">
        <f t="shared" si="2"/>
        <v/>
      </c>
      <c r="B87" s="14"/>
      <c r="C87" s="79"/>
      <c r="D87" s="79"/>
      <c r="E87" s="79"/>
      <c r="F87" s="79"/>
      <c r="G87" s="79"/>
      <c r="H87" s="14"/>
      <c r="I87" s="14"/>
      <c r="J87" s="14"/>
      <c r="K87" s="14"/>
      <c r="L87" s="14"/>
      <c r="M87" s="14" t="str">
        <f t="shared" ref="M87:P87" si="88">text(I87,"Rp #,##0")</f>
        <v>Rp 0</v>
      </c>
      <c r="N87" s="14" t="str">
        <f t="shared" si="88"/>
        <v>Rp 0</v>
      </c>
      <c r="O87" s="14" t="str">
        <f t="shared" si="88"/>
        <v>Rp 0</v>
      </c>
      <c r="P87" s="14" t="str">
        <f t="shared" si="88"/>
        <v>Rp 0</v>
      </c>
      <c r="Q87" s="14" t="str">
        <f t="shared" si="4"/>
        <v>Syahriyah = Rp 0
Jariyah = Rp 0
Daftar Ulang = Rp 0
Total = Rp 0
______________________
ID : 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79" t="str">
        <f t="shared" si="2"/>
        <v/>
      </c>
      <c r="B88" s="14"/>
      <c r="C88" s="79"/>
      <c r="D88" s="79"/>
      <c r="E88" s="79"/>
      <c r="F88" s="79"/>
      <c r="G88" s="79"/>
      <c r="H88" s="14"/>
      <c r="I88" s="14"/>
      <c r="J88" s="14"/>
      <c r="K88" s="14"/>
      <c r="L88" s="14"/>
      <c r="M88" s="14" t="str">
        <f t="shared" ref="M88:P88" si="89">text(I88,"Rp #,##0")</f>
        <v>Rp 0</v>
      </c>
      <c r="N88" s="14" t="str">
        <f t="shared" si="89"/>
        <v>Rp 0</v>
      </c>
      <c r="O88" s="14" t="str">
        <f t="shared" si="89"/>
        <v>Rp 0</v>
      </c>
      <c r="P88" s="14" t="str">
        <f t="shared" si="89"/>
        <v>Rp 0</v>
      </c>
      <c r="Q88" s="14" t="str">
        <f t="shared" si="4"/>
        <v>Syahriyah = Rp 0
Jariyah = Rp 0
Daftar Ulang = Rp 0
Total = Rp 0
______________________
ID : 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79" t="str">
        <f t="shared" si="2"/>
        <v/>
      </c>
      <c r="B89" s="14"/>
      <c r="C89" s="79"/>
      <c r="D89" s="79"/>
      <c r="E89" s="79"/>
      <c r="F89" s="79"/>
      <c r="G89" s="79"/>
      <c r="H89" s="14"/>
      <c r="I89" s="14"/>
      <c r="J89" s="14"/>
      <c r="K89" s="14"/>
      <c r="L89" s="14"/>
      <c r="M89" s="14" t="str">
        <f t="shared" ref="M89:P89" si="90">text(I89,"Rp #,##0")</f>
        <v>Rp 0</v>
      </c>
      <c r="N89" s="14" t="str">
        <f t="shared" si="90"/>
        <v>Rp 0</v>
      </c>
      <c r="O89" s="14" t="str">
        <f t="shared" si="90"/>
        <v>Rp 0</v>
      </c>
      <c r="P89" s="14" t="str">
        <f t="shared" si="90"/>
        <v>Rp 0</v>
      </c>
      <c r="Q89" s="14" t="str">
        <f t="shared" si="4"/>
        <v>Syahriyah = Rp 0
Jariyah = Rp 0
Daftar Ulang = Rp 0
Total = Rp 0
______________________
ID : 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79" t="str">
        <f t="shared" si="2"/>
        <v/>
      </c>
      <c r="B90" s="14"/>
      <c r="C90" s="79"/>
      <c r="D90" s="79"/>
      <c r="E90" s="79"/>
      <c r="F90" s="79"/>
      <c r="G90" s="79"/>
      <c r="H90" s="14"/>
      <c r="I90" s="14"/>
      <c r="J90" s="14"/>
      <c r="K90" s="14"/>
      <c r="L90" s="14"/>
      <c r="M90" s="14" t="str">
        <f t="shared" ref="M90:P90" si="91">text(I90,"Rp #,##0")</f>
        <v>Rp 0</v>
      </c>
      <c r="N90" s="14" t="str">
        <f t="shared" si="91"/>
        <v>Rp 0</v>
      </c>
      <c r="O90" s="14" t="str">
        <f t="shared" si="91"/>
        <v>Rp 0</v>
      </c>
      <c r="P90" s="14" t="str">
        <f t="shared" si="91"/>
        <v>Rp 0</v>
      </c>
      <c r="Q90" s="14" t="str">
        <f t="shared" si="4"/>
        <v>Syahriyah = Rp 0
Jariyah = Rp 0
Daftar Ulang = Rp 0
Total = Rp 0
______________________
ID : 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79" t="str">
        <f t="shared" si="2"/>
        <v/>
      </c>
      <c r="B91" s="14"/>
      <c r="C91" s="79"/>
      <c r="D91" s="79"/>
      <c r="E91" s="79"/>
      <c r="F91" s="79"/>
      <c r="G91" s="79"/>
      <c r="H91" s="14"/>
      <c r="I91" s="14"/>
      <c r="J91" s="14"/>
      <c r="K91" s="14"/>
      <c r="L91" s="14"/>
      <c r="M91" s="14" t="str">
        <f t="shared" ref="M91:P91" si="92">text(I91,"Rp #,##0")</f>
        <v>Rp 0</v>
      </c>
      <c r="N91" s="14" t="str">
        <f t="shared" si="92"/>
        <v>Rp 0</v>
      </c>
      <c r="O91" s="14" t="str">
        <f t="shared" si="92"/>
        <v>Rp 0</v>
      </c>
      <c r="P91" s="14" t="str">
        <f t="shared" si="92"/>
        <v>Rp 0</v>
      </c>
      <c r="Q91" s="14" t="str">
        <f t="shared" si="4"/>
        <v>Syahriyah = Rp 0
Jariyah = Rp 0
Daftar Ulang = Rp 0
Total = Rp 0
______________________
ID : 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79" t="str">
        <f t="shared" si="2"/>
        <v/>
      </c>
      <c r="B92" s="14"/>
      <c r="C92" s="79"/>
      <c r="D92" s="79"/>
      <c r="E92" s="79"/>
      <c r="F92" s="79"/>
      <c r="G92" s="79"/>
      <c r="H92" s="14"/>
      <c r="I92" s="14"/>
      <c r="J92" s="14"/>
      <c r="K92" s="14"/>
      <c r="L92" s="14"/>
      <c r="M92" s="14" t="str">
        <f t="shared" ref="M92:P92" si="93">text(I92,"Rp #,##0")</f>
        <v>Rp 0</v>
      </c>
      <c r="N92" s="14" t="str">
        <f t="shared" si="93"/>
        <v>Rp 0</v>
      </c>
      <c r="O92" s="14" t="str">
        <f t="shared" si="93"/>
        <v>Rp 0</v>
      </c>
      <c r="P92" s="14" t="str">
        <f t="shared" si="93"/>
        <v>Rp 0</v>
      </c>
      <c r="Q92" s="14" t="str">
        <f t="shared" si="4"/>
        <v>Syahriyah = Rp 0
Jariyah = Rp 0
Daftar Ulang = Rp 0
Total = Rp 0
______________________
ID : 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79" t="str">
        <f t="shared" si="2"/>
        <v/>
      </c>
      <c r="B93" s="14"/>
      <c r="C93" s="79"/>
      <c r="D93" s="79"/>
      <c r="E93" s="79"/>
      <c r="F93" s="79"/>
      <c r="G93" s="79"/>
      <c r="H93" s="14"/>
      <c r="I93" s="14"/>
      <c r="J93" s="14"/>
      <c r="K93" s="14"/>
      <c r="L93" s="14"/>
      <c r="M93" s="14" t="str">
        <f t="shared" ref="M93:P93" si="94">text(I93,"Rp #,##0")</f>
        <v>Rp 0</v>
      </c>
      <c r="N93" s="14" t="str">
        <f t="shared" si="94"/>
        <v>Rp 0</v>
      </c>
      <c r="O93" s="14" t="str">
        <f t="shared" si="94"/>
        <v>Rp 0</v>
      </c>
      <c r="P93" s="14" t="str">
        <f t="shared" si="94"/>
        <v>Rp 0</v>
      </c>
      <c r="Q93" s="14" t="str">
        <f t="shared" si="4"/>
        <v>Syahriyah = Rp 0
Jariyah = Rp 0
Daftar Ulang = Rp 0
Total = Rp 0
______________________
ID : </v>
      </c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79" t="str">
        <f t="shared" si="2"/>
        <v/>
      </c>
      <c r="B94" s="14"/>
      <c r="C94" s="79"/>
      <c r="D94" s="79"/>
      <c r="E94" s="79"/>
      <c r="F94" s="79"/>
      <c r="G94" s="79"/>
      <c r="H94" s="14"/>
      <c r="I94" s="14"/>
      <c r="J94" s="14"/>
      <c r="K94" s="14"/>
      <c r="L94" s="14"/>
      <c r="M94" s="14" t="str">
        <f t="shared" ref="M94:P94" si="95">text(I94,"Rp #,##0")</f>
        <v>Rp 0</v>
      </c>
      <c r="N94" s="14" t="str">
        <f t="shared" si="95"/>
        <v>Rp 0</v>
      </c>
      <c r="O94" s="14" t="str">
        <f t="shared" si="95"/>
        <v>Rp 0</v>
      </c>
      <c r="P94" s="14" t="str">
        <f t="shared" si="95"/>
        <v>Rp 0</v>
      </c>
      <c r="Q94" s="14" t="str">
        <f t="shared" si="4"/>
        <v>Syahriyah = Rp 0
Jariyah = Rp 0
Daftar Ulang = Rp 0
Total = Rp 0
______________________
ID : </v>
      </c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79" t="str">
        <f t="shared" si="2"/>
        <v/>
      </c>
      <c r="B95" s="14"/>
      <c r="C95" s="79"/>
      <c r="D95" s="79"/>
      <c r="E95" s="79"/>
      <c r="F95" s="79"/>
      <c r="G95" s="79"/>
      <c r="H95" s="14"/>
      <c r="I95" s="14"/>
      <c r="J95" s="14"/>
      <c r="K95" s="14"/>
      <c r="L95" s="14"/>
      <c r="M95" s="14" t="str">
        <f t="shared" ref="M95:P95" si="96">text(I95,"Rp #,##0")</f>
        <v>Rp 0</v>
      </c>
      <c r="N95" s="14" t="str">
        <f t="shared" si="96"/>
        <v>Rp 0</v>
      </c>
      <c r="O95" s="14" t="str">
        <f t="shared" si="96"/>
        <v>Rp 0</v>
      </c>
      <c r="P95" s="14" t="str">
        <f t="shared" si="96"/>
        <v>Rp 0</v>
      </c>
      <c r="Q95" s="14" t="str">
        <f t="shared" si="4"/>
        <v>Syahriyah = Rp 0
Jariyah = Rp 0
Daftar Ulang = Rp 0
Total = Rp 0
______________________
ID : </v>
      </c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79" t="str">
        <f t="shared" si="2"/>
        <v/>
      </c>
      <c r="B96" s="14"/>
      <c r="C96" s="79"/>
      <c r="D96" s="79"/>
      <c r="E96" s="79"/>
      <c r="F96" s="79"/>
      <c r="G96" s="79"/>
      <c r="H96" s="14"/>
      <c r="I96" s="14"/>
      <c r="J96" s="14"/>
      <c r="K96" s="14"/>
      <c r="L96" s="14"/>
      <c r="M96" s="14" t="str">
        <f t="shared" ref="M96:P96" si="97">text(I96,"Rp #,##0")</f>
        <v>Rp 0</v>
      </c>
      <c r="N96" s="14" t="str">
        <f t="shared" si="97"/>
        <v>Rp 0</v>
      </c>
      <c r="O96" s="14" t="str">
        <f t="shared" si="97"/>
        <v>Rp 0</v>
      </c>
      <c r="P96" s="14" t="str">
        <f t="shared" si="97"/>
        <v>Rp 0</v>
      </c>
      <c r="Q96" s="14" t="str">
        <f t="shared" si="4"/>
        <v>Syahriyah = Rp 0
Jariyah = Rp 0
Daftar Ulang = Rp 0
Total = Rp 0
______________________
ID : 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79" t="str">
        <f t="shared" si="2"/>
        <v/>
      </c>
      <c r="B97" s="14"/>
      <c r="C97" s="79"/>
      <c r="D97" s="79"/>
      <c r="E97" s="79"/>
      <c r="F97" s="79"/>
      <c r="G97" s="79"/>
      <c r="H97" s="14"/>
      <c r="I97" s="14"/>
      <c r="J97" s="14"/>
      <c r="K97" s="14"/>
      <c r="L97" s="14"/>
      <c r="M97" s="14" t="str">
        <f t="shared" ref="M97:P97" si="98">text(I97,"Rp #,##0")</f>
        <v>Rp 0</v>
      </c>
      <c r="N97" s="14" t="str">
        <f t="shared" si="98"/>
        <v>Rp 0</v>
      </c>
      <c r="O97" s="14" t="str">
        <f t="shared" si="98"/>
        <v>Rp 0</v>
      </c>
      <c r="P97" s="14" t="str">
        <f t="shared" si="98"/>
        <v>Rp 0</v>
      </c>
      <c r="Q97" s="14" t="str">
        <f t="shared" si="4"/>
        <v>Syahriyah = Rp 0
Jariyah = Rp 0
Daftar Ulang = Rp 0
Total = Rp 0
______________________
ID : </v>
      </c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79" t="str">
        <f t="shared" si="2"/>
        <v/>
      </c>
      <c r="B98" s="14"/>
      <c r="C98" s="79"/>
      <c r="D98" s="79"/>
      <c r="E98" s="79"/>
      <c r="F98" s="79"/>
      <c r="G98" s="79"/>
      <c r="H98" s="14"/>
      <c r="I98" s="14"/>
      <c r="J98" s="14"/>
      <c r="K98" s="14"/>
      <c r="L98" s="14"/>
      <c r="M98" s="14" t="str">
        <f t="shared" ref="M98:P98" si="99">text(I98,"Rp #,##0")</f>
        <v>Rp 0</v>
      </c>
      <c r="N98" s="14" t="str">
        <f t="shared" si="99"/>
        <v>Rp 0</v>
      </c>
      <c r="O98" s="14" t="str">
        <f t="shared" si="99"/>
        <v>Rp 0</v>
      </c>
      <c r="P98" s="14" t="str">
        <f t="shared" si="99"/>
        <v>Rp 0</v>
      </c>
      <c r="Q98" s="14" t="str">
        <f t="shared" si="4"/>
        <v>Syahriyah = Rp 0
Jariyah = Rp 0
Daftar Ulang = Rp 0
Total = Rp 0
______________________
ID : </v>
      </c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79" t="str">
        <f t="shared" si="2"/>
        <v/>
      </c>
      <c r="B99" s="14"/>
      <c r="C99" s="79"/>
      <c r="D99" s="79"/>
      <c r="E99" s="79"/>
      <c r="F99" s="79"/>
      <c r="G99" s="79"/>
      <c r="H99" s="14"/>
      <c r="I99" s="14"/>
      <c r="J99" s="14"/>
      <c r="K99" s="14"/>
      <c r="L99" s="14"/>
      <c r="M99" s="14" t="str">
        <f t="shared" ref="M99:P99" si="100">text(I99,"Rp #,##0")</f>
        <v>Rp 0</v>
      </c>
      <c r="N99" s="14" t="str">
        <f t="shared" si="100"/>
        <v>Rp 0</v>
      </c>
      <c r="O99" s="14" t="str">
        <f t="shared" si="100"/>
        <v>Rp 0</v>
      </c>
      <c r="P99" s="14" t="str">
        <f t="shared" si="100"/>
        <v>Rp 0</v>
      </c>
      <c r="Q99" s="14" t="str">
        <f t="shared" si="4"/>
        <v>Syahriyah = Rp 0
Jariyah = Rp 0
Daftar Ulang = Rp 0
Total = Rp 0
______________________
ID : </v>
      </c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79" t="str">
        <f t="shared" si="2"/>
        <v/>
      </c>
      <c r="B100" s="14"/>
      <c r="C100" s="79"/>
      <c r="D100" s="79"/>
      <c r="E100" s="79"/>
      <c r="F100" s="79"/>
      <c r="G100" s="79"/>
      <c r="H100" s="14"/>
      <c r="I100" s="14"/>
      <c r="J100" s="14"/>
      <c r="K100" s="14"/>
      <c r="L100" s="14"/>
      <c r="M100" s="14" t="str">
        <f t="shared" ref="M100:P100" si="101">text(I100,"Rp #,##0")</f>
        <v>Rp 0</v>
      </c>
      <c r="N100" s="14" t="str">
        <f t="shared" si="101"/>
        <v>Rp 0</v>
      </c>
      <c r="O100" s="14" t="str">
        <f t="shared" si="101"/>
        <v>Rp 0</v>
      </c>
      <c r="P100" s="14" t="str">
        <f t="shared" si="101"/>
        <v>Rp 0</v>
      </c>
      <c r="Q100" s="14" t="str">
        <f t="shared" si="4"/>
        <v>Syahriyah = Rp 0
Jariyah = Rp 0
Daftar Ulang = Rp 0
Total = Rp 0
______________________
ID : </v>
      </c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79" t="str">
        <f t="shared" si="2"/>
        <v/>
      </c>
      <c r="B101" s="14"/>
      <c r="C101" s="79"/>
      <c r="D101" s="79"/>
      <c r="E101" s="79"/>
      <c r="F101" s="79"/>
      <c r="G101" s="79"/>
      <c r="H101" s="14"/>
      <c r="I101" s="14"/>
      <c r="J101" s="14"/>
      <c r="K101" s="14"/>
      <c r="L101" s="14"/>
      <c r="M101" s="14" t="str">
        <f t="shared" ref="M101:P101" si="102">text(I101,"Rp #,##0")</f>
        <v>Rp 0</v>
      </c>
      <c r="N101" s="14" t="str">
        <f t="shared" si="102"/>
        <v>Rp 0</v>
      </c>
      <c r="O101" s="14" t="str">
        <f t="shared" si="102"/>
        <v>Rp 0</v>
      </c>
      <c r="P101" s="14" t="str">
        <f t="shared" si="102"/>
        <v>Rp 0</v>
      </c>
      <c r="Q101" s="14" t="str">
        <f t="shared" si="4"/>
        <v>Syahriyah = Rp 0
Jariyah = Rp 0
Daftar Ulang = Rp 0
Total = Rp 0
______________________
ID : </v>
      </c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79" t="str">
        <f t="shared" si="2"/>
        <v/>
      </c>
      <c r="B102" s="14"/>
      <c r="C102" s="79"/>
      <c r="D102" s="79"/>
      <c r="E102" s="79"/>
      <c r="F102" s="79"/>
      <c r="G102" s="79"/>
      <c r="H102" s="14"/>
      <c r="I102" s="14"/>
      <c r="J102" s="14"/>
      <c r="K102" s="14"/>
      <c r="L102" s="14"/>
      <c r="M102" s="14" t="str">
        <f t="shared" ref="M102:P102" si="103">text(I102,"Rp #,##0")</f>
        <v>Rp 0</v>
      </c>
      <c r="N102" s="14" t="str">
        <f t="shared" si="103"/>
        <v>Rp 0</v>
      </c>
      <c r="O102" s="14" t="str">
        <f t="shared" si="103"/>
        <v>Rp 0</v>
      </c>
      <c r="P102" s="14" t="str">
        <f t="shared" si="103"/>
        <v>Rp 0</v>
      </c>
      <c r="Q102" s="14" t="str">
        <f t="shared" si="4"/>
        <v>Syahriyah = Rp 0
Jariyah = Rp 0
Daftar Ulang = Rp 0
Total = Rp 0
______________________
ID : </v>
      </c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79" t="str">
        <f t="shared" si="2"/>
        <v/>
      </c>
      <c r="B103" s="14"/>
      <c r="C103" s="79"/>
      <c r="D103" s="79"/>
      <c r="E103" s="79"/>
      <c r="F103" s="79"/>
      <c r="G103" s="79"/>
      <c r="H103" s="14"/>
      <c r="I103" s="14"/>
      <c r="J103" s="14"/>
      <c r="K103" s="14"/>
      <c r="L103" s="14"/>
      <c r="M103" s="14" t="str">
        <f t="shared" ref="M103:P103" si="104">text(I103,"Rp #,##0")</f>
        <v>Rp 0</v>
      </c>
      <c r="N103" s="14" t="str">
        <f t="shared" si="104"/>
        <v>Rp 0</v>
      </c>
      <c r="O103" s="14" t="str">
        <f t="shared" si="104"/>
        <v>Rp 0</v>
      </c>
      <c r="P103" s="14" t="str">
        <f t="shared" si="104"/>
        <v>Rp 0</v>
      </c>
      <c r="Q103" s="14" t="str">
        <f t="shared" si="4"/>
        <v>Syahriyah = Rp 0
Jariyah = Rp 0
Daftar Ulang = Rp 0
Total = Rp 0
______________________
ID : </v>
      </c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79" t="str">
        <f t="shared" si="2"/>
        <v/>
      </c>
      <c r="B104" s="14"/>
      <c r="C104" s="79"/>
      <c r="D104" s="79"/>
      <c r="E104" s="79"/>
      <c r="F104" s="79"/>
      <c r="G104" s="79"/>
      <c r="H104" s="14"/>
      <c r="I104" s="14"/>
      <c r="J104" s="14"/>
      <c r="K104" s="14"/>
      <c r="L104" s="14"/>
      <c r="M104" s="14" t="str">
        <f t="shared" ref="M104:P104" si="105">text(I104,"Rp #,##0")</f>
        <v>Rp 0</v>
      </c>
      <c r="N104" s="14" t="str">
        <f t="shared" si="105"/>
        <v>Rp 0</v>
      </c>
      <c r="O104" s="14" t="str">
        <f t="shared" si="105"/>
        <v>Rp 0</v>
      </c>
      <c r="P104" s="14" t="str">
        <f t="shared" si="105"/>
        <v>Rp 0</v>
      </c>
      <c r="Q104" s="14" t="str">
        <f t="shared" si="4"/>
        <v>Syahriyah = Rp 0
Jariyah = Rp 0
Daftar Ulang = Rp 0
Total = Rp 0
______________________
ID : 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79" t="str">
        <f t="shared" si="2"/>
        <v/>
      </c>
      <c r="B105" s="14"/>
      <c r="C105" s="79"/>
      <c r="D105" s="79"/>
      <c r="E105" s="79"/>
      <c r="F105" s="79"/>
      <c r="G105" s="79"/>
      <c r="H105" s="14"/>
      <c r="I105" s="14"/>
      <c r="J105" s="14"/>
      <c r="K105" s="14"/>
      <c r="L105" s="14"/>
      <c r="M105" s="14" t="str">
        <f t="shared" ref="M105:P105" si="106">text(I105,"Rp #,##0")</f>
        <v>Rp 0</v>
      </c>
      <c r="N105" s="14" t="str">
        <f t="shared" si="106"/>
        <v>Rp 0</v>
      </c>
      <c r="O105" s="14" t="str">
        <f t="shared" si="106"/>
        <v>Rp 0</v>
      </c>
      <c r="P105" s="14" t="str">
        <f t="shared" si="106"/>
        <v>Rp 0</v>
      </c>
      <c r="Q105" s="14" t="str">
        <f t="shared" si="4"/>
        <v>Syahriyah = Rp 0
Jariyah = Rp 0
Daftar Ulang = Rp 0
Total = Rp 0
______________________
ID : </v>
      </c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79" t="str">
        <f t="shared" si="2"/>
        <v/>
      </c>
      <c r="B106" s="14"/>
      <c r="C106" s="79"/>
      <c r="D106" s="79"/>
      <c r="E106" s="79"/>
      <c r="F106" s="79"/>
      <c r="G106" s="79"/>
      <c r="H106" s="14"/>
      <c r="I106" s="14"/>
      <c r="J106" s="14"/>
      <c r="K106" s="14"/>
      <c r="L106" s="14"/>
      <c r="M106" s="14" t="str">
        <f t="shared" ref="M106:P106" si="107">text(I106,"Rp #,##0")</f>
        <v>Rp 0</v>
      </c>
      <c r="N106" s="14" t="str">
        <f t="shared" si="107"/>
        <v>Rp 0</v>
      </c>
      <c r="O106" s="14" t="str">
        <f t="shared" si="107"/>
        <v>Rp 0</v>
      </c>
      <c r="P106" s="14" t="str">
        <f t="shared" si="107"/>
        <v>Rp 0</v>
      </c>
      <c r="Q106" s="14" t="str">
        <f t="shared" si="4"/>
        <v>Syahriyah = Rp 0
Jariyah = Rp 0
Daftar Ulang = Rp 0
Total = Rp 0
______________________
ID : </v>
      </c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79" t="str">
        <f t="shared" si="2"/>
        <v/>
      </c>
      <c r="B107" s="14"/>
      <c r="C107" s="79"/>
      <c r="D107" s="79"/>
      <c r="E107" s="79"/>
      <c r="F107" s="79"/>
      <c r="G107" s="79"/>
      <c r="H107" s="14"/>
      <c r="I107" s="14"/>
      <c r="J107" s="14"/>
      <c r="K107" s="14"/>
      <c r="L107" s="14"/>
      <c r="M107" s="14" t="str">
        <f t="shared" ref="M107:P107" si="108">text(I107,"Rp #,##0")</f>
        <v>Rp 0</v>
      </c>
      <c r="N107" s="14" t="str">
        <f t="shared" si="108"/>
        <v>Rp 0</v>
      </c>
      <c r="O107" s="14" t="str">
        <f t="shared" si="108"/>
        <v>Rp 0</v>
      </c>
      <c r="P107" s="14" t="str">
        <f t="shared" si="108"/>
        <v>Rp 0</v>
      </c>
      <c r="Q107" s="14" t="str">
        <f t="shared" si="4"/>
        <v>Syahriyah = Rp 0
Jariyah = Rp 0
Daftar Ulang = Rp 0
Total = Rp 0
______________________
ID : </v>
      </c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79" t="str">
        <f t="shared" si="2"/>
        <v/>
      </c>
      <c r="B108" s="14"/>
      <c r="C108" s="79"/>
      <c r="D108" s="79"/>
      <c r="E108" s="79"/>
      <c r="F108" s="79"/>
      <c r="G108" s="79"/>
      <c r="H108" s="14"/>
      <c r="I108" s="14"/>
      <c r="J108" s="14"/>
      <c r="K108" s="14"/>
      <c r="L108" s="14"/>
      <c r="M108" s="14" t="str">
        <f t="shared" ref="M108:P108" si="109">text(I108,"Rp #,##0")</f>
        <v>Rp 0</v>
      </c>
      <c r="N108" s="14" t="str">
        <f t="shared" si="109"/>
        <v>Rp 0</v>
      </c>
      <c r="O108" s="14" t="str">
        <f t="shared" si="109"/>
        <v>Rp 0</v>
      </c>
      <c r="P108" s="14" t="str">
        <f t="shared" si="109"/>
        <v>Rp 0</v>
      </c>
      <c r="Q108" s="14" t="str">
        <f t="shared" si="4"/>
        <v>Syahriyah = Rp 0
Jariyah = Rp 0
Daftar Ulang = Rp 0
Total = Rp 0
______________________
ID : </v>
      </c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79" t="str">
        <f t="shared" si="2"/>
        <v/>
      </c>
      <c r="B109" s="14"/>
      <c r="C109" s="79"/>
      <c r="D109" s="79"/>
      <c r="E109" s="79"/>
      <c r="F109" s="79"/>
      <c r="G109" s="79"/>
      <c r="H109" s="14"/>
      <c r="I109" s="14"/>
      <c r="J109" s="14"/>
      <c r="K109" s="14"/>
      <c r="L109" s="14"/>
      <c r="M109" s="14" t="str">
        <f t="shared" ref="M109:P109" si="110">text(I109,"Rp #,##0")</f>
        <v>Rp 0</v>
      </c>
      <c r="N109" s="14" t="str">
        <f t="shared" si="110"/>
        <v>Rp 0</v>
      </c>
      <c r="O109" s="14" t="str">
        <f t="shared" si="110"/>
        <v>Rp 0</v>
      </c>
      <c r="P109" s="14" t="str">
        <f t="shared" si="110"/>
        <v>Rp 0</v>
      </c>
      <c r="Q109" s="14" t="str">
        <f t="shared" si="4"/>
        <v>Syahriyah = Rp 0
Jariyah = Rp 0
Daftar Ulang = Rp 0
Total = Rp 0
______________________
ID : 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79" t="str">
        <f t="shared" si="2"/>
        <v/>
      </c>
      <c r="B110" s="14"/>
      <c r="C110" s="79"/>
      <c r="D110" s="79"/>
      <c r="E110" s="79"/>
      <c r="F110" s="79"/>
      <c r="G110" s="79"/>
      <c r="H110" s="14"/>
      <c r="I110" s="14"/>
      <c r="J110" s="14"/>
      <c r="K110" s="14"/>
      <c r="L110" s="14"/>
      <c r="M110" s="14" t="str">
        <f t="shared" ref="M110:P110" si="111">text(I110,"Rp #,##0")</f>
        <v>Rp 0</v>
      </c>
      <c r="N110" s="14" t="str">
        <f t="shared" si="111"/>
        <v>Rp 0</v>
      </c>
      <c r="O110" s="14" t="str">
        <f t="shared" si="111"/>
        <v>Rp 0</v>
      </c>
      <c r="P110" s="14" t="str">
        <f t="shared" si="111"/>
        <v>Rp 0</v>
      </c>
      <c r="Q110" s="14" t="str">
        <f t="shared" si="4"/>
        <v>Syahriyah = Rp 0
Jariyah = Rp 0
Daftar Ulang = Rp 0
Total = Rp 0
______________________
ID : </v>
      </c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79" t="str">
        <f t="shared" si="2"/>
        <v/>
      </c>
      <c r="B111" s="14"/>
      <c r="C111" s="79"/>
      <c r="D111" s="79"/>
      <c r="E111" s="79"/>
      <c r="F111" s="79"/>
      <c r="G111" s="79"/>
      <c r="H111" s="14"/>
      <c r="I111" s="14"/>
      <c r="J111" s="14"/>
      <c r="K111" s="14"/>
      <c r="L111" s="14"/>
      <c r="M111" s="14" t="str">
        <f t="shared" ref="M111:P111" si="112">text(I111,"Rp #,##0")</f>
        <v>Rp 0</v>
      </c>
      <c r="N111" s="14" t="str">
        <f t="shared" si="112"/>
        <v>Rp 0</v>
      </c>
      <c r="O111" s="14" t="str">
        <f t="shared" si="112"/>
        <v>Rp 0</v>
      </c>
      <c r="P111" s="14" t="str">
        <f t="shared" si="112"/>
        <v>Rp 0</v>
      </c>
      <c r="Q111" s="14" t="str">
        <f t="shared" si="4"/>
        <v>Syahriyah = Rp 0
Jariyah = Rp 0
Daftar Ulang = Rp 0
Total = Rp 0
______________________
ID : </v>
      </c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79" t="str">
        <f t="shared" si="2"/>
        <v/>
      </c>
      <c r="B112" s="14"/>
      <c r="C112" s="79"/>
      <c r="D112" s="79"/>
      <c r="E112" s="79"/>
      <c r="F112" s="79"/>
      <c r="G112" s="79"/>
      <c r="H112" s="14"/>
      <c r="I112" s="14"/>
      <c r="J112" s="14"/>
      <c r="K112" s="14"/>
      <c r="L112" s="14"/>
      <c r="M112" s="14" t="str">
        <f t="shared" ref="M112:P112" si="113">text(I112,"Rp #,##0")</f>
        <v>Rp 0</v>
      </c>
      <c r="N112" s="14" t="str">
        <f t="shared" si="113"/>
        <v>Rp 0</v>
      </c>
      <c r="O112" s="14" t="str">
        <f t="shared" si="113"/>
        <v>Rp 0</v>
      </c>
      <c r="P112" s="14" t="str">
        <f t="shared" si="113"/>
        <v>Rp 0</v>
      </c>
      <c r="Q112" s="14" t="str">
        <f t="shared" si="4"/>
        <v>Syahriyah = Rp 0
Jariyah = Rp 0
Daftar Ulang = Rp 0
Total = Rp 0
______________________
ID : </v>
      </c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79" t="str">
        <f t="shared" si="2"/>
        <v/>
      </c>
      <c r="B113" s="14"/>
      <c r="C113" s="79"/>
      <c r="D113" s="79"/>
      <c r="E113" s="79"/>
      <c r="F113" s="79"/>
      <c r="G113" s="79"/>
      <c r="H113" s="14"/>
      <c r="I113" s="14"/>
      <c r="J113" s="14"/>
      <c r="K113" s="14"/>
      <c r="L113" s="14"/>
      <c r="M113" s="14" t="str">
        <f t="shared" ref="M113:P113" si="114">text(I113,"Rp #,##0")</f>
        <v>Rp 0</v>
      </c>
      <c r="N113" s="14" t="str">
        <f t="shared" si="114"/>
        <v>Rp 0</v>
      </c>
      <c r="O113" s="14" t="str">
        <f t="shared" si="114"/>
        <v>Rp 0</v>
      </c>
      <c r="P113" s="14" t="str">
        <f t="shared" si="114"/>
        <v>Rp 0</v>
      </c>
      <c r="Q113" s="14" t="str">
        <f t="shared" si="4"/>
        <v>Syahriyah = Rp 0
Jariyah = Rp 0
Daftar Ulang = Rp 0
Total = Rp 0
______________________
ID : </v>
      </c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79" t="str">
        <f t="shared" si="2"/>
        <v/>
      </c>
      <c r="B114" s="14"/>
      <c r="C114" s="79"/>
      <c r="D114" s="79"/>
      <c r="E114" s="79"/>
      <c r="F114" s="79"/>
      <c r="G114" s="79"/>
      <c r="H114" s="14"/>
      <c r="I114" s="14"/>
      <c r="J114" s="14"/>
      <c r="K114" s="14"/>
      <c r="L114" s="14"/>
      <c r="M114" s="14" t="str">
        <f t="shared" ref="M114:P114" si="115">text(I114,"Rp #,##0")</f>
        <v>Rp 0</v>
      </c>
      <c r="N114" s="14" t="str">
        <f t="shared" si="115"/>
        <v>Rp 0</v>
      </c>
      <c r="O114" s="14" t="str">
        <f t="shared" si="115"/>
        <v>Rp 0</v>
      </c>
      <c r="P114" s="14" t="str">
        <f t="shared" si="115"/>
        <v>Rp 0</v>
      </c>
      <c r="Q114" s="14" t="str">
        <f t="shared" si="4"/>
        <v>Syahriyah = Rp 0
Jariyah = Rp 0
Daftar Ulang = Rp 0
Total = Rp 0
______________________
ID : </v>
      </c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79" t="str">
        <f t="shared" si="2"/>
        <v/>
      </c>
      <c r="B115" s="14"/>
      <c r="C115" s="79"/>
      <c r="D115" s="79"/>
      <c r="E115" s="79"/>
      <c r="F115" s="79"/>
      <c r="G115" s="79"/>
      <c r="H115" s="14"/>
      <c r="I115" s="14"/>
      <c r="J115" s="14"/>
      <c r="K115" s="14"/>
      <c r="L115" s="14"/>
      <c r="M115" s="14" t="str">
        <f t="shared" ref="M115:P115" si="116">text(I115,"Rp #,##0")</f>
        <v>Rp 0</v>
      </c>
      <c r="N115" s="14" t="str">
        <f t="shared" si="116"/>
        <v>Rp 0</v>
      </c>
      <c r="O115" s="14" t="str">
        <f t="shared" si="116"/>
        <v>Rp 0</v>
      </c>
      <c r="P115" s="14" t="str">
        <f t="shared" si="116"/>
        <v>Rp 0</v>
      </c>
      <c r="Q115" s="14" t="str">
        <f t="shared" si="4"/>
        <v>Syahriyah = Rp 0
Jariyah = Rp 0
Daftar Ulang = Rp 0
Total = Rp 0
______________________
ID : </v>
      </c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79" t="str">
        <f t="shared" si="2"/>
        <v/>
      </c>
      <c r="B116" s="14"/>
      <c r="C116" s="79"/>
      <c r="D116" s="79"/>
      <c r="E116" s="79"/>
      <c r="F116" s="79"/>
      <c r="G116" s="79"/>
      <c r="H116" s="14"/>
      <c r="I116" s="14"/>
      <c r="J116" s="14"/>
      <c r="K116" s="14"/>
      <c r="L116" s="14"/>
      <c r="M116" s="14" t="str">
        <f t="shared" ref="M116:P116" si="117">text(I116,"Rp #,##0")</f>
        <v>Rp 0</v>
      </c>
      <c r="N116" s="14" t="str">
        <f t="shared" si="117"/>
        <v>Rp 0</v>
      </c>
      <c r="O116" s="14" t="str">
        <f t="shared" si="117"/>
        <v>Rp 0</v>
      </c>
      <c r="P116" s="14" t="str">
        <f t="shared" si="117"/>
        <v>Rp 0</v>
      </c>
      <c r="Q116" s="14" t="str">
        <f t="shared" si="4"/>
        <v>Syahriyah = Rp 0
Jariyah = Rp 0
Daftar Ulang = Rp 0
Total = Rp 0
______________________
ID : </v>
      </c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79" t="str">
        <f t="shared" si="2"/>
        <v/>
      </c>
      <c r="B117" s="14"/>
      <c r="C117" s="79"/>
      <c r="D117" s="79"/>
      <c r="E117" s="79"/>
      <c r="F117" s="79"/>
      <c r="G117" s="79"/>
      <c r="H117" s="14"/>
      <c r="I117" s="14"/>
      <c r="J117" s="14"/>
      <c r="K117" s="14"/>
      <c r="L117" s="14"/>
      <c r="M117" s="14" t="str">
        <f t="shared" ref="M117:P117" si="118">text(I117,"Rp #,##0")</f>
        <v>Rp 0</v>
      </c>
      <c r="N117" s="14" t="str">
        <f t="shared" si="118"/>
        <v>Rp 0</v>
      </c>
      <c r="O117" s="14" t="str">
        <f t="shared" si="118"/>
        <v>Rp 0</v>
      </c>
      <c r="P117" s="14" t="str">
        <f t="shared" si="118"/>
        <v>Rp 0</v>
      </c>
      <c r="Q117" s="14" t="str">
        <f t="shared" si="4"/>
        <v>Syahriyah = Rp 0
Jariyah = Rp 0
Daftar Ulang = Rp 0
Total = Rp 0
______________________
ID : </v>
      </c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79" t="str">
        <f t="shared" si="2"/>
        <v/>
      </c>
      <c r="B118" s="14"/>
      <c r="C118" s="79"/>
      <c r="D118" s="79"/>
      <c r="E118" s="79"/>
      <c r="F118" s="79"/>
      <c r="G118" s="79"/>
      <c r="H118" s="14"/>
      <c r="I118" s="14"/>
      <c r="J118" s="14"/>
      <c r="K118" s="14"/>
      <c r="L118" s="14"/>
      <c r="M118" s="14" t="str">
        <f t="shared" ref="M118:P118" si="119">text(I118,"Rp #,##0")</f>
        <v>Rp 0</v>
      </c>
      <c r="N118" s="14" t="str">
        <f t="shared" si="119"/>
        <v>Rp 0</v>
      </c>
      <c r="O118" s="14" t="str">
        <f t="shared" si="119"/>
        <v>Rp 0</v>
      </c>
      <c r="P118" s="14" t="str">
        <f t="shared" si="119"/>
        <v>Rp 0</v>
      </c>
      <c r="Q118" s="14" t="str">
        <f t="shared" si="4"/>
        <v>Syahriyah = Rp 0
Jariyah = Rp 0
Daftar Ulang = Rp 0
Total = Rp 0
______________________
ID : </v>
      </c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79" t="str">
        <f t="shared" si="2"/>
        <v/>
      </c>
      <c r="B119" s="14"/>
      <c r="C119" s="79"/>
      <c r="D119" s="79"/>
      <c r="E119" s="79"/>
      <c r="F119" s="79"/>
      <c r="G119" s="79"/>
      <c r="H119" s="14"/>
      <c r="I119" s="14"/>
      <c r="J119" s="14"/>
      <c r="K119" s="14"/>
      <c r="L119" s="14"/>
      <c r="M119" s="14" t="str">
        <f t="shared" ref="M119:P119" si="120">text(I119,"Rp #,##0")</f>
        <v>Rp 0</v>
      </c>
      <c r="N119" s="14" t="str">
        <f t="shared" si="120"/>
        <v>Rp 0</v>
      </c>
      <c r="O119" s="14" t="str">
        <f t="shared" si="120"/>
        <v>Rp 0</v>
      </c>
      <c r="P119" s="14" t="str">
        <f t="shared" si="120"/>
        <v>Rp 0</v>
      </c>
      <c r="Q119" s="14" t="str">
        <f t="shared" si="4"/>
        <v>Syahriyah = Rp 0
Jariyah = Rp 0
Daftar Ulang = Rp 0
Total = Rp 0
______________________
ID : </v>
      </c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79" t="str">
        <f t="shared" si="2"/>
        <v/>
      </c>
      <c r="B120" s="14"/>
      <c r="C120" s="79"/>
      <c r="D120" s="79"/>
      <c r="E120" s="79"/>
      <c r="F120" s="79"/>
      <c r="G120" s="79"/>
      <c r="H120" s="14"/>
      <c r="I120" s="14"/>
      <c r="J120" s="14"/>
      <c r="K120" s="14"/>
      <c r="L120" s="14"/>
      <c r="M120" s="14" t="str">
        <f t="shared" ref="M120:P120" si="121">text(I120,"Rp #,##0")</f>
        <v>Rp 0</v>
      </c>
      <c r="N120" s="14" t="str">
        <f t="shared" si="121"/>
        <v>Rp 0</v>
      </c>
      <c r="O120" s="14" t="str">
        <f t="shared" si="121"/>
        <v>Rp 0</v>
      </c>
      <c r="P120" s="14" t="str">
        <f t="shared" si="121"/>
        <v>Rp 0</v>
      </c>
      <c r="Q120" s="14" t="str">
        <f t="shared" si="4"/>
        <v>Syahriyah = Rp 0
Jariyah = Rp 0
Daftar Ulang = Rp 0
Total = Rp 0
______________________
ID : </v>
      </c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79" t="str">
        <f t="shared" si="2"/>
        <v/>
      </c>
      <c r="B121" s="14"/>
      <c r="C121" s="79"/>
      <c r="D121" s="79"/>
      <c r="E121" s="79"/>
      <c r="F121" s="79"/>
      <c r="G121" s="79"/>
      <c r="H121" s="14"/>
      <c r="I121" s="14"/>
      <c r="J121" s="14"/>
      <c r="K121" s="14"/>
      <c r="L121" s="14"/>
      <c r="M121" s="14" t="str">
        <f t="shared" ref="M121:P121" si="122">text(I121,"Rp #,##0")</f>
        <v>Rp 0</v>
      </c>
      <c r="N121" s="14" t="str">
        <f t="shared" si="122"/>
        <v>Rp 0</v>
      </c>
      <c r="O121" s="14" t="str">
        <f t="shared" si="122"/>
        <v>Rp 0</v>
      </c>
      <c r="P121" s="14" t="str">
        <f t="shared" si="122"/>
        <v>Rp 0</v>
      </c>
      <c r="Q121" s="14" t="str">
        <f t="shared" si="4"/>
        <v>Syahriyah = Rp 0
Jariyah = Rp 0
Daftar Ulang = Rp 0
Total = Rp 0
______________________
ID : </v>
      </c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79" t="str">
        <f t="shared" si="2"/>
        <v/>
      </c>
      <c r="B122" s="14"/>
      <c r="C122" s="79"/>
      <c r="D122" s="79"/>
      <c r="E122" s="79"/>
      <c r="F122" s="79"/>
      <c r="G122" s="79"/>
      <c r="H122" s="14"/>
      <c r="I122" s="14"/>
      <c r="J122" s="14"/>
      <c r="K122" s="14"/>
      <c r="L122" s="14"/>
      <c r="M122" s="14" t="str">
        <f t="shared" ref="M122:P122" si="123">text(I122,"Rp #,##0")</f>
        <v>Rp 0</v>
      </c>
      <c r="N122" s="14" t="str">
        <f t="shared" si="123"/>
        <v>Rp 0</v>
      </c>
      <c r="O122" s="14" t="str">
        <f t="shared" si="123"/>
        <v>Rp 0</v>
      </c>
      <c r="P122" s="14" t="str">
        <f t="shared" si="123"/>
        <v>Rp 0</v>
      </c>
      <c r="Q122" s="14" t="str">
        <f t="shared" si="4"/>
        <v>Syahriyah = Rp 0
Jariyah = Rp 0
Daftar Ulang = Rp 0
Total = Rp 0
______________________
ID : </v>
      </c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79" t="str">
        <f t="shared" si="2"/>
        <v/>
      </c>
      <c r="B123" s="14"/>
      <c r="C123" s="79"/>
      <c r="D123" s="79"/>
      <c r="E123" s="79"/>
      <c r="F123" s="79"/>
      <c r="G123" s="79"/>
      <c r="H123" s="14"/>
      <c r="I123" s="14"/>
      <c r="J123" s="14"/>
      <c r="K123" s="14"/>
      <c r="L123" s="14"/>
      <c r="M123" s="14" t="str">
        <f t="shared" ref="M123:P123" si="124">text(I123,"Rp #,##0")</f>
        <v>Rp 0</v>
      </c>
      <c r="N123" s="14" t="str">
        <f t="shared" si="124"/>
        <v>Rp 0</v>
      </c>
      <c r="O123" s="14" t="str">
        <f t="shared" si="124"/>
        <v>Rp 0</v>
      </c>
      <c r="P123" s="14" t="str">
        <f t="shared" si="124"/>
        <v>Rp 0</v>
      </c>
      <c r="Q123" s="14" t="str">
        <f t="shared" si="4"/>
        <v>Syahriyah = Rp 0
Jariyah = Rp 0
Daftar Ulang = Rp 0
Total = Rp 0
______________________
ID : </v>
      </c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79" t="str">
        <f t="shared" si="2"/>
        <v/>
      </c>
      <c r="B124" s="14"/>
      <c r="C124" s="79"/>
      <c r="D124" s="79"/>
      <c r="E124" s="79"/>
      <c r="F124" s="79"/>
      <c r="G124" s="79"/>
      <c r="H124" s="14"/>
      <c r="I124" s="14"/>
      <c r="J124" s="14"/>
      <c r="K124" s="14"/>
      <c r="L124" s="14"/>
      <c r="M124" s="14" t="str">
        <f t="shared" ref="M124:P124" si="125">text(I124,"Rp #,##0")</f>
        <v>Rp 0</v>
      </c>
      <c r="N124" s="14" t="str">
        <f t="shared" si="125"/>
        <v>Rp 0</v>
      </c>
      <c r="O124" s="14" t="str">
        <f t="shared" si="125"/>
        <v>Rp 0</v>
      </c>
      <c r="P124" s="14" t="str">
        <f t="shared" si="125"/>
        <v>Rp 0</v>
      </c>
      <c r="Q124" s="14" t="str">
        <f t="shared" si="4"/>
        <v>Syahriyah = Rp 0
Jariyah = Rp 0
Daftar Ulang = Rp 0
Total = Rp 0
______________________
ID : 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79" t="str">
        <f t="shared" si="2"/>
        <v/>
      </c>
      <c r="B125" s="14"/>
      <c r="C125" s="79"/>
      <c r="D125" s="79"/>
      <c r="E125" s="79"/>
      <c r="F125" s="79"/>
      <c r="G125" s="79"/>
      <c r="H125" s="14"/>
      <c r="I125" s="14"/>
      <c r="J125" s="14"/>
      <c r="K125" s="14"/>
      <c r="L125" s="14"/>
      <c r="M125" s="14" t="str">
        <f t="shared" ref="M125:P125" si="126">text(I125,"Rp #,##0")</f>
        <v>Rp 0</v>
      </c>
      <c r="N125" s="14" t="str">
        <f t="shared" si="126"/>
        <v>Rp 0</v>
      </c>
      <c r="O125" s="14" t="str">
        <f t="shared" si="126"/>
        <v>Rp 0</v>
      </c>
      <c r="P125" s="14" t="str">
        <f t="shared" si="126"/>
        <v>Rp 0</v>
      </c>
      <c r="Q125" s="14" t="str">
        <f t="shared" si="4"/>
        <v>Syahriyah = Rp 0
Jariyah = Rp 0
Daftar Ulang = Rp 0
Total = Rp 0
______________________
ID : </v>
      </c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79" t="str">
        <f t="shared" si="2"/>
        <v/>
      </c>
      <c r="B126" s="14"/>
      <c r="C126" s="79"/>
      <c r="D126" s="79"/>
      <c r="E126" s="79"/>
      <c r="F126" s="79"/>
      <c r="G126" s="79"/>
      <c r="H126" s="14"/>
      <c r="I126" s="14"/>
      <c r="J126" s="14"/>
      <c r="K126" s="14"/>
      <c r="L126" s="14"/>
      <c r="M126" s="14" t="str">
        <f t="shared" ref="M126:P126" si="127">text(I126,"Rp #,##0")</f>
        <v>Rp 0</v>
      </c>
      <c r="N126" s="14" t="str">
        <f t="shared" si="127"/>
        <v>Rp 0</v>
      </c>
      <c r="O126" s="14" t="str">
        <f t="shared" si="127"/>
        <v>Rp 0</v>
      </c>
      <c r="P126" s="14" t="str">
        <f t="shared" si="127"/>
        <v>Rp 0</v>
      </c>
      <c r="Q126" s="14" t="str">
        <f t="shared" si="4"/>
        <v>Syahriyah = Rp 0
Jariyah = Rp 0
Daftar Ulang = Rp 0
Total = Rp 0
______________________
ID : </v>
      </c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79" t="str">
        <f t="shared" si="2"/>
        <v/>
      </c>
      <c r="B127" s="14"/>
      <c r="C127" s="79"/>
      <c r="D127" s="79"/>
      <c r="E127" s="79"/>
      <c r="F127" s="79"/>
      <c r="G127" s="79"/>
      <c r="H127" s="14"/>
      <c r="I127" s="14"/>
      <c r="J127" s="14"/>
      <c r="K127" s="14"/>
      <c r="L127" s="14"/>
      <c r="M127" s="14" t="str">
        <f t="shared" ref="M127:P127" si="128">text(I127,"Rp #,##0")</f>
        <v>Rp 0</v>
      </c>
      <c r="N127" s="14" t="str">
        <f t="shared" si="128"/>
        <v>Rp 0</v>
      </c>
      <c r="O127" s="14" t="str">
        <f t="shared" si="128"/>
        <v>Rp 0</v>
      </c>
      <c r="P127" s="14" t="str">
        <f t="shared" si="128"/>
        <v>Rp 0</v>
      </c>
      <c r="Q127" s="14" t="str">
        <f t="shared" si="4"/>
        <v>Syahriyah = Rp 0
Jariyah = Rp 0
Daftar Ulang = Rp 0
Total = Rp 0
______________________
ID : </v>
      </c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79" t="str">
        <f t="shared" si="2"/>
        <v/>
      </c>
      <c r="B128" s="14"/>
      <c r="C128" s="79"/>
      <c r="D128" s="79"/>
      <c r="E128" s="79"/>
      <c r="F128" s="79"/>
      <c r="G128" s="79"/>
      <c r="H128" s="14"/>
      <c r="I128" s="14"/>
      <c r="J128" s="14"/>
      <c r="K128" s="14"/>
      <c r="L128" s="14"/>
      <c r="M128" s="14" t="str">
        <f t="shared" ref="M128:P128" si="129">text(I128,"Rp #,##0")</f>
        <v>Rp 0</v>
      </c>
      <c r="N128" s="14" t="str">
        <f t="shared" si="129"/>
        <v>Rp 0</v>
      </c>
      <c r="O128" s="14" t="str">
        <f t="shared" si="129"/>
        <v>Rp 0</v>
      </c>
      <c r="P128" s="14" t="str">
        <f t="shared" si="129"/>
        <v>Rp 0</v>
      </c>
      <c r="Q128" s="14" t="str">
        <f t="shared" si="4"/>
        <v>Syahriyah = Rp 0
Jariyah = Rp 0
Daftar Ulang = Rp 0
Total = Rp 0
______________________
ID : 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79" t="str">
        <f t="shared" si="2"/>
        <v/>
      </c>
      <c r="B129" s="14"/>
      <c r="C129" s="79"/>
      <c r="D129" s="79"/>
      <c r="E129" s="79"/>
      <c r="F129" s="79"/>
      <c r="G129" s="79"/>
      <c r="H129" s="14"/>
      <c r="I129" s="14"/>
      <c r="J129" s="14"/>
      <c r="K129" s="14"/>
      <c r="L129" s="14"/>
      <c r="M129" s="14" t="str">
        <f t="shared" ref="M129:P129" si="130">text(I129,"Rp #,##0")</f>
        <v>Rp 0</v>
      </c>
      <c r="N129" s="14" t="str">
        <f t="shared" si="130"/>
        <v>Rp 0</v>
      </c>
      <c r="O129" s="14" t="str">
        <f t="shared" si="130"/>
        <v>Rp 0</v>
      </c>
      <c r="P129" s="14" t="str">
        <f t="shared" si="130"/>
        <v>Rp 0</v>
      </c>
      <c r="Q129" s="14" t="str">
        <f t="shared" si="4"/>
        <v>Syahriyah = Rp 0
Jariyah = Rp 0
Daftar Ulang = Rp 0
Total = Rp 0
______________________
ID : </v>
      </c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79" t="str">
        <f t="shared" si="2"/>
        <v/>
      </c>
      <c r="B130" s="14"/>
      <c r="C130" s="79"/>
      <c r="D130" s="79"/>
      <c r="E130" s="79"/>
      <c r="F130" s="79"/>
      <c r="G130" s="79"/>
      <c r="H130" s="14"/>
      <c r="I130" s="14"/>
      <c r="J130" s="14"/>
      <c r="K130" s="14"/>
      <c r="L130" s="14"/>
      <c r="M130" s="14" t="str">
        <f t="shared" ref="M130:P130" si="131">text(I130,"Rp #,##0")</f>
        <v>Rp 0</v>
      </c>
      <c r="N130" s="14" t="str">
        <f t="shared" si="131"/>
        <v>Rp 0</v>
      </c>
      <c r="O130" s="14" t="str">
        <f t="shared" si="131"/>
        <v>Rp 0</v>
      </c>
      <c r="P130" s="14" t="str">
        <f t="shared" si="131"/>
        <v>Rp 0</v>
      </c>
      <c r="Q130" s="14" t="str">
        <f t="shared" si="4"/>
        <v>Syahriyah = Rp 0
Jariyah = Rp 0
Daftar Ulang = Rp 0
Total = Rp 0
______________________
ID : </v>
      </c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79" t="str">
        <f t="shared" si="2"/>
        <v/>
      </c>
      <c r="B131" s="14"/>
      <c r="C131" s="79"/>
      <c r="D131" s="79"/>
      <c r="E131" s="79"/>
      <c r="F131" s="79"/>
      <c r="G131" s="79"/>
      <c r="H131" s="14"/>
      <c r="I131" s="14"/>
      <c r="J131" s="14"/>
      <c r="K131" s="14"/>
      <c r="L131" s="14"/>
      <c r="M131" s="14" t="str">
        <f t="shared" ref="M131:P131" si="132">text(I131,"Rp #,##0")</f>
        <v>Rp 0</v>
      </c>
      <c r="N131" s="14" t="str">
        <f t="shared" si="132"/>
        <v>Rp 0</v>
      </c>
      <c r="O131" s="14" t="str">
        <f t="shared" si="132"/>
        <v>Rp 0</v>
      </c>
      <c r="P131" s="14" t="str">
        <f t="shared" si="132"/>
        <v>Rp 0</v>
      </c>
      <c r="Q131" s="14" t="str">
        <f t="shared" si="4"/>
        <v>Syahriyah = Rp 0
Jariyah = Rp 0
Daftar Ulang = Rp 0
Total = Rp 0
______________________
ID : </v>
      </c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79" t="str">
        <f t="shared" si="2"/>
        <v/>
      </c>
      <c r="B132" s="14"/>
      <c r="C132" s="79"/>
      <c r="D132" s="79"/>
      <c r="E132" s="79"/>
      <c r="F132" s="79"/>
      <c r="G132" s="79"/>
      <c r="H132" s="14"/>
      <c r="I132" s="14"/>
      <c r="J132" s="14"/>
      <c r="K132" s="14"/>
      <c r="L132" s="14"/>
      <c r="M132" s="14" t="str">
        <f t="shared" ref="M132:P132" si="133">text(I132,"Rp #,##0")</f>
        <v>Rp 0</v>
      </c>
      <c r="N132" s="14" t="str">
        <f t="shared" si="133"/>
        <v>Rp 0</v>
      </c>
      <c r="O132" s="14" t="str">
        <f t="shared" si="133"/>
        <v>Rp 0</v>
      </c>
      <c r="P132" s="14" t="str">
        <f t="shared" si="133"/>
        <v>Rp 0</v>
      </c>
      <c r="Q132" s="14" t="str">
        <f t="shared" si="4"/>
        <v>Syahriyah = Rp 0
Jariyah = Rp 0
Daftar Ulang = Rp 0
Total = Rp 0
______________________
ID : </v>
      </c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79" t="str">
        <f t="shared" si="2"/>
        <v/>
      </c>
      <c r="B133" s="14"/>
      <c r="C133" s="79"/>
      <c r="D133" s="79"/>
      <c r="E133" s="79"/>
      <c r="F133" s="79"/>
      <c r="G133" s="79"/>
      <c r="H133" s="14"/>
      <c r="I133" s="14"/>
      <c r="J133" s="14"/>
      <c r="K133" s="14"/>
      <c r="L133" s="14"/>
      <c r="M133" s="14" t="str">
        <f t="shared" ref="M133:P133" si="134">text(I133,"Rp #,##0")</f>
        <v>Rp 0</v>
      </c>
      <c r="N133" s="14" t="str">
        <f t="shared" si="134"/>
        <v>Rp 0</v>
      </c>
      <c r="O133" s="14" t="str">
        <f t="shared" si="134"/>
        <v>Rp 0</v>
      </c>
      <c r="P133" s="14" t="str">
        <f t="shared" si="134"/>
        <v>Rp 0</v>
      </c>
      <c r="Q133" s="14" t="str">
        <f t="shared" si="4"/>
        <v>Syahriyah = Rp 0
Jariyah = Rp 0
Daftar Ulang = Rp 0
Total = Rp 0
______________________
ID : </v>
      </c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79" t="str">
        <f t="shared" si="2"/>
        <v/>
      </c>
      <c r="B134" s="14"/>
      <c r="C134" s="79"/>
      <c r="D134" s="79"/>
      <c r="E134" s="79"/>
      <c r="F134" s="79"/>
      <c r="G134" s="79"/>
      <c r="H134" s="14"/>
      <c r="I134" s="14"/>
      <c r="J134" s="14"/>
      <c r="K134" s="14"/>
      <c r="L134" s="14"/>
      <c r="M134" s="14" t="str">
        <f t="shared" ref="M134:P134" si="135">text(I134,"Rp #,##0")</f>
        <v>Rp 0</v>
      </c>
      <c r="N134" s="14" t="str">
        <f t="shared" si="135"/>
        <v>Rp 0</v>
      </c>
      <c r="O134" s="14" t="str">
        <f t="shared" si="135"/>
        <v>Rp 0</v>
      </c>
      <c r="P134" s="14" t="str">
        <f t="shared" si="135"/>
        <v>Rp 0</v>
      </c>
      <c r="Q134" s="14" t="str">
        <f t="shared" si="4"/>
        <v>Syahriyah = Rp 0
Jariyah = Rp 0
Daftar Ulang = Rp 0
Total = Rp 0
______________________
ID : </v>
      </c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79" t="str">
        <f t="shared" si="2"/>
        <v/>
      </c>
      <c r="B135" s="14"/>
      <c r="C135" s="79"/>
      <c r="D135" s="79"/>
      <c r="E135" s="79"/>
      <c r="F135" s="79"/>
      <c r="G135" s="79"/>
      <c r="H135" s="14"/>
      <c r="I135" s="14"/>
      <c r="J135" s="14"/>
      <c r="K135" s="14"/>
      <c r="L135" s="14"/>
      <c r="M135" s="14" t="str">
        <f t="shared" ref="M135:P135" si="136">text(I135,"Rp #,##0")</f>
        <v>Rp 0</v>
      </c>
      <c r="N135" s="14" t="str">
        <f t="shared" si="136"/>
        <v>Rp 0</v>
      </c>
      <c r="O135" s="14" t="str">
        <f t="shared" si="136"/>
        <v>Rp 0</v>
      </c>
      <c r="P135" s="14" t="str">
        <f t="shared" si="136"/>
        <v>Rp 0</v>
      </c>
      <c r="Q135" s="14" t="str">
        <f t="shared" si="4"/>
        <v>Syahriyah = Rp 0
Jariyah = Rp 0
Daftar Ulang = Rp 0
Total = Rp 0
______________________
ID : 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79" t="str">
        <f t="shared" si="2"/>
        <v/>
      </c>
      <c r="B136" s="14"/>
      <c r="C136" s="79"/>
      <c r="D136" s="79"/>
      <c r="E136" s="79"/>
      <c r="F136" s="79"/>
      <c r="G136" s="79"/>
      <c r="H136" s="14"/>
      <c r="I136" s="14"/>
      <c r="J136" s="14"/>
      <c r="K136" s="14"/>
      <c r="L136" s="14"/>
      <c r="M136" s="14" t="str">
        <f t="shared" ref="M136:P136" si="137">text(I136,"Rp #,##0")</f>
        <v>Rp 0</v>
      </c>
      <c r="N136" s="14" t="str">
        <f t="shared" si="137"/>
        <v>Rp 0</v>
      </c>
      <c r="O136" s="14" t="str">
        <f t="shared" si="137"/>
        <v>Rp 0</v>
      </c>
      <c r="P136" s="14" t="str">
        <f t="shared" si="137"/>
        <v>Rp 0</v>
      </c>
      <c r="Q136" s="14" t="str">
        <f t="shared" si="4"/>
        <v>Syahriyah = Rp 0
Jariyah = Rp 0
Daftar Ulang = Rp 0
Total = Rp 0
______________________
ID : 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79" t="str">
        <f t="shared" si="2"/>
        <v/>
      </c>
      <c r="B137" s="14"/>
      <c r="C137" s="79"/>
      <c r="D137" s="79"/>
      <c r="E137" s="79"/>
      <c r="F137" s="79"/>
      <c r="G137" s="79"/>
      <c r="H137" s="14"/>
      <c r="I137" s="14"/>
      <c r="J137" s="14"/>
      <c r="K137" s="14"/>
      <c r="L137" s="14"/>
      <c r="M137" s="14" t="str">
        <f t="shared" ref="M137:P137" si="138">text(I137,"Rp #,##0")</f>
        <v>Rp 0</v>
      </c>
      <c r="N137" s="14" t="str">
        <f t="shared" si="138"/>
        <v>Rp 0</v>
      </c>
      <c r="O137" s="14" t="str">
        <f t="shared" si="138"/>
        <v>Rp 0</v>
      </c>
      <c r="P137" s="14" t="str">
        <f t="shared" si="138"/>
        <v>Rp 0</v>
      </c>
      <c r="Q137" s="14" t="str">
        <f t="shared" si="4"/>
        <v>Syahriyah = Rp 0
Jariyah = Rp 0
Daftar Ulang = Rp 0
Total = Rp 0
______________________
ID : </v>
      </c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79" t="str">
        <f t="shared" si="2"/>
        <v/>
      </c>
      <c r="B138" s="14"/>
      <c r="C138" s="79"/>
      <c r="D138" s="79"/>
      <c r="E138" s="79"/>
      <c r="F138" s="79"/>
      <c r="G138" s="79"/>
      <c r="H138" s="14"/>
      <c r="I138" s="14"/>
      <c r="J138" s="14"/>
      <c r="K138" s="14"/>
      <c r="L138" s="14"/>
      <c r="M138" s="14" t="str">
        <f t="shared" ref="M138:P138" si="139">text(I138,"Rp #,##0")</f>
        <v>Rp 0</v>
      </c>
      <c r="N138" s="14" t="str">
        <f t="shared" si="139"/>
        <v>Rp 0</v>
      </c>
      <c r="O138" s="14" t="str">
        <f t="shared" si="139"/>
        <v>Rp 0</v>
      </c>
      <c r="P138" s="14" t="str">
        <f t="shared" si="139"/>
        <v>Rp 0</v>
      </c>
      <c r="Q138" s="14" t="str">
        <f t="shared" si="4"/>
        <v>Syahriyah = Rp 0
Jariyah = Rp 0
Daftar Ulang = Rp 0
Total = Rp 0
______________________
ID : </v>
      </c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79" t="str">
        <f t="shared" si="2"/>
        <v/>
      </c>
      <c r="B139" s="14"/>
      <c r="C139" s="79"/>
      <c r="D139" s="79"/>
      <c r="E139" s="79"/>
      <c r="F139" s="79"/>
      <c r="G139" s="79"/>
      <c r="H139" s="14"/>
      <c r="I139" s="14"/>
      <c r="J139" s="14"/>
      <c r="K139" s="14"/>
      <c r="L139" s="14"/>
      <c r="M139" s="14" t="str">
        <f t="shared" ref="M139:P139" si="140">text(I139,"Rp #,##0")</f>
        <v>Rp 0</v>
      </c>
      <c r="N139" s="14" t="str">
        <f t="shared" si="140"/>
        <v>Rp 0</v>
      </c>
      <c r="O139" s="14" t="str">
        <f t="shared" si="140"/>
        <v>Rp 0</v>
      </c>
      <c r="P139" s="14" t="str">
        <f t="shared" si="140"/>
        <v>Rp 0</v>
      </c>
      <c r="Q139" s="14" t="str">
        <f t="shared" si="4"/>
        <v>Syahriyah = Rp 0
Jariyah = Rp 0
Daftar Ulang = Rp 0
Total = Rp 0
______________________
ID : </v>
      </c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79" t="str">
        <f t="shared" si="2"/>
        <v/>
      </c>
      <c r="B140" s="14"/>
      <c r="C140" s="79"/>
      <c r="D140" s="79"/>
      <c r="E140" s="79"/>
      <c r="F140" s="79"/>
      <c r="G140" s="79"/>
      <c r="H140" s="14"/>
      <c r="I140" s="14"/>
      <c r="J140" s="14"/>
      <c r="K140" s="14"/>
      <c r="L140" s="14"/>
      <c r="M140" s="14" t="str">
        <f t="shared" ref="M140:P140" si="141">text(I140,"Rp #,##0")</f>
        <v>Rp 0</v>
      </c>
      <c r="N140" s="14" t="str">
        <f t="shared" si="141"/>
        <v>Rp 0</v>
      </c>
      <c r="O140" s="14" t="str">
        <f t="shared" si="141"/>
        <v>Rp 0</v>
      </c>
      <c r="P140" s="14" t="str">
        <f t="shared" si="141"/>
        <v>Rp 0</v>
      </c>
      <c r="Q140" s="14" t="str">
        <f t="shared" si="4"/>
        <v>Syahriyah = Rp 0
Jariyah = Rp 0
Daftar Ulang = Rp 0
Total = Rp 0
______________________
ID : 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79" t="str">
        <f t="shared" si="2"/>
        <v/>
      </c>
      <c r="B141" s="14"/>
      <c r="C141" s="79"/>
      <c r="D141" s="79"/>
      <c r="E141" s="79"/>
      <c r="F141" s="79"/>
      <c r="G141" s="79"/>
      <c r="H141" s="14"/>
      <c r="I141" s="14"/>
      <c r="J141" s="14"/>
      <c r="K141" s="14"/>
      <c r="L141" s="14"/>
      <c r="M141" s="14" t="str">
        <f t="shared" ref="M141:P141" si="142">text(I141,"Rp #,##0")</f>
        <v>Rp 0</v>
      </c>
      <c r="N141" s="14" t="str">
        <f t="shared" si="142"/>
        <v>Rp 0</v>
      </c>
      <c r="O141" s="14" t="str">
        <f t="shared" si="142"/>
        <v>Rp 0</v>
      </c>
      <c r="P141" s="14" t="str">
        <f t="shared" si="142"/>
        <v>Rp 0</v>
      </c>
      <c r="Q141" s="14" t="str">
        <f t="shared" si="4"/>
        <v>Syahriyah = Rp 0
Jariyah = Rp 0
Daftar Ulang = Rp 0
Total = Rp 0
______________________
ID : </v>
      </c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79" t="str">
        <f t="shared" si="2"/>
        <v/>
      </c>
      <c r="B142" s="14"/>
      <c r="C142" s="79"/>
      <c r="D142" s="79"/>
      <c r="E142" s="79"/>
      <c r="F142" s="79"/>
      <c r="G142" s="79"/>
      <c r="H142" s="14"/>
      <c r="I142" s="14"/>
      <c r="J142" s="14"/>
      <c r="K142" s="14"/>
      <c r="L142" s="14"/>
      <c r="M142" s="14" t="str">
        <f t="shared" ref="M142:P142" si="143">text(I142,"Rp #,##0")</f>
        <v>Rp 0</v>
      </c>
      <c r="N142" s="14" t="str">
        <f t="shared" si="143"/>
        <v>Rp 0</v>
      </c>
      <c r="O142" s="14" t="str">
        <f t="shared" si="143"/>
        <v>Rp 0</v>
      </c>
      <c r="P142" s="14" t="str">
        <f t="shared" si="143"/>
        <v>Rp 0</v>
      </c>
      <c r="Q142" s="14" t="str">
        <f t="shared" si="4"/>
        <v>Syahriyah = Rp 0
Jariyah = Rp 0
Daftar Ulang = Rp 0
Total = Rp 0
______________________
ID : </v>
      </c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79" t="str">
        <f t="shared" si="2"/>
        <v/>
      </c>
      <c r="B143" s="14"/>
      <c r="C143" s="79"/>
      <c r="D143" s="79"/>
      <c r="E143" s="79"/>
      <c r="F143" s="79"/>
      <c r="G143" s="79"/>
      <c r="H143" s="14"/>
      <c r="I143" s="14"/>
      <c r="J143" s="14"/>
      <c r="K143" s="14"/>
      <c r="L143" s="14"/>
      <c r="M143" s="14" t="str">
        <f t="shared" ref="M143:P143" si="144">text(I143,"Rp #,##0")</f>
        <v>Rp 0</v>
      </c>
      <c r="N143" s="14" t="str">
        <f t="shared" si="144"/>
        <v>Rp 0</v>
      </c>
      <c r="O143" s="14" t="str">
        <f t="shared" si="144"/>
        <v>Rp 0</v>
      </c>
      <c r="P143" s="14" t="str">
        <f t="shared" si="144"/>
        <v>Rp 0</v>
      </c>
      <c r="Q143" s="14" t="str">
        <f t="shared" si="4"/>
        <v>Syahriyah = Rp 0
Jariyah = Rp 0
Daftar Ulang = Rp 0
Total = Rp 0
______________________
ID : </v>
      </c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79" t="str">
        <f t="shared" si="2"/>
        <v/>
      </c>
      <c r="B144" s="14"/>
      <c r="C144" s="79"/>
      <c r="D144" s="79"/>
      <c r="E144" s="79"/>
      <c r="F144" s="79"/>
      <c r="G144" s="79"/>
      <c r="H144" s="14"/>
      <c r="I144" s="14"/>
      <c r="J144" s="14"/>
      <c r="K144" s="14"/>
      <c r="L144" s="14"/>
      <c r="M144" s="14" t="str">
        <f t="shared" ref="M144:P144" si="145">text(I144,"Rp #,##0")</f>
        <v>Rp 0</v>
      </c>
      <c r="N144" s="14" t="str">
        <f t="shared" si="145"/>
        <v>Rp 0</v>
      </c>
      <c r="O144" s="14" t="str">
        <f t="shared" si="145"/>
        <v>Rp 0</v>
      </c>
      <c r="P144" s="14" t="str">
        <f t="shared" si="145"/>
        <v>Rp 0</v>
      </c>
      <c r="Q144" s="14" t="str">
        <f t="shared" si="4"/>
        <v>Syahriyah = Rp 0
Jariyah = Rp 0
Daftar Ulang = Rp 0
Total = Rp 0
______________________
ID : 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79" t="str">
        <f t="shared" si="2"/>
        <v/>
      </c>
      <c r="B145" s="14"/>
      <c r="C145" s="79"/>
      <c r="D145" s="79"/>
      <c r="E145" s="79"/>
      <c r="F145" s="79"/>
      <c r="G145" s="79"/>
      <c r="H145" s="14"/>
      <c r="I145" s="14"/>
      <c r="J145" s="14"/>
      <c r="K145" s="14"/>
      <c r="L145" s="14"/>
      <c r="M145" s="14" t="str">
        <f t="shared" ref="M145:P145" si="146">text(I145,"Rp #,##0")</f>
        <v>Rp 0</v>
      </c>
      <c r="N145" s="14" t="str">
        <f t="shared" si="146"/>
        <v>Rp 0</v>
      </c>
      <c r="O145" s="14" t="str">
        <f t="shared" si="146"/>
        <v>Rp 0</v>
      </c>
      <c r="P145" s="14" t="str">
        <f t="shared" si="146"/>
        <v>Rp 0</v>
      </c>
      <c r="Q145" s="14" t="str">
        <f t="shared" si="4"/>
        <v>Syahriyah = Rp 0
Jariyah = Rp 0
Daftar Ulang = Rp 0
Total = Rp 0
______________________
ID : </v>
      </c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79" t="str">
        <f t="shared" si="2"/>
        <v/>
      </c>
      <c r="B146" s="14"/>
      <c r="C146" s="79"/>
      <c r="D146" s="79"/>
      <c r="E146" s="79"/>
      <c r="F146" s="79"/>
      <c r="G146" s="79"/>
      <c r="H146" s="14"/>
      <c r="I146" s="14"/>
      <c r="J146" s="14"/>
      <c r="K146" s="14"/>
      <c r="L146" s="14"/>
      <c r="M146" s="14" t="str">
        <f t="shared" ref="M146:P146" si="147">text(I146,"Rp #,##0")</f>
        <v>Rp 0</v>
      </c>
      <c r="N146" s="14" t="str">
        <f t="shared" si="147"/>
        <v>Rp 0</v>
      </c>
      <c r="O146" s="14" t="str">
        <f t="shared" si="147"/>
        <v>Rp 0</v>
      </c>
      <c r="P146" s="14" t="str">
        <f t="shared" si="147"/>
        <v>Rp 0</v>
      </c>
      <c r="Q146" s="14" t="str">
        <f t="shared" si="4"/>
        <v>Syahriyah = Rp 0
Jariyah = Rp 0
Daftar Ulang = Rp 0
Total = Rp 0
______________________
ID : </v>
      </c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79" t="str">
        <f t="shared" si="2"/>
        <v/>
      </c>
      <c r="B147" s="14"/>
      <c r="C147" s="79"/>
      <c r="D147" s="79"/>
      <c r="E147" s="79"/>
      <c r="F147" s="79"/>
      <c r="G147" s="79"/>
      <c r="H147" s="14"/>
      <c r="I147" s="14"/>
      <c r="J147" s="14"/>
      <c r="K147" s="14"/>
      <c r="L147" s="14"/>
      <c r="M147" s="14" t="str">
        <f t="shared" ref="M147:P147" si="148">text(I147,"Rp #,##0")</f>
        <v>Rp 0</v>
      </c>
      <c r="N147" s="14" t="str">
        <f t="shared" si="148"/>
        <v>Rp 0</v>
      </c>
      <c r="O147" s="14" t="str">
        <f t="shared" si="148"/>
        <v>Rp 0</v>
      </c>
      <c r="P147" s="14" t="str">
        <f t="shared" si="148"/>
        <v>Rp 0</v>
      </c>
      <c r="Q147" s="14" t="str">
        <f t="shared" si="4"/>
        <v>Syahriyah = Rp 0
Jariyah = Rp 0
Daftar Ulang = Rp 0
Total = Rp 0
______________________
ID : </v>
      </c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79" t="str">
        <f t="shared" si="2"/>
        <v/>
      </c>
      <c r="B148" s="14"/>
      <c r="C148" s="79"/>
      <c r="D148" s="79"/>
      <c r="E148" s="79"/>
      <c r="F148" s="79"/>
      <c r="G148" s="79"/>
      <c r="H148" s="14"/>
      <c r="I148" s="14"/>
      <c r="J148" s="14"/>
      <c r="K148" s="14"/>
      <c r="L148" s="14"/>
      <c r="M148" s="14" t="str">
        <f t="shared" ref="M148:P148" si="149">text(I148,"Rp #,##0")</f>
        <v>Rp 0</v>
      </c>
      <c r="N148" s="14" t="str">
        <f t="shared" si="149"/>
        <v>Rp 0</v>
      </c>
      <c r="O148" s="14" t="str">
        <f t="shared" si="149"/>
        <v>Rp 0</v>
      </c>
      <c r="P148" s="14" t="str">
        <f t="shared" si="149"/>
        <v>Rp 0</v>
      </c>
      <c r="Q148" s="14" t="str">
        <f t="shared" si="4"/>
        <v>Syahriyah = Rp 0
Jariyah = Rp 0
Daftar Ulang = Rp 0
Total = Rp 0
______________________
ID : 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79" t="str">
        <f t="shared" si="2"/>
        <v/>
      </c>
      <c r="B149" s="14"/>
      <c r="C149" s="79"/>
      <c r="D149" s="79"/>
      <c r="E149" s="79"/>
      <c r="F149" s="79"/>
      <c r="G149" s="79"/>
      <c r="H149" s="14"/>
      <c r="I149" s="14"/>
      <c r="J149" s="14"/>
      <c r="K149" s="14"/>
      <c r="L149" s="14"/>
      <c r="M149" s="14" t="str">
        <f t="shared" ref="M149:P149" si="150">text(I149,"Rp #,##0")</f>
        <v>Rp 0</v>
      </c>
      <c r="N149" s="14" t="str">
        <f t="shared" si="150"/>
        <v>Rp 0</v>
      </c>
      <c r="O149" s="14" t="str">
        <f t="shared" si="150"/>
        <v>Rp 0</v>
      </c>
      <c r="P149" s="14" t="str">
        <f t="shared" si="150"/>
        <v>Rp 0</v>
      </c>
      <c r="Q149" s="14" t="str">
        <f t="shared" si="4"/>
        <v>Syahriyah = Rp 0
Jariyah = Rp 0
Daftar Ulang = Rp 0
Total = Rp 0
______________________
ID : </v>
      </c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79" t="str">
        <f t="shared" si="2"/>
        <v/>
      </c>
      <c r="B150" s="14"/>
      <c r="C150" s="79"/>
      <c r="D150" s="79"/>
      <c r="E150" s="79"/>
      <c r="F150" s="79"/>
      <c r="G150" s="79"/>
      <c r="H150" s="14"/>
      <c r="I150" s="14"/>
      <c r="J150" s="14"/>
      <c r="K150" s="14"/>
      <c r="L150" s="14"/>
      <c r="M150" s="14" t="str">
        <f t="shared" ref="M150:P150" si="151">text(I150,"Rp #,##0")</f>
        <v>Rp 0</v>
      </c>
      <c r="N150" s="14" t="str">
        <f t="shared" si="151"/>
        <v>Rp 0</v>
      </c>
      <c r="O150" s="14" t="str">
        <f t="shared" si="151"/>
        <v>Rp 0</v>
      </c>
      <c r="P150" s="14" t="str">
        <f t="shared" si="151"/>
        <v>Rp 0</v>
      </c>
      <c r="Q150" s="14" t="str">
        <f t="shared" si="4"/>
        <v>Syahriyah = Rp 0
Jariyah = Rp 0
Daftar Ulang = Rp 0
Total = Rp 0
______________________
ID : </v>
      </c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79" t="str">
        <f t="shared" si="2"/>
        <v/>
      </c>
      <c r="B151" s="14"/>
      <c r="C151" s="79"/>
      <c r="D151" s="79"/>
      <c r="E151" s="79"/>
      <c r="F151" s="79"/>
      <c r="G151" s="79"/>
      <c r="H151" s="14"/>
      <c r="I151" s="14"/>
      <c r="J151" s="14"/>
      <c r="K151" s="14"/>
      <c r="L151" s="14"/>
      <c r="M151" s="14" t="str">
        <f t="shared" ref="M151:P151" si="152">text(I151,"Rp #,##0")</f>
        <v>Rp 0</v>
      </c>
      <c r="N151" s="14" t="str">
        <f t="shared" si="152"/>
        <v>Rp 0</v>
      </c>
      <c r="O151" s="14" t="str">
        <f t="shared" si="152"/>
        <v>Rp 0</v>
      </c>
      <c r="P151" s="14" t="str">
        <f t="shared" si="152"/>
        <v>Rp 0</v>
      </c>
      <c r="Q151" s="14" t="str">
        <f t="shared" si="4"/>
        <v>Syahriyah = Rp 0
Jariyah = Rp 0
Daftar Ulang = Rp 0
Total = Rp 0
______________________
ID : </v>
      </c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79" t="str">
        <f t="shared" si="2"/>
        <v/>
      </c>
      <c r="B152" s="14"/>
      <c r="C152" s="79"/>
      <c r="D152" s="79"/>
      <c r="E152" s="79"/>
      <c r="F152" s="79"/>
      <c r="G152" s="79"/>
      <c r="H152" s="14"/>
      <c r="I152" s="14"/>
      <c r="J152" s="14"/>
      <c r="K152" s="14"/>
      <c r="L152" s="14"/>
      <c r="M152" s="14" t="str">
        <f t="shared" ref="M152:P152" si="153">text(I152,"Rp #,##0")</f>
        <v>Rp 0</v>
      </c>
      <c r="N152" s="14" t="str">
        <f t="shared" si="153"/>
        <v>Rp 0</v>
      </c>
      <c r="O152" s="14" t="str">
        <f t="shared" si="153"/>
        <v>Rp 0</v>
      </c>
      <c r="P152" s="14" t="str">
        <f t="shared" si="153"/>
        <v>Rp 0</v>
      </c>
      <c r="Q152" s="14" t="str">
        <f t="shared" si="4"/>
        <v>Syahriyah = Rp 0
Jariyah = Rp 0
Daftar Ulang = Rp 0
Total = Rp 0
______________________
ID : </v>
      </c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79" t="str">
        <f t="shared" si="2"/>
        <v/>
      </c>
      <c r="B153" s="14"/>
      <c r="C153" s="79"/>
      <c r="D153" s="79"/>
      <c r="E153" s="79"/>
      <c r="F153" s="79"/>
      <c r="G153" s="79"/>
      <c r="H153" s="14"/>
      <c r="I153" s="14"/>
      <c r="J153" s="14"/>
      <c r="K153" s="14"/>
      <c r="L153" s="14"/>
      <c r="M153" s="14" t="str">
        <f t="shared" ref="M153:P153" si="154">text(I153,"Rp #,##0")</f>
        <v>Rp 0</v>
      </c>
      <c r="N153" s="14" t="str">
        <f t="shared" si="154"/>
        <v>Rp 0</v>
      </c>
      <c r="O153" s="14" t="str">
        <f t="shared" si="154"/>
        <v>Rp 0</v>
      </c>
      <c r="P153" s="14" t="str">
        <f t="shared" si="154"/>
        <v>Rp 0</v>
      </c>
      <c r="Q153" s="14" t="str">
        <f t="shared" si="4"/>
        <v>Syahriyah = Rp 0
Jariyah = Rp 0
Daftar Ulang = Rp 0
Total = Rp 0
______________________
ID : 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79" t="str">
        <f t="shared" si="2"/>
        <v/>
      </c>
      <c r="B154" s="14"/>
      <c r="C154" s="79"/>
      <c r="D154" s="79"/>
      <c r="E154" s="79"/>
      <c r="F154" s="79"/>
      <c r="G154" s="79"/>
      <c r="H154" s="14"/>
      <c r="I154" s="14"/>
      <c r="J154" s="14"/>
      <c r="K154" s="14"/>
      <c r="L154" s="14"/>
      <c r="M154" s="14" t="str">
        <f t="shared" ref="M154:P154" si="155">text(I154,"Rp #,##0")</f>
        <v>Rp 0</v>
      </c>
      <c r="N154" s="14" t="str">
        <f t="shared" si="155"/>
        <v>Rp 0</v>
      </c>
      <c r="O154" s="14" t="str">
        <f t="shared" si="155"/>
        <v>Rp 0</v>
      </c>
      <c r="P154" s="14" t="str">
        <f t="shared" si="155"/>
        <v>Rp 0</v>
      </c>
      <c r="Q154" s="14" t="str">
        <f t="shared" si="4"/>
        <v>Syahriyah = Rp 0
Jariyah = Rp 0
Daftar Ulang = Rp 0
Total = Rp 0
______________________
ID : 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79" t="str">
        <f t="shared" si="2"/>
        <v/>
      </c>
      <c r="B155" s="14"/>
      <c r="C155" s="79"/>
      <c r="D155" s="79"/>
      <c r="E155" s="79"/>
      <c r="F155" s="79"/>
      <c r="G155" s="79"/>
      <c r="H155" s="14"/>
      <c r="I155" s="14"/>
      <c r="J155" s="14"/>
      <c r="K155" s="14"/>
      <c r="L155" s="14"/>
      <c r="M155" s="14" t="str">
        <f t="shared" ref="M155:P155" si="156">text(I155,"Rp #,##0")</f>
        <v>Rp 0</v>
      </c>
      <c r="N155" s="14" t="str">
        <f t="shared" si="156"/>
        <v>Rp 0</v>
      </c>
      <c r="O155" s="14" t="str">
        <f t="shared" si="156"/>
        <v>Rp 0</v>
      </c>
      <c r="P155" s="14" t="str">
        <f t="shared" si="156"/>
        <v>Rp 0</v>
      </c>
      <c r="Q155" s="14" t="str">
        <f t="shared" si="4"/>
        <v>Syahriyah = Rp 0
Jariyah = Rp 0
Daftar Ulang = Rp 0
Total = Rp 0
______________________
ID : 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79" t="str">
        <f t="shared" si="2"/>
        <v/>
      </c>
      <c r="B156" s="14"/>
      <c r="C156" s="79"/>
      <c r="D156" s="79"/>
      <c r="E156" s="79"/>
      <c r="F156" s="79"/>
      <c r="G156" s="79"/>
      <c r="H156" s="14"/>
      <c r="I156" s="14"/>
      <c r="J156" s="14"/>
      <c r="K156" s="14"/>
      <c r="L156" s="14"/>
      <c r="M156" s="14" t="str">
        <f t="shared" ref="M156:P156" si="157">text(I156,"Rp #,##0")</f>
        <v>Rp 0</v>
      </c>
      <c r="N156" s="14" t="str">
        <f t="shared" si="157"/>
        <v>Rp 0</v>
      </c>
      <c r="O156" s="14" t="str">
        <f t="shared" si="157"/>
        <v>Rp 0</v>
      </c>
      <c r="P156" s="14" t="str">
        <f t="shared" si="157"/>
        <v>Rp 0</v>
      </c>
      <c r="Q156" s="14" t="str">
        <f t="shared" si="4"/>
        <v>Syahriyah = Rp 0
Jariyah = Rp 0
Daftar Ulang = Rp 0
Total = Rp 0
______________________
ID : 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79" t="str">
        <f t="shared" si="2"/>
        <v/>
      </c>
      <c r="B157" s="14"/>
      <c r="C157" s="79"/>
      <c r="D157" s="79"/>
      <c r="E157" s="79"/>
      <c r="F157" s="79"/>
      <c r="G157" s="79"/>
      <c r="H157" s="14"/>
      <c r="I157" s="14"/>
      <c r="J157" s="14"/>
      <c r="K157" s="14"/>
      <c r="L157" s="14"/>
      <c r="M157" s="14" t="str">
        <f t="shared" ref="M157:P157" si="158">text(I157,"Rp #,##0")</f>
        <v>Rp 0</v>
      </c>
      <c r="N157" s="14" t="str">
        <f t="shared" si="158"/>
        <v>Rp 0</v>
      </c>
      <c r="O157" s="14" t="str">
        <f t="shared" si="158"/>
        <v>Rp 0</v>
      </c>
      <c r="P157" s="14" t="str">
        <f t="shared" si="158"/>
        <v>Rp 0</v>
      </c>
      <c r="Q157" s="14" t="str">
        <f t="shared" si="4"/>
        <v>Syahriyah = Rp 0
Jariyah = Rp 0
Daftar Ulang = Rp 0
Total = Rp 0
______________________
ID : </v>
      </c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79" t="str">
        <f t="shared" si="2"/>
        <v/>
      </c>
      <c r="B158" s="14"/>
      <c r="C158" s="79"/>
      <c r="D158" s="79"/>
      <c r="E158" s="79"/>
      <c r="F158" s="79"/>
      <c r="G158" s="79"/>
      <c r="H158" s="14"/>
      <c r="I158" s="14"/>
      <c r="J158" s="14"/>
      <c r="K158" s="14"/>
      <c r="L158" s="14"/>
      <c r="M158" s="14" t="str">
        <f t="shared" ref="M158:P158" si="159">text(I158,"Rp #,##0")</f>
        <v>Rp 0</v>
      </c>
      <c r="N158" s="14" t="str">
        <f t="shared" si="159"/>
        <v>Rp 0</v>
      </c>
      <c r="O158" s="14" t="str">
        <f t="shared" si="159"/>
        <v>Rp 0</v>
      </c>
      <c r="P158" s="14" t="str">
        <f t="shared" si="159"/>
        <v>Rp 0</v>
      </c>
      <c r="Q158" s="14" t="str">
        <f t="shared" si="4"/>
        <v>Syahriyah = Rp 0
Jariyah = Rp 0
Daftar Ulang = Rp 0
Total = Rp 0
______________________
ID : </v>
      </c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79" t="str">
        <f t="shared" si="2"/>
        <v/>
      </c>
      <c r="B159" s="14"/>
      <c r="C159" s="79"/>
      <c r="D159" s="79"/>
      <c r="E159" s="79"/>
      <c r="F159" s="79"/>
      <c r="G159" s="79"/>
      <c r="H159" s="14"/>
      <c r="I159" s="14"/>
      <c r="J159" s="14"/>
      <c r="K159" s="14"/>
      <c r="L159" s="14"/>
      <c r="M159" s="14" t="str">
        <f t="shared" ref="M159:P159" si="160">text(I159,"Rp #,##0")</f>
        <v>Rp 0</v>
      </c>
      <c r="N159" s="14" t="str">
        <f t="shared" si="160"/>
        <v>Rp 0</v>
      </c>
      <c r="O159" s="14" t="str">
        <f t="shared" si="160"/>
        <v>Rp 0</v>
      </c>
      <c r="P159" s="14" t="str">
        <f t="shared" si="160"/>
        <v>Rp 0</v>
      </c>
      <c r="Q159" s="14" t="str">
        <f t="shared" si="4"/>
        <v>Syahriyah = Rp 0
Jariyah = Rp 0
Daftar Ulang = Rp 0
Total = Rp 0
______________________
ID : </v>
      </c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79" t="str">
        <f t="shared" si="2"/>
        <v/>
      </c>
      <c r="B160" s="14"/>
      <c r="C160" s="79"/>
      <c r="D160" s="79"/>
      <c r="E160" s="79"/>
      <c r="F160" s="79"/>
      <c r="G160" s="79"/>
      <c r="H160" s="14"/>
      <c r="I160" s="14"/>
      <c r="J160" s="14"/>
      <c r="K160" s="14"/>
      <c r="L160" s="14"/>
      <c r="M160" s="14" t="str">
        <f t="shared" ref="M160:P160" si="161">text(I160,"Rp #,##0")</f>
        <v>Rp 0</v>
      </c>
      <c r="N160" s="14" t="str">
        <f t="shared" si="161"/>
        <v>Rp 0</v>
      </c>
      <c r="O160" s="14" t="str">
        <f t="shared" si="161"/>
        <v>Rp 0</v>
      </c>
      <c r="P160" s="14" t="str">
        <f t="shared" si="161"/>
        <v>Rp 0</v>
      </c>
      <c r="Q160" s="14" t="str">
        <f t="shared" si="4"/>
        <v>Syahriyah = Rp 0
Jariyah = Rp 0
Daftar Ulang = Rp 0
Total = Rp 0
______________________
ID : </v>
      </c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79" t="str">
        <f t="shared" si="2"/>
        <v/>
      </c>
      <c r="B161" s="14"/>
      <c r="C161" s="79"/>
      <c r="D161" s="79"/>
      <c r="E161" s="79"/>
      <c r="F161" s="79"/>
      <c r="G161" s="79"/>
      <c r="H161" s="14"/>
      <c r="I161" s="14"/>
      <c r="J161" s="14"/>
      <c r="K161" s="14"/>
      <c r="L161" s="14"/>
      <c r="M161" s="14" t="str">
        <f t="shared" ref="M161:P161" si="162">text(I161,"Rp #,##0")</f>
        <v>Rp 0</v>
      </c>
      <c r="N161" s="14" t="str">
        <f t="shared" si="162"/>
        <v>Rp 0</v>
      </c>
      <c r="O161" s="14" t="str">
        <f t="shared" si="162"/>
        <v>Rp 0</v>
      </c>
      <c r="P161" s="14" t="str">
        <f t="shared" si="162"/>
        <v>Rp 0</v>
      </c>
      <c r="Q161" s="14" t="str">
        <f t="shared" si="4"/>
        <v>Syahriyah = Rp 0
Jariyah = Rp 0
Daftar Ulang = Rp 0
Total = Rp 0
______________________
ID : </v>
      </c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79" t="str">
        <f t="shared" si="2"/>
        <v/>
      </c>
      <c r="B162" s="14"/>
      <c r="C162" s="79"/>
      <c r="D162" s="79"/>
      <c r="E162" s="79"/>
      <c r="F162" s="79"/>
      <c r="G162" s="79"/>
      <c r="H162" s="14"/>
      <c r="I162" s="14"/>
      <c r="J162" s="14"/>
      <c r="K162" s="14"/>
      <c r="L162" s="14"/>
      <c r="M162" s="14" t="str">
        <f t="shared" ref="M162:P162" si="163">text(I162,"Rp #,##0")</f>
        <v>Rp 0</v>
      </c>
      <c r="N162" s="14" t="str">
        <f t="shared" si="163"/>
        <v>Rp 0</v>
      </c>
      <c r="O162" s="14" t="str">
        <f t="shared" si="163"/>
        <v>Rp 0</v>
      </c>
      <c r="P162" s="14" t="str">
        <f t="shared" si="163"/>
        <v>Rp 0</v>
      </c>
      <c r="Q162" s="14" t="str">
        <f t="shared" si="4"/>
        <v>Syahriyah = Rp 0
Jariyah = Rp 0
Daftar Ulang = Rp 0
Total = Rp 0
______________________
ID : </v>
      </c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79" t="str">
        <f t="shared" si="2"/>
        <v/>
      </c>
      <c r="B163" s="14"/>
      <c r="C163" s="79"/>
      <c r="D163" s="79"/>
      <c r="E163" s="79"/>
      <c r="F163" s="79"/>
      <c r="G163" s="79"/>
      <c r="H163" s="14"/>
      <c r="I163" s="14"/>
      <c r="J163" s="14"/>
      <c r="K163" s="14"/>
      <c r="L163" s="14"/>
      <c r="M163" s="14" t="str">
        <f t="shared" ref="M163:P163" si="164">text(I163,"Rp #,##0")</f>
        <v>Rp 0</v>
      </c>
      <c r="N163" s="14" t="str">
        <f t="shared" si="164"/>
        <v>Rp 0</v>
      </c>
      <c r="O163" s="14" t="str">
        <f t="shared" si="164"/>
        <v>Rp 0</v>
      </c>
      <c r="P163" s="14" t="str">
        <f t="shared" si="164"/>
        <v>Rp 0</v>
      </c>
      <c r="Q163" s="14" t="str">
        <f t="shared" si="4"/>
        <v>Syahriyah = Rp 0
Jariyah = Rp 0
Daftar Ulang = Rp 0
Total = Rp 0
______________________
ID : </v>
      </c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79" t="str">
        <f t="shared" si="2"/>
        <v/>
      </c>
      <c r="B164" s="14"/>
      <c r="C164" s="79"/>
      <c r="D164" s="79"/>
      <c r="E164" s="79"/>
      <c r="F164" s="79"/>
      <c r="G164" s="79"/>
      <c r="H164" s="14"/>
      <c r="I164" s="14"/>
      <c r="J164" s="14"/>
      <c r="K164" s="14"/>
      <c r="L164" s="14"/>
      <c r="M164" s="14" t="str">
        <f t="shared" ref="M164:P164" si="165">text(I164,"Rp #,##0")</f>
        <v>Rp 0</v>
      </c>
      <c r="N164" s="14" t="str">
        <f t="shared" si="165"/>
        <v>Rp 0</v>
      </c>
      <c r="O164" s="14" t="str">
        <f t="shared" si="165"/>
        <v>Rp 0</v>
      </c>
      <c r="P164" s="14" t="str">
        <f t="shared" si="165"/>
        <v>Rp 0</v>
      </c>
      <c r="Q164" s="14" t="str">
        <f t="shared" si="4"/>
        <v>Syahriyah = Rp 0
Jariyah = Rp 0
Daftar Ulang = Rp 0
Total = Rp 0
______________________
ID : </v>
      </c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79" t="str">
        <f t="shared" si="2"/>
        <v/>
      </c>
      <c r="B165" s="14"/>
      <c r="C165" s="79"/>
      <c r="D165" s="79"/>
      <c r="E165" s="79"/>
      <c r="F165" s="79"/>
      <c r="G165" s="79"/>
      <c r="H165" s="14"/>
      <c r="I165" s="14"/>
      <c r="J165" s="14"/>
      <c r="K165" s="14"/>
      <c r="L165" s="14"/>
      <c r="M165" s="14" t="str">
        <f t="shared" ref="M165:P165" si="166">text(I165,"Rp #,##0")</f>
        <v>Rp 0</v>
      </c>
      <c r="N165" s="14" t="str">
        <f t="shared" si="166"/>
        <v>Rp 0</v>
      </c>
      <c r="O165" s="14" t="str">
        <f t="shared" si="166"/>
        <v>Rp 0</v>
      </c>
      <c r="P165" s="14" t="str">
        <f t="shared" si="166"/>
        <v>Rp 0</v>
      </c>
      <c r="Q165" s="14" t="str">
        <f t="shared" si="4"/>
        <v>Syahriyah = Rp 0
Jariyah = Rp 0
Daftar Ulang = Rp 0
Total = Rp 0
______________________
ID : </v>
      </c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79" t="str">
        <f t="shared" si="2"/>
        <v/>
      </c>
      <c r="B166" s="14"/>
      <c r="C166" s="79"/>
      <c r="D166" s="79"/>
      <c r="E166" s="79"/>
      <c r="F166" s="79"/>
      <c r="G166" s="79"/>
      <c r="H166" s="14"/>
      <c r="I166" s="14"/>
      <c r="J166" s="14"/>
      <c r="K166" s="14"/>
      <c r="L166" s="14"/>
      <c r="M166" s="14" t="str">
        <f t="shared" ref="M166:P166" si="167">text(I166,"Rp #,##0")</f>
        <v>Rp 0</v>
      </c>
      <c r="N166" s="14" t="str">
        <f t="shared" si="167"/>
        <v>Rp 0</v>
      </c>
      <c r="O166" s="14" t="str">
        <f t="shared" si="167"/>
        <v>Rp 0</v>
      </c>
      <c r="P166" s="14" t="str">
        <f t="shared" si="167"/>
        <v>Rp 0</v>
      </c>
      <c r="Q166" s="14" t="str">
        <f t="shared" si="4"/>
        <v>Syahriyah = Rp 0
Jariyah = Rp 0
Daftar Ulang = Rp 0
Total = Rp 0
______________________
ID : </v>
      </c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79" t="str">
        <f t="shared" si="2"/>
        <v/>
      </c>
      <c r="B167" s="14"/>
      <c r="C167" s="79"/>
      <c r="D167" s="79"/>
      <c r="E167" s="79"/>
      <c r="F167" s="79"/>
      <c r="G167" s="79"/>
      <c r="H167" s="14"/>
      <c r="I167" s="14"/>
      <c r="J167" s="14"/>
      <c r="K167" s="14"/>
      <c r="L167" s="14"/>
      <c r="M167" s="14" t="str">
        <f t="shared" ref="M167:P167" si="168">text(I167,"Rp #,##0")</f>
        <v>Rp 0</v>
      </c>
      <c r="N167" s="14" t="str">
        <f t="shared" si="168"/>
        <v>Rp 0</v>
      </c>
      <c r="O167" s="14" t="str">
        <f t="shared" si="168"/>
        <v>Rp 0</v>
      </c>
      <c r="P167" s="14" t="str">
        <f t="shared" si="168"/>
        <v>Rp 0</v>
      </c>
      <c r="Q167" s="14" t="str">
        <f t="shared" si="4"/>
        <v>Syahriyah = Rp 0
Jariyah = Rp 0
Daftar Ulang = Rp 0
Total = Rp 0
______________________
ID : </v>
      </c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79" t="str">
        <f t="shared" si="2"/>
        <v/>
      </c>
      <c r="B168" s="14"/>
      <c r="C168" s="79"/>
      <c r="D168" s="79"/>
      <c r="E168" s="79"/>
      <c r="F168" s="79"/>
      <c r="G168" s="79"/>
      <c r="H168" s="14"/>
      <c r="I168" s="14"/>
      <c r="J168" s="14"/>
      <c r="K168" s="14"/>
      <c r="L168" s="14"/>
      <c r="M168" s="14" t="str">
        <f t="shared" ref="M168:P168" si="169">text(I168,"Rp #,##0")</f>
        <v>Rp 0</v>
      </c>
      <c r="N168" s="14" t="str">
        <f t="shared" si="169"/>
        <v>Rp 0</v>
      </c>
      <c r="O168" s="14" t="str">
        <f t="shared" si="169"/>
        <v>Rp 0</v>
      </c>
      <c r="P168" s="14" t="str">
        <f t="shared" si="169"/>
        <v>Rp 0</v>
      </c>
      <c r="Q168" s="14" t="str">
        <f t="shared" si="4"/>
        <v>Syahriyah = Rp 0
Jariyah = Rp 0
Daftar Ulang = Rp 0
Total = Rp 0
______________________
ID : </v>
      </c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79" t="str">
        <f t="shared" si="2"/>
        <v/>
      </c>
      <c r="B169" s="14"/>
      <c r="C169" s="79"/>
      <c r="D169" s="79"/>
      <c r="E169" s="79"/>
      <c r="F169" s="79"/>
      <c r="G169" s="79"/>
      <c r="H169" s="14"/>
      <c r="I169" s="14"/>
      <c r="J169" s="14"/>
      <c r="K169" s="14"/>
      <c r="L169" s="14"/>
      <c r="M169" s="14" t="str">
        <f t="shared" ref="M169:P169" si="170">text(I169,"Rp #,##0")</f>
        <v>Rp 0</v>
      </c>
      <c r="N169" s="14" t="str">
        <f t="shared" si="170"/>
        <v>Rp 0</v>
      </c>
      <c r="O169" s="14" t="str">
        <f t="shared" si="170"/>
        <v>Rp 0</v>
      </c>
      <c r="P169" s="14" t="str">
        <f t="shared" si="170"/>
        <v>Rp 0</v>
      </c>
      <c r="Q169" s="14" t="str">
        <f t="shared" si="4"/>
        <v>Syahriyah = Rp 0
Jariyah = Rp 0
Daftar Ulang = Rp 0
Total = Rp 0
______________________
ID : </v>
      </c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79" t="str">
        <f t="shared" si="2"/>
        <v/>
      </c>
      <c r="B170" s="14"/>
      <c r="C170" s="79"/>
      <c r="D170" s="79"/>
      <c r="E170" s="79"/>
      <c r="F170" s="79"/>
      <c r="G170" s="79"/>
      <c r="H170" s="14"/>
      <c r="I170" s="14"/>
      <c r="J170" s="14"/>
      <c r="K170" s="14"/>
      <c r="L170" s="14"/>
      <c r="M170" s="14" t="str">
        <f t="shared" ref="M170:P170" si="171">text(I170,"Rp #,##0")</f>
        <v>Rp 0</v>
      </c>
      <c r="N170" s="14" t="str">
        <f t="shared" si="171"/>
        <v>Rp 0</v>
      </c>
      <c r="O170" s="14" t="str">
        <f t="shared" si="171"/>
        <v>Rp 0</v>
      </c>
      <c r="P170" s="14" t="str">
        <f t="shared" si="171"/>
        <v>Rp 0</v>
      </c>
      <c r="Q170" s="14" t="str">
        <f t="shared" si="4"/>
        <v>Syahriyah = Rp 0
Jariyah = Rp 0
Daftar Ulang = Rp 0
Total = Rp 0
______________________
ID : </v>
      </c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79" t="str">
        <f t="shared" si="2"/>
        <v/>
      </c>
      <c r="B171" s="14"/>
      <c r="C171" s="79"/>
      <c r="D171" s="79"/>
      <c r="E171" s="79"/>
      <c r="F171" s="79"/>
      <c r="G171" s="79"/>
      <c r="H171" s="14"/>
      <c r="I171" s="14"/>
      <c r="J171" s="14"/>
      <c r="K171" s="14"/>
      <c r="L171" s="14"/>
      <c r="M171" s="14" t="str">
        <f t="shared" ref="M171:P171" si="172">text(I171,"Rp #,##0")</f>
        <v>Rp 0</v>
      </c>
      <c r="N171" s="14" t="str">
        <f t="shared" si="172"/>
        <v>Rp 0</v>
      </c>
      <c r="O171" s="14" t="str">
        <f t="shared" si="172"/>
        <v>Rp 0</v>
      </c>
      <c r="P171" s="14" t="str">
        <f t="shared" si="172"/>
        <v>Rp 0</v>
      </c>
      <c r="Q171" s="14" t="str">
        <f t="shared" si="4"/>
        <v>Syahriyah = Rp 0
Jariyah = Rp 0
Daftar Ulang = Rp 0
Total = Rp 0
______________________
ID : </v>
      </c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79" t="str">
        <f t="shared" si="2"/>
        <v/>
      </c>
      <c r="B172" s="14"/>
      <c r="C172" s="79"/>
      <c r="D172" s="79"/>
      <c r="E172" s="79"/>
      <c r="F172" s="79"/>
      <c r="G172" s="79"/>
      <c r="H172" s="14"/>
      <c r="I172" s="14"/>
      <c r="J172" s="14"/>
      <c r="K172" s="14"/>
      <c r="L172" s="14"/>
      <c r="M172" s="14" t="str">
        <f t="shared" ref="M172:P172" si="173">text(I172,"Rp #,##0")</f>
        <v>Rp 0</v>
      </c>
      <c r="N172" s="14" t="str">
        <f t="shared" si="173"/>
        <v>Rp 0</v>
      </c>
      <c r="O172" s="14" t="str">
        <f t="shared" si="173"/>
        <v>Rp 0</v>
      </c>
      <c r="P172" s="14" t="str">
        <f t="shared" si="173"/>
        <v>Rp 0</v>
      </c>
      <c r="Q172" s="14" t="str">
        <f t="shared" si="4"/>
        <v>Syahriyah = Rp 0
Jariyah = Rp 0
Daftar Ulang = Rp 0
Total = Rp 0
______________________
ID : </v>
      </c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79" t="str">
        <f t="shared" si="2"/>
        <v/>
      </c>
      <c r="B173" s="14"/>
      <c r="C173" s="79"/>
      <c r="D173" s="79"/>
      <c r="E173" s="79"/>
      <c r="F173" s="79"/>
      <c r="G173" s="79"/>
      <c r="H173" s="14"/>
      <c r="I173" s="14"/>
      <c r="J173" s="14"/>
      <c r="K173" s="14"/>
      <c r="L173" s="14"/>
      <c r="M173" s="14" t="str">
        <f t="shared" ref="M173:P173" si="174">text(I173,"Rp #,##0")</f>
        <v>Rp 0</v>
      </c>
      <c r="N173" s="14" t="str">
        <f t="shared" si="174"/>
        <v>Rp 0</v>
      </c>
      <c r="O173" s="14" t="str">
        <f t="shared" si="174"/>
        <v>Rp 0</v>
      </c>
      <c r="P173" s="14" t="str">
        <f t="shared" si="174"/>
        <v>Rp 0</v>
      </c>
      <c r="Q173" s="14" t="str">
        <f t="shared" si="4"/>
        <v>Syahriyah = Rp 0
Jariyah = Rp 0
Daftar Ulang = Rp 0
Total = Rp 0
______________________
ID : </v>
      </c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79" t="str">
        <f t="shared" si="2"/>
        <v/>
      </c>
      <c r="B174" s="14"/>
      <c r="C174" s="79"/>
      <c r="D174" s="79"/>
      <c r="E174" s="79"/>
      <c r="F174" s="79"/>
      <c r="G174" s="79"/>
      <c r="H174" s="14"/>
      <c r="I174" s="14"/>
      <c r="J174" s="14"/>
      <c r="K174" s="14"/>
      <c r="L174" s="14"/>
      <c r="M174" s="14" t="str">
        <f t="shared" ref="M174:P174" si="175">text(I174,"Rp #,##0")</f>
        <v>Rp 0</v>
      </c>
      <c r="N174" s="14" t="str">
        <f t="shared" si="175"/>
        <v>Rp 0</v>
      </c>
      <c r="O174" s="14" t="str">
        <f t="shared" si="175"/>
        <v>Rp 0</v>
      </c>
      <c r="P174" s="14" t="str">
        <f t="shared" si="175"/>
        <v>Rp 0</v>
      </c>
      <c r="Q174" s="14" t="str">
        <f t="shared" si="4"/>
        <v>Syahriyah = Rp 0
Jariyah = Rp 0
Daftar Ulang = Rp 0
Total = Rp 0
______________________
ID : </v>
      </c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79" t="str">
        <f t="shared" si="2"/>
        <v/>
      </c>
      <c r="B175" s="14"/>
      <c r="C175" s="79"/>
      <c r="D175" s="79"/>
      <c r="E175" s="79"/>
      <c r="F175" s="79"/>
      <c r="G175" s="79"/>
      <c r="H175" s="14"/>
      <c r="I175" s="14"/>
      <c r="J175" s="14"/>
      <c r="K175" s="14"/>
      <c r="L175" s="14"/>
      <c r="M175" s="14" t="str">
        <f t="shared" ref="M175:P175" si="176">text(I175,"Rp #,##0")</f>
        <v>Rp 0</v>
      </c>
      <c r="N175" s="14" t="str">
        <f t="shared" si="176"/>
        <v>Rp 0</v>
      </c>
      <c r="O175" s="14" t="str">
        <f t="shared" si="176"/>
        <v>Rp 0</v>
      </c>
      <c r="P175" s="14" t="str">
        <f t="shared" si="176"/>
        <v>Rp 0</v>
      </c>
      <c r="Q175" s="14" t="str">
        <f t="shared" si="4"/>
        <v>Syahriyah = Rp 0
Jariyah = Rp 0
Daftar Ulang = Rp 0
Total = Rp 0
______________________
ID : </v>
      </c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79" t="str">
        <f t="shared" si="2"/>
        <v/>
      </c>
      <c r="B176" s="14"/>
      <c r="C176" s="79"/>
      <c r="D176" s="79"/>
      <c r="E176" s="79"/>
      <c r="F176" s="79"/>
      <c r="G176" s="79"/>
      <c r="H176" s="14"/>
      <c r="I176" s="14"/>
      <c r="J176" s="14"/>
      <c r="K176" s="14"/>
      <c r="L176" s="14"/>
      <c r="M176" s="14" t="str">
        <f t="shared" ref="M176:P176" si="177">text(I176,"Rp #,##0")</f>
        <v>Rp 0</v>
      </c>
      <c r="N176" s="14" t="str">
        <f t="shared" si="177"/>
        <v>Rp 0</v>
      </c>
      <c r="O176" s="14" t="str">
        <f t="shared" si="177"/>
        <v>Rp 0</v>
      </c>
      <c r="P176" s="14" t="str">
        <f t="shared" si="177"/>
        <v>Rp 0</v>
      </c>
      <c r="Q176" s="14" t="str">
        <f t="shared" si="4"/>
        <v>Syahriyah = Rp 0
Jariyah = Rp 0
Daftar Ulang = Rp 0
Total = Rp 0
______________________
ID : </v>
      </c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79" t="str">
        <f t="shared" si="2"/>
        <v/>
      </c>
      <c r="B177" s="14"/>
      <c r="C177" s="79"/>
      <c r="D177" s="79"/>
      <c r="E177" s="79"/>
      <c r="F177" s="79"/>
      <c r="G177" s="79"/>
      <c r="H177" s="14"/>
      <c r="I177" s="14"/>
      <c r="J177" s="14"/>
      <c r="K177" s="14"/>
      <c r="L177" s="14"/>
      <c r="M177" s="14" t="str">
        <f t="shared" ref="M177:P177" si="178">text(I177,"Rp #,##0")</f>
        <v>Rp 0</v>
      </c>
      <c r="N177" s="14" t="str">
        <f t="shared" si="178"/>
        <v>Rp 0</v>
      </c>
      <c r="O177" s="14" t="str">
        <f t="shared" si="178"/>
        <v>Rp 0</v>
      </c>
      <c r="P177" s="14" t="str">
        <f t="shared" si="178"/>
        <v>Rp 0</v>
      </c>
      <c r="Q177" s="14" t="str">
        <f t="shared" si="4"/>
        <v>Syahriyah = Rp 0
Jariyah = Rp 0
Daftar Ulang = Rp 0
Total = Rp 0
______________________
ID : </v>
      </c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79" t="str">
        <f t="shared" si="2"/>
        <v/>
      </c>
      <c r="B178" s="14"/>
      <c r="C178" s="79"/>
      <c r="D178" s="79"/>
      <c r="E178" s="79"/>
      <c r="F178" s="79"/>
      <c r="G178" s="79"/>
      <c r="H178" s="14"/>
      <c r="I178" s="14"/>
      <c r="J178" s="14"/>
      <c r="K178" s="14"/>
      <c r="L178" s="14"/>
      <c r="M178" s="14" t="str">
        <f t="shared" ref="M178:P178" si="179">text(I178,"Rp #,##0")</f>
        <v>Rp 0</v>
      </c>
      <c r="N178" s="14" t="str">
        <f t="shared" si="179"/>
        <v>Rp 0</v>
      </c>
      <c r="O178" s="14" t="str">
        <f t="shared" si="179"/>
        <v>Rp 0</v>
      </c>
      <c r="P178" s="14" t="str">
        <f t="shared" si="179"/>
        <v>Rp 0</v>
      </c>
      <c r="Q178" s="14" t="str">
        <f t="shared" si="4"/>
        <v>Syahriyah = Rp 0
Jariyah = Rp 0
Daftar Ulang = Rp 0
Total = Rp 0
______________________
ID : </v>
      </c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79" t="str">
        <f t="shared" si="2"/>
        <v/>
      </c>
      <c r="B179" s="14"/>
      <c r="C179" s="79"/>
      <c r="D179" s="79"/>
      <c r="E179" s="79"/>
      <c r="F179" s="79"/>
      <c r="G179" s="79"/>
      <c r="H179" s="14"/>
      <c r="I179" s="14"/>
      <c r="J179" s="14"/>
      <c r="K179" s="14"/>
      <c r="L179" s="14"/>
      <c r="M179" s="14" t="str">
        <f t="shared" ref="M179:P179" si="180">text(I179,"Rp #,##0")</f>
        <v>Rp 0</v>
      </c>
      <c r="N179" s="14" t="str">
        <f t="shared" si="180"/>
        <v>Rp 0</v>
      </c>
      <c r="O179" s="14" t="str">
        <f t="shared" si="180"/>
        <v>Rp 0</v>
      </c>
      <c r="P179" s="14" t="str">
        <f t="shared" si="180"/>
        <v>Rp 0</v>
      </c>
      <c r="Q179" s="14" t="str">
        <f t="shared" si="4"/>
        <v>Syahriyah = Rp 0
Jariyah = Rp 0
Daftar Ulang = Rp 0
Total = Rp 0
______________________
ID : </v>
      </c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79" t="str">
        <f t="shared" si="2"/>
        <v/>
      </c>
      <c r="B180" s="14"/>
      <c r="C180" s="79"/>
      <c r="D180" s="79"/>
      <c r="E180" s="79"/>
      <c r="F180" s="79"/>
      <c r="G180" s="79"/>
      <c r="H180" s="14"/>
      <c r="I180" s="14"/>
      <c r="J180" s="14"/>
      <c r="K180" s="14"/>
      <c r="L180" s="14"/>
      <c r="M180" s="14" t="str">
        <f t="shared" ref="M180:P180" si="181">text(I180,"Rp #,##0")</f>
        <v>Rp 0</v>
      </c>
      <c r="N180" s="14" t="str">
        <f t="shared" si="181"/>
        <v>Rp 0</v>
      </c>
      <c r="O180" s="14" t="str">
        <f t="shared" si="181"/>
        <v>Rp 0</v>
      </c>
      <c r="P180" s="14" t="str">
        <f t="shared" si="181"/>
        <v>Rp 0</v>
      </c>
      <c r="Q180" s="14" t="str">
        <f t="shared" si="4"/>
        <v>Syahriyah = Rp 0
Jariyah = Rp 0
Daftar Ulang = Rp 0
Total = Rp 0
______________________
ID : </v>
      </c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79" t="str">
        <f t="shared" si="2"/>
        <v/>
      </c>
      <c r="B181" s="14"/>
      <c r="C181" s="79"/>
      <c r="D181" s="79"/>
      <c r="E181" s="79"/>
      <c r="F181" s="79"/>
      <c r="G181" s="79"/>
      <c r="H181" s="14"/>
      <c r="I181" s="14"/>
      <c r="J181" s="14"/>
      <c r="K181" s="14"/>
      <c r="L181" s="14"/>
      <c r="M181" s="14" t="str">
        <f t="shared" ref="M181:P181" si="182">text(I181,"Rp #,##0")</f>
        <v>Rp 0</v>
      </c>
      <c r="N181" s="14" t="str">
        <f t="shared" si="182"/>
        <v>Rp 0</v>
      </c>
      <c r="O181" s="14" t="str">
        <f t="shared" si="182"/>
        <v>Rp 0</v>
      </c>
      <c r="P181" s="14" t="str">
        <f t="shared" si="182"/>
        <v>Rp 0</v>
      </c>
      <c r="Q181" s="14" t="str">
        <f t="shared" si="4"/>
        <v>Syahriyah = Rp 0
Jariyah = Rp 0
Daftar Ulang = Rp 0
Total = Rp 0
______________________
ID : </v>
      </c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79" t="str">
        <f t="shared" si="2"/>
        <v/>
      </c>
      <c r="B182" s="14"/>
      <c r="C182" s="79"/>
      <c r="D182" s="79"/>
      <c r="E182" s="79"/>
      <c r="F182" s="79"/>
      <c r="G182" s="79"/>
      <c r="H182" s="14"/>
      <c r="I182" s="14"/>
      <c r="J182" s="14"/>
      <c r="K182" s="14"/>
      <c r="L182" s="14"/>
      <c r="M182" s="14" t="str">
        <f t="shared" ref="M182:P182" si="183">text(I182,"Rp #,##0")</f>
        <v>Rp 0</v>
      </c>
      <c r="N182" s="14" t="str">
        <f t="shared" si="183"/>
        <v>Rp 0</v>
      </c>
      <c r="O182" s="14" t="str">
        <f t="shared" si="183"/>
        <v>Rp 0</v>
      </c>
      <c r="P182" s="14" t="str">
        <f t="shared" si="183"/>
        <v>Rp 0</v>
      </c>
      <c r="Q182" s="14" t="str">
        <f t="shared" si="4"/>
        <v>Syahriyah = Rp 0
Jariyah = Rp 0
Daftar Ulang = Rp 0
Total = Rp 0
______________________
ID : </v>
      </c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79" t="str">
        <f t="shared" si="2"/>
        <v/>
      </c>
      <c r="B183" s="14"/>
      <c r="C183" s="79"/>
      <c r="D183" s="79"/>
      <c r="E183" s="79"/>
      <c r="F183" s="79"/>
      <c r="G183" s="79"/>
      <c r="H183" s="14"/>
      <c r="I183" s="14"/>
      <c r="J183" s="14"/>
      <c r="K183" s="14"/>
      <c r="L183" s="14"/>
      <c r="M183" s="14" t="str">
        <f t="shared" ref="M183:P183" si="184">text(I183,"Rp #,##0")</f>
        <v>Rp 0</v>
      </c>
      <c r="N183" s="14" t="str">
        <f t="shared" si="184"/>
        <v>Rp 0</v>
      </c>
      <c r="O183" s="14" t="str">
        <f t="shared" si="184"/>
        <v>Rp 0</v>
      </c>
      <c r="P183" s="14" t="str">
        <f t="shared" si="184"/>
        <v>Rp 0</v>
      </c>
      <c r="Q183" s="14" t="str">
        <f t="shared" si="4"/>
        <v>Syahriyah = Rp 0
Jariyah = Rp 0
Daftar Ulang = Rp 0
Total = Rp 0
______________________
ID : </v>
      </c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79" t="str">
        <f t="shared" si="2"/>
        <v/>
      </c>
      <c r="B184" s="14"/>
      <c r="C184" s="79"/>
      <c r="D184" s="79"/>
      <c r="E184" s="79"/>
      <c r="F184" s="79"/>
      <c r="G184" s="79"/>
      <c r="H184" s="14"/>
      <c r="I184" s="14"/>
      <c r="J184" s="14"/>
      <c r="K184" s="14"/>
      <c r="L184" s="14"/>
      <c r="M184" s="14" t="str">
        <f t="shared" ref="M184:P184" si="185">text(I184,"Rp #,##0")</f>
        <v>Rp 0</v>
      </c>
      <c r="N184" s="14" t="str">
        <f t="shared" si="185"/>
        <v>Rp 0</v>
      </c>
      <c r="O184" s="14" t="str">
        <f t="shared" si="185"/>
        <v>Rp 0</v>
      </c>
      <c r="P184" s="14" t="str">
        <f t="shared" si="185"/>
        <v>Rp 0</v>
      </c>
      <c r="Q184" s="14" t="str">
        <f t="shared" si="4"/>
        <v>Syahriyah = Rp 0
Jariyah = Rp 0
Daftar Ulang = Rp 0
Total = Rp 0
______________________
ID : </v>
      </c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79" t="str">
        <f t="shared" si="2"/>
        <v/>
      </c>
      <c r="B185" s="14"/>
      <c r="C185" s="79"/>
      <c r="D185" s="79"/>
      <c r="E185" s="79"/>
      <c r="F185" s="79"/>
      <c r="G185" s="79"/>
      <c r="H185" s="14"/>
      <c r="I185" s="14"/>
      <c r="J185" s="14"/>
      <c r="K185" s="14"/>
      <c r="L185" s="14"/>
      <c r="M185" s="14" t="str">
        <f t="shared" ref="M185:P185" si="186">text(I185,"Rp #,##0")</f>
        <v>Rp 0</v>
      </c>
      <c r="N185" s="14" t="str">
        <f t="shared" si="186"/>
        <v>Rp 0</v>
      </c>
      <c r="O185" s="14" t="str">
        <f t="shared" si="186"/>
        <v>Rp 0</v>
      </c>
      <c r="P185" s="14" t="str">
        <f t="shared" si="186"/>
        <v>Rp 0</v>
      </c>
      <c r="Q185" s="14" t="str">
        <f t="shared" si="4"/>
        <v>Syahriyah = Rp 0
Jariyah = Rp 0
Daftar Ulang = Rp 0
Total = Rp 0
______________________
ID : 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79" t="str">
        <f t="shared" si="2"/>
        <v/>
      </c>
      <c r="B186" s="14"/>
      <c r="C186" s="79"/>
      <c r="D186" s="79"/>
      <c r="E186" s="79"/>
      <c r="F186" s="79"/>
      <c r="G186" s="79"/>
      <c r="H186" s="14"/>
      <c r="I186" s="14"/>
      <c r="J186" s="14"/>
      <c r="K186" s="14"/>
      <c r="L186" s="14"/>
      <c r="M186" s="14" t="str">
        <f t="shared" ref="M186:P186" si="187">text(I186,"Rp #,##0")</f>
        <v>Rp 0</v>
      </c>
      <c r="N186" s="14" t="str">
        <f t="shared" si="187"/>
        <v>Rp 0</v>
      </c>
      <c r="O186" s="14" t="str">
        <f t="shared" si="187"/>
        <v>Rp 0</v>
      </c>
      <c r="P186" s="14" t="str">
        <f t="shared" si="187"/>
        <v>Rp 0</v>
      </c>
      <c r="Q186" s="14" t="str">
        <f t="shared" si="4"/>
        <v>Syahriyah = Rp 0
Jariyah = Rp 0
Daftar Ulang = Rp 0
Total = Rp 0
______________________
ID : </v>
      </c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79" t="str">
        <f t="shared" si="2"/>
        <v/>
      </c>
      <c r="B187" s="14"/>
      <c r="C187" s="79"/>
      <c r="D187" s="79"/>
      <c r="E187" s="79"/>
      <c r="F187" s="79"/>
      <c r="G187" s="79"/>
      <c r="H187" s="14"/>
      <c r="I187" s="14"/>
      <c r="J187" s="14"/>
      <c r="K187" s="14"/>
      <c r="L187" s="14"/>
      <c r="M187" s="14" t="str">
        <f t="shared" ref="M187:P187" si="188">text(I187,"Rp #,##0")</f>
        <v>Rp 0</v>
      </c>
      <c r="N187" s="14" t="str">
        <f t="shared" si="188"/>
        <v>Rp 0</v>
      </c>
      <c r="O187" s="14" t="str">
        <f t="shared" si="188"/>
        <v>Rp 0</v>
      </c>
      <c r="P187" s="14" t="str">
        <f t="shared" si="188"/>
        <v>Rp 0</v>
      </c>
      <c r="Q187" s="14" t="str">
        <f t="shared" si="4"/>
        <v>Syahriyah = Rp 0
Jariyah = Rp 0
Daftar Ulang = Rp 0
Total = Rp 0
______________________
ID : </v>
      </c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79" t="str">
        <f t="shared" si="2"/>
        <v/>
      </c>
      <c r="B188" s="14"/>
      <c r="C188" s="79"/>
      <c r="D188" s="79"/>
      <c r="E188" s="79"/>
      <c r="F188" s="79"/>
      <c r="G188" s="79"/>
      <c r="H188" s="14"/>
      <c r="I188" s="14"/>
      <c r="J188" s="14"/>
      <c r="K188" s="14"/>
      <c r="L188" s="14"/>
      <c r="M188" s="14" t="str">
        <f t="shared" ref="M188:P188" si="189">text(I188,"Rp #,##0")</f>
        <v>Rp 0</v>
      </c>
      <c r="N188" s="14" t="str">
        <f t="shared" si="189"/>
        <v>Rp 0</v>
      </c>
      <c r="O188" s="14" t="str">
        <f t="shared" si="189"/>
        <v>Rp 0</v>
      </c>
      <c r="P188" s="14" t="str">
        <f t="shared" si="189"/>
        <v>Rp 0</v>
      </c>
      <c r="Q188" s="14" t="str">
        <f t="shared" si="4"/>
        <v>Syahriyah = Rp 0
Jariyah = Rp 0
Daftar Ulang = Rp 0
Total = Rp 0
______________________
ID : </v>
      </c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79" t="str">
        <f t="shared" si="2"/>
        <v/>
      </c>
      <c r="B189" s="14"/>
      <c r="C189" s="79"/>
      <c r="D189" s="79"/>
      <c r="E189" s="79"/>
      <c r="F189" s="79"/>
      <c r="G189" s="79"/>
      <c r="H189" s="14"/>
      <c r="I189" s="14"/>
      <c r="J189" s="14"/>
      <c r="K189" s="14"/>
      <c r="L189" s="14"/>
      <c r="M189" s="14" t="str">
        <f t="shared" ref="M189:P189" si="190">text(I189,"Rp #,##0")</f>
        <v>Rp 0</v>
      </c>
      <c r="N189" s="14" t="str">
        <f t="shared" si="190"/>
        <v>Rp 0</v>
      </c>
      <c r="O189" s="14" t="str">
        <f t="shared" si="190"/>
        <v>Rp 0</v>
      </c>
      <c r="P189" s="14" t="str">
        <f t="shared" si="190"/>
        <v>Rp 0</v>
      </c>
      <c r="Q189" s="14" t="str">
        <f t="shared" si="4"/>
        <v>Syahriyah = Rp 0
Jariyah = Rp 0
Daftar Ulang = Rp 0
Total = Rp 0
______________________
ID : </v>
      </c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79" t="str">
        <f t="shared" si="2"/>
        <v/>
      </c>
      <c r="B190" s="14"/>
      <c r="C190" s="79"/>
      <c r="D190" s="79"/>
      <c r="E190" s="79"/>
      <c r="F190" s="79"/>
      <c r="G190" s="79"/>
      <c r="H190" s="14"/>
      <c r="I190" s="14"/>
      <c r="J190" s="14"/>
      <c r="K190" s="14"/>
      <c r="L190" s="14"/>
      <c r="M190" s="14" t="str">
        <f t="shared" ref="M190:P190" si="191">text(I190,"Rp #,##0")</f>
        <v>Rp 0</v>
      </c>
      <c r="N190" s="14" t="str">
        <f t="shared" si="191"/>
        <v>Rp 0</v>
      </c>
      <c r="O190" s="14" t="str">
        <f t="shared" si="191"/>
        <v>Rp 0</v>
      </c>
      <c r="P190" s="14" t="str">
        <f t="shared" si="191"/>
        <v>Rp 0</v>
      </c>
      <c r="Q190" s="14" t="str">
        <f t="shared" si="4"/>
        <v>Syahriyah = Rp 0
Jariyah = Rp 0
Daftar Ulang = Rp 0
Total = Rp 0
______________________
ID : </v>
      </c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79" t="str">
        <f t="shared" si="2"/>
        <v/>
      </c>
      <c r="B191" s="14"/>
      <c r="C191" s="79"/>
      <c r="D191" s="79"/>
      <c r="E191" s="79"/>
      <c r="F191" s="79"/>
      <c r="G191" s="79"/>
      <c r="H191" s="14"/>
      <c r="I191" s="14"/>
      <c r="J191" s="14"/>
      <c r="K191" s="14"/>
      <c r="L191" s="14"/>
      <c r="M191" s="14" t="str">
        <f t="shared" ref="M191:P191" si="192">text(I191,"Rp #,##0")</f>
        <v>Rp 0</v>
      </c>
      <c r="N191" s="14" t="str">
        <f t="shared" si="192"/>
        <v>Rp 0</v>
      </c>
      <c r="O191" s="14" t="str">
        <f t="shared" si="192"/>
        <v>Rp 0</v>
      </c>
      <c r="P191" s="14" t="str">
        <f t="shared" si="192"/>
        <v>Rp 0</v>
      </c>
      <c r="Q191" s="14" t="str">
        <f t="shared" si="4"/>
        <v>Syahriyah = Rp 0
Jariyah = Rp 0
Daftar Ulang = Rp 0
Total = Rp 0
______________________
ID : </v>
      </c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79" t="str">
        <f t="shared" si="2"/>
        <v/>
      </c>
      <c r="B192" s="14"/>
      <c r="C192" s="79"/>
      <c r="D192" s="79"/>
      <c r="E192" s="79"/>
      <c r="F192" s="79"/>
      <c r="G192" s="79"/>
      <c r="H192" s="14"/>
      <c r="I192" s="14"/>
      <c r="J192" s="14"/>
      <c r="K192" s="14"/>
      <c r="L192" s="14"/>
      <c r="M192" s="14" t="str">
        <f t="shared" ref="M192:P192" si="193">text(I192,"Rp #,##0")</f>
        <v>Rp 0</v>
      </c>
      <c r="N192" s="14" t="str">
        <f t="shared" si="193"/>
        <v>Rp 0</v>
      </c>
      <c r="O192" s="14" t="str">
        <f t="shared" si="193"/>
        <v>Rp 0</v>
      </c>
      <c r="P192" s="14" t="str">
        <f t="shared" si="193"/>
        <v>Rp 0</v>
      </c>
      <c r="Q192" s="14" t="str">
        <f t="shared" si="4"/>
        <v>Syahriyah = Rp 0
Jariyah = Rp 0
Daftar Ulang = Rp 0
Total = Rp 0
______________________
ID : </v>
      </c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79" t="str">
        <f t="shared" si="2"/>
        <v/>
      </c>
      <c r="B193" s="14"/>
      <c r="C193" s="79"/>
      <c r="D193" s="79"/>
      <c r="E193" s="79"/>
      <c r="F193" s="79"/>
      <c r="G193" s="79"/>
      <c r="H193" s="14"/>
      <c r="I193" s="14"/>
      <c r="J193" s="14"/>
      <c r="K193" s="14"/>
      <c r="L193" s="14"/>
      <c r="M193" s="14" t="str">
        <f t="shared" ref="M193:P193" si="194">text(I193,"Rp #,##0")</f>
        <v>Rp 0</v>
      </c>
      <c r="N193" s="14" t="str">
        <f t="shared" si="194"/>
        <v>Rp 0</v>
      </c>
      <c r="O193" s="14" t="str">
        <f t="shared" si="194"/>
        <v>Rp 0</v>
      </c>
      <c r="P193" s="14" t="str">
        <f t="shared" si="194"/>
        <v>Rp 0</v>
      </c>
      <c r="Q193" s="14" t="str">
        <f t="shared" si="4"/>
        <v>Syahriyah = Rp 0
Jariyah = Rp 0
Daftar Ulang = Rp 0
Total = Rp 0
______________________
ID : </v>
      </c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79" t="str">
        <f t="shared" si="2"/>
        <v/>
      </c>
      <c r="B194" s="14"/>
      <c r="C194" s="79"/>
      <c r="D194" s="79"/>
      <c r="E194" s="79"/>
      <c r="F194" s="79"/>
      <c r="G194" s="79"/>
      <c r="H194" s="14"/>
      <c r="I194" s="14"/>
      <c r="J194" s="14"/>
      <c r="K194" s="14"/>
      <c r="L194" s="14"/>
      <c r="M194" s="14" t="str">
        <f t="shared" ref="M194:P194" si="195">text(I194,"Rp #,##0")</f>
        <v>Rp 0</v>
      </c>
      <c r="N194" s="14" t="str">
        <f t="shared" si="195"/>
        <v>Rp 0</v>
      </c>
      <c r="O194" s="14" t="str">
        <f t="shared" si="195"/>
        <v>Rp 0</v>
      </c>
      <c r="P194" s="14" t="str">
        <f t="shared" si="195"/>
        <v>Rp 0</v>
      </c>
      <c r="Q194" s="14" t="str">
        <f t="shared" si="4"/>
        <v>Syahriyah = Rp 0
Jariyah = Rp 0
Daftar Ulang = Rp 0
Total = Rp 0
______________________
ID : </v>
      </c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79" t="str">
        <f t="shared" si="2"/>
        <v/>
      </c>
      <c r="B195" s="14"/>
      <c r="C195" s="79"/>
      <c r="D195" s="79"/>
      <c r="E195" s="79"/>
      <c r="F195" s="79"/>
      <c r="G195" s="79"/>
      <c r="H195" s="14"/>
      <c r="I195" s="14"/>
      <c r="J195" s="14"/>
      <c r="K195" s="14"/>
      <c r="L195" s="14"/>
      <c r="M195" s="14" t="str">
        <f t="shared" ref="M195:P195" si="196">text(I195,"Rp #,##0")</f>
        <v>Rp 0</v>
      </c>
      <c r="N195" s="14" t="str">
        <f t="shared" si="196"/>
        <v>Rp 0</v>
      </c>
      <c r="O195" s="14" t="str">
        <f t="shared" si="196"/>
        <v>Rp 0</v>
      </c>
      <c r="P195" s="14" t="str">
        <f t="shared" si="196"/>
        <v>Rp 0</v>
      </c>
      <c r="Q195" s="14" t="str">
        <f t="shared" si="4"/>
        <v>Syahriyah = Rp 0
Jariyah = Rp 0
Daftar Ulang = Rp 0
Total = Rp 0
______________________
ID : </v>
      </c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79" t="str">
        <f t="shared" si="2"/>
        <v/>
      </c>
      <c r="B196" s="14"/>
      <c r="C196" s="79"/>
      <c r="D196" s="79"/>
      <c r="E196" s="79"/>
      <c r="F196" s="79"/>
      <c r="G196" s="79"/>
      <c r="H196" s="14"/>
      <c r="I196" s="14"/>
      <c r="J196" s="14"/>
      <c r="K196" s="14"/>
      <c r="L196" s="14"/>
      <c r="M196" s="14" t="str">
        <f t="shared" ref="M196:P196" si="197">text(I196,"Rp #,##0")</f>
        <v>Rp 0</v>
      </c>
      <c r="N196" s="14" t="str">
        <f t="shared" si="197"/>
        <v>Rp 0</v>
      </c>
      <c r="O196" s="14" t="str">
        <f t="shared" si="197"/>
        <v>Rp 0</v>
      </c>
      <c r="P196" s="14" t="str">
        <f t="shared" si="197"/>
        <v>Rp 0</v>
      </c>
      <c r="Q196" s="14" t="str">
        <f t="shared" si="4"/>
        <v>Syahriyah = Rp 0
Jariyah = Rp 0
Daftar Ulang = Rp 0
Total = Rp 0
______________________
ID : 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79" t="str">
        <f t="shared" si="2"/>
        <v/>
      </c>
      <c r="B197" s="14"/>
      <c r="C197" s="79"/>
      <c r="D197" s="79"/>
      <c r="E197" s="79"/>
      <c r="F197" s="79"/>
      <c r="G197" s="79"/>
      <c r="H197" s="14"/>
      <c r="I197" s="14"/>
      <c r="J197" s="14"/>
      <c r="K197" s="14"/>
      <c r="L197" s="14"/>
      <c r="M197" s="14" t="str">
        <f t="shared" ref="M197:P197" si="198">text(I197,"Rp #,##0")</f>
        <v>Rp 0</v>
      </c>
      <c r="N197" s="14" t="str">
        <f t="shared" si="198"/>
        <v>Rp 0</v>
      </c>
      <c r="O197" s="14" t="str">
        <f t="shared" si="198"/>
        <v>Rp 0</v>
      </c>
      <c r="P197" s="14" t="str">
        <f t="shared" si="198"/>
        <v>Rp 0</v>
      </c>
      <c r="Q197" s="14" t="str">
        <f t="shared" si="4"/>
        <v>Syahriyah = Rp 0
Jariyah = Rp 0
Daftar Ulang = Rp 0
Total = Rp 0
______________________
ID : </v>
      </c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79" t="str">
        <f t="shared" si="2"/>
        <v/>
      </c>
      <c r="B198" s="14"/>
      <c r="C198" s="79"/>
      <c r="D198" s="79"/>
      <c r="E198" s="79"/>
      <c r="F198" s="79"/>
      <c r="G198" s="79"/>
      <c r="H198" s="14"/>
      <c r="I198" s="14"/>
      <c r="J198" s="14"/>
      <c r="K198" s="14"/>
      <c r="L198" s="14"/>
      <c r="M198" s="14" t="str">
        <f t="shared" ref="M198:P198" si="199">text(I198,"Rp #,##0")</f>
        <v>Rp 0</v>
      </c>
      <c r="N198" s="14" t="str">
        <f t="shared" si="199"/>
        <v>Rp 0</v>
      </c>
      <c r="O198" s="14" t="str">
        <f t="shared" si="199"/>
        <v>Rp 0</v>
      </c>
      <c r="P198" s="14" t="str">
        <f t="shared" si="199"/>
        <v>Rp 0</v>
      </c>
      <c r="Q198" s="14" t="str">
        <f t="shared" si="4"/>
        <v>Syahriyah = Rp 0
Jariyah = Rp 0
Daftar Ulang = Rp 0
Total = Rp 0
______________________
ID : </v>
      </c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79" t="str">
        <f t="shared" si="2"/>
        <v/>
      </c>
      <c r="B199" s="14"/>
      <c r="C199" s="79"/>
      <c r="D199" s="79"/>
      <c r="E199" s="79"/>
      <c r="F199" s="79"/>
      <c r="G199" s="79"/>
      <c r="H199" s="14"/>
      <c r="I199" s="14"/>
      <c r="J199" s="14"/>
      <c r="K199" s="14"/>
      <c r="L199" s="14"/>
      <c r="M199" s="14" t="str">
        <f t="shared" ref="M199:P199" si="200">text(I199,"Rp #,##0")</f>
        <v>Rp 0</v>
      </c>
      <c r="N199" s="14" t="str">
        <f t="shared" si="200"/>
        <v>Rp 0</v>
      </c>
      <c r="O199" s="14" t="str">
        <f t="shared" si="200"/>
        <v>Rp 0</v>
      </c>
      <c r="P199" s="14" t="str">
        <f t="shared" si="200"/>
        <v>Rp 0</v>
      </c>
      <c r="Q199" s="14" t="str">
        <f t="shared" si="4"/>
        <v>Syahriyah = Rp 0
Jariyah = Rp 0
Daftar Ulang = Rp 0
Total = Rp 0
______________________
ID : </v>
      </c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79" t="str">
        <f t="shared" si="2"/>
        <v/>
      </c>
      <c r="B200" s="14"/>
      <c r="C200" s="79"/>
      <c r="D200" s="79"/>
      <c r="E200" s="79"/>
      <c r="F200" s="79"/>
      <c r="G200" s="79"/>
      <c r="H200" s="14"/>
      <c r="I200" s="14"/>
      <c r="J200" s="14"/>
      <c r="K200" s="14"/>
      <c r="L200" s="14"/>
      <c r="M200" s="14" t="str">
        <f t="shared" ref="M200:P200" si="201">text(I200,"Rp #,##0")</f>
        <v>Rp 0</v>
      </c>
      <c r="N200" s="14" t="str">
        <f t="shared" si="201"/>
        <v>Rp 0</v>
      </c>
      <c r="O200" s="14" t="str">
        <f t="shared" si="201"/>
        <v>Rp 0</v>
      </c>
      <c r="P200" s="14" t="str">
        <f t="shared" si="201"/>
        <v>Rp 0</v>
      </c>
      <c r="Q200" s="14" t="str">
        <f t="shared" si="4"/>
        <v>Syahriyah = Rp 0
Jariyah = Rp 0
Daftar Ulang = Rp 0
Total = Rp 0
______________________
ID : </v>
      </c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79" t="str">
        <f t="shared" si="2"/>
        <v/>
      </c>
      <c r="B201" s="14"/>
      <c r="C201" s="79"/>
      <c r="D201" s="79"/>
      <c r="E201" s="79"/>
      <c r="F201" s="79"/>
      <c r="G201" s="79"/>
      <c r="H201" s="14"/>
      <c r="I201" s="14"/>
      <c r="J201" s="14"/>
      <c r="K201" s="14"/>
      <c r="L201" s="14"/>
      <c r="M201" s="14" t="str">
        <f t="shared" ref="M201:P201" si="202">text(I201,"Rp #,##0")</f>
        <v>Rp 0</v>
      </c>
      <c r="N201" s="14" t="str">
        <f t="shared" si="202"/>
        <v>Rp 0</v>
      </c>
      <c r="O201" s="14" t="str">
        <f t="shared" si="202"/>
        <v>Rp 0</v>
      </c>
      <c r="P201" s="14" t="str">
        <f t="shared" si="202"/>
        <v>Rp 0</v>
      </c>
      <c r="Q201" s="14" t="str">
        <f t="shared" si="4"/>
        <v>Syahriyah = Rp 0
Jariyah = Rp 0
Daftar Ulang = Rp 0
Total = Rp 0
______________________
ID : </v>
      </c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79" t="str">
        <f t="shared" si="2"/>
        <v/>
      </c>
      <c r="B202" s="14"/>
      <c r="C202" s="79"/>
      <c r="D202" s="79"/>
      <c r="E202" s="79"/>
      <c r="F202" s="79"/>
      <c r="G202" s="79"/>
      <c r="H202" s="14"/>
      <c r="I202" s="14"/>
      <c r="J202" s="14"/>
      <c r="K202" s="14"/>
      <c r="L202" s="14"/>
      <c r="M202" s="14" t="str">
        <f t="shared" ref="M202:P202" si="203">text(I202,"Rp #,##0")</f>
        <v>Rp 0</v>
      </c>
      <c r="N202" s="14" t="str">
        <f t="shared" si="203"/>
        <v>Rp 0</v>
      </c>
      <c r="O202" s="14" t="str">
        <f t="shared" si="203"/>
        <v>Rp 0</v>
      </c>
      <c r="P202" s="14" t="str">
        <f t="shared" si="203"/>
        <v>Rp 0</v>
      </c>
      <c r="Q202" s="14" t="str">
        <f t="shared" si="4"/>
        <v>Syahriyah = Rp 0
Jariyah = Rp 0
Daftar Ulang = Rp 0
Total = Rp 0
______________________
ID : </v>
      </c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79" t="str">
        <f t="shared" si="2"/>
        <v/>
      </c>
      <c r="B203" s="14"/>
      <c r="C203" s="79"/>
      <c r="D203" s="79"/>
      <c r="E203" s="79"/>
      <c r="F203" s="79"/>
      <c r="G203" s="79"/>
      <c r="H203" s="14"/>
      <c r="I203" s="14"/>
      <c r="J203" s="14"/>
      <c r="K203" s="14"/>
      <c r="L203" s="14"/>
      <c r="M203" s="14" t="str">
        <f t="shared" ref="M203:P203" si="204">text(I203,"Rp #,##0")</f>
        <v>Rp 0</v>
      </c>
      <c r="N203" s="14" t="str">
        <f t="shared" si="204"/>
        <v>Rp 0</v>
      </c>
      <c r="O203" s="14" t="str">
        <f t="shared" si="204"/>
        <v>Rp 0</v>
      </c>
      <c r="P203" s="14" t="str">
        <f t="shared" si="204"/>
        <v>Rp 0</v>
      </c>
      <c r="Q203" s="14" t="str">
        <f t="shared" si="4"/>
        <v>Syahriyah = Rp 0
Jariyah = Rp 0
Daftar Ulang = Rp 0
Total = Rp 0
______________________
ID : </v>
      </c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79" t="str">
        <f t="shared" si="2"/>
        <v/>
      </c>
      <c r="B204" s="14"/>
      <c r="C204" s="79"/>
      <c r="D204" s="79"/>
      <c r="E204" s="79"/>
      <c r="F204" s="79"/>
      <c r="G204" s="79"/>
      <c r="H204" s="14"/>
      <c r="I204" s="14"/>
      <c r="J204" s="14"/>
      <c r="K204" s="14"/>
      <c r="L204" s="14"/>
      <c r="M204" s="14" t="str">
        <f t="shared" ref="M204:P204" si="205">text(I204,"Rp #,##0")</f>
        <v>Rp 0</v>
      </c>
      <c r="N204" s="14" t="str">
        <f t="shared" si="205"/>
        <v>Rp 0</v>
      </c>
      <c r="O204" s="14" t="str">
        <f t="shared" si="205"/>
        <v>Rp 0</v>
      </c>
      <c r="P204" s="14" t="str">
        <f t="shared" si="205"/>
        <v>Rp 0</v>
      </c>
      <c r="Q204" s="14" t="str">
        <f t="shared" si="4"/>
        <v>Syahriyah = Rp 0
Jariyah = Rp 0
Daftar Ulang = Rp 0
Total = Rp 0
______________________
ID : </v>
      </c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79" t="str">
        <f t="shared" si="2"/>
        <v/>
      </c>
      <c r="B205" s="14"/>
      <c r="C205" s="79"/>
      <c r="D205" s="79"/>
      <c r="E205" s="79"/>
      <c r="F205" s="79"/>
      <c r="G205" s="79"/>
      <c r="H205" s="14"/>
      <c r="I205" s="14"/>
      <c r="J205" s="14"/>
      <c r="K205" s="14"/>
      <c r="L205" s="14"/>
      <c r="M205" s="14" t="str">
        <f t="shared" ref="M205:P205" si="206">text(I205,"Rp #,##0")</f>
        <v>Rp 0</v>
      </c>
      <c r="N205" s="14" t="str">
        <f t="shared" si="206"/>
        <v>Rp 0</v>
      </c>
      <c r="O205" s="14" t="str">
        <f t="shared" si="206"/>
        <v>Rp 0</v>
      </c>
      <c r="P205" s="14" t="str">
        <f t="shared" si="206"/>
        <v>Rp 0</v>
      </c>
      <c r="Q205" s="14" t="str">
        <f t="shared" si="4"/>
        <v>Syahriyah = Rp 0
Jariyah = Rp 0
Daftar Ulang = Rp 0
Total = Rp 0
______________________
ID : </v>
      </c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79" t="str">
        <f t="shared" si="2"/>
        <v/>
      </c>
      <c r="B206" s="14"/>
      <c r="C206" s="79"/>
      <c r="D206" s="79"/>
      <c r="E206" s="79"/>
      <c r="F206" s="79"/>
      <c r="G206" s="79"/>
      <c r="H206" s="14"/>
      <c r="I206" s="14"/>
      <c r="J206" s="14"/>
      <c r="K206" s="14"/>
      <c r="L206" s="14"/>
      <c r="M206" s="14" t="str">
        <f t="shared" ref="M206:P206" si="207">text(I206,"Rp #,##0")</f>
        <v>Rp 0</v>
      </c>
      <c r="N206" s="14" t="str">
        <f t="shared" si="207"/>
        <v>Rp 0</v>
      </c>
      <c r="O206" s="14" t="str">
        <f t="shared" si="207"/>
        <v>Rp 0</v>
      </c>
      <c r="P206" s="14" t="str">
        <f t="shared" si="207"/>
        <v>Rp 0</v>
      </c>
      <c r="Q206" s="14" t="str">
        <f t="shared" si="4"/>
        <v>Syahriyah = Rp 0
Jariyah = Rp 0
Daftar Ulang = Rp 0
Total = Rp 0
______________________
ID : </v>
      </c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79" t="str">
        <f t="shared" si="2"/>
        <v/>
      </c>
      <c r="B207" s="14"/>
      <c r="C207" s="79"/>
      <c r="D207" s="79"/>
      <c r="E207" s="79"/>
      <c r="F207" s="79"/>
      <c r="G207" s="79"/>
      <c r="H207" s="14"/>
      <c r="I207" s="14"/>
      <c r="J207" s="14"/>
      <c r="K207" s="14"/>
      <c r="L207" s="14"/>
      <c r="M207" s="14" t="str">
        <f t="shared" ref="M207:P207" si="208">text(I207,"Rp #,##0")</f>
        <v>Rp 0</v>
      </c>
      <c r="N207" s="14" t="str">
        <f t="shared" si="208"/>
        <v>Rp 0</v>
      </c>
      <c r="O207" s="14" t="str">
        <f t="shared" si="208"/>
        <v>Rp 0</v>
      </c>
      <c r="P207" s="14" t="str">
        <f t="shared" si="208"/>
        <v>Rp 0</v>
      </c>
      <c r="Q207" s="14" t="str">
        <f t="shared" si="4"/>
        <v>Syahriyah = Rp 0
Jariyah = Rp 0
Daftar Ulang = Rp 0
Total = Rp 0
______________________
ID : 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79" t="str">
        <f t="shared" si="2"/>
        <v/>
      </c>
      <c r="B208" s="14"/>
      <c r="C208" s="79"/>
      <c r="D208" s="79"/>
      <c r="E208" s="79"/>
      <c r="F208" s="79"/>
      <c r="G208" s="79"/>
      <c r="H208" s="14"/>
      <c r="I208" s="14"/>
      <c r="J208" s="14"/>
      <c r="K208" s="14"/>
      <c r="L208" s="14"/>
      <c r="M208" s="14" t="str">
        <f t="shared" ref="M208:P208" si="209">text(I208,"Rp #,##0")</f>
        <v>Rp 0</v>
      </c>
      <c r="N208" s="14" t="str">
        <f t="shared" si="209"/>
        <v>Rp 0</v>
      </c>
      <c r="O208" s="14" t="str">
        <f t="shared" si="209"/>
        <v>Rp 0</v>
      </c>
      <c r="P208" s="14" t="str">
        <f t="shared" si="209"/>
        <v>Rp 0</v>
      </c>
      <c r="Q208" s="14" t="str">
        <f t="shared" si="4"/>
        <v>Syahriyah = Rp 0
Jariyah = Rp 0
Daftar Ulang = Rp 0
Total = Rp 0
______________________
ID : </v>
      </c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79" t="str">
        <f t="shared" si="2"/>
        <v/>
      </c>
      <c r="B209" s="14"/>
      <c r="C209" s="79"/>
      <c r="D209" s="79"/>
      <c r="E209" s="79"/>
      <c r="F209" s="79"/>
      <c r="G209" s="79"/>
      <c r="H209" s="14"/>
      <c r="I209" s="14"/>
      <c r="J209" s="14"/>
      <c r="K209" s="14"/>
      <c r="L209" s="14"/>
      <c r="M209" s="14" t="str">
        <f t="shared" ref="M209:P209" si="210">text(I209,"Rp #,##0")</f>
        <v>Rp 0</v>
      </c>
      <c r="N209" s="14" t="str">
        <f t="shared" si="210"/>
        <v>Rp 0</v>
      </c>
      <c r="O209" s="14" t="str">
        <f t="shared" si="210"/>
        <v>Rp 0</v>
      </c>
      <c r="P209" s="14" t="str">
        <f t="shared" si="210"/>
        <v>Rp 0</v>
      </c>
      <c r="Q209" s="14" t="str">
        <f t="shared" si="4"/>
        <v>Syahriyah = Rp 0
Jariyah = Rp 0
Daftar Ulang = Rp 0
Total = Rp 0
______________________
ID : </v>
      </c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79" t="str">
        <f t="shared" si="2"/>
        <v/>
      </c>
      <c r="B210" s="14"/>
      <c r="C210" s="79"/>
      <c r="D210" s="79"/>
      <c r="E210" s="79"/>
      <c r="F210" s="79"/>
      <c r="G210" s="79"/>
      <c r="H210" s="14"/>
      <c r="I210" s="14"/>
      <c r="J210" s="14"/>
      <c r="K210" s="14"/>
      <c r="L210" s="14"/>
      <c r="M210" s="14" t="str">
        <f t="shared" ref="M210:P210" si="211">text(I210,"Rp #,##0")</f>
        <v>Rp 0</v>
      </c>
      <c r="N210" s="14" t="str">
        <f t="shared" si="211"/>
        <v>Rp 0</v>
      </c>
      <c r="O210" s="14" t="str">
        <f t="shared" si="211"/>
        <v>Rp 0</v>
      </c>
      <c r="P210" s="14" t="str">
        <f t="shared" si="211"/>
        <v>Rp 0</v>
      </c>
      <c r="Q210" s="14" t="str">
        <f t="shared" si="4"/>
        <v>Syahriyah = Rp 0
Jariyah = Rp 0
Daftar Ulang = Rp 0
Total = Rp 0
______________________
ID : </v>
      </c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79" t="str">
        <f t="shared" si="2"/>
        <v/>
      </c>
      <c r="B211" s="14"/>
      <c r="C211" s="79"/>
      <c r="D211" s="79"/>
      <c r="E211" s="79"/>
      <c r="F211" s="79"/>
      <c r="G211" s="79"/>
      <c r="H211" s="14"/>
      <c r="I211" s="14"/>
      <c r="J211" s="14"/>
      <c r="K211" s="14"/>
      <c r="L211" s="14"/>
      <c r="M211" s="14" t="str">
        <f t="shared" ref="M211:P211" si="212">text(I211,"Rp #,##0")</f>
        <v>Rp 0</v>
      </c>
      <c r="N211" s="14" t="str">
        <f t="shared" si="212"/>
        <v>Rp 0</v>
      </c>
      <c r="O211" s="14" t="str">
        <f t="shared" si="212"/>
        <v>Rp 0</v>
      </c>
      <c r="P211" s="14" t="str">
        <f t="shared" si="212"/>
        <v>Rp 0</v>
      </c>
      <c r="Q211" s="14" t="str">
        <f t="shared" si="4"/>
        <v>Syahriyah = Rp 0
Jariyah = Rp 0
Daftar Ulang = Rp 0
Total = Rp 0
______________________
ID : </v>
      </c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79" t="str">
        <f t="shared" si="2"/>
        <v/>
      </c>
      <c r="B212" s="14"/>
      <c r="C212" s="79"/>
      <c r="D212" s="79"/>
      <c r="E212" s="79"/>
      <c r="F212" s="79"/>
      <c r="G212" s="79"/>
      <c r="H212" s="14"/>
      <c r="I212" s="14"/>
      <c r="J212" s="14"/>
      <c r="K212" s="14"/>
      <c r="L212" s="14"/>
      <c r="M212" s="14" t="str">
        <f t="shared" ref="M212:P212" si="213">text(I212,"Rp #,##0")</f>
        <v>Rp 0</v>
      </c>
      <c r="N212" s="14" t="str">
        <f t="shared" si="213"/>
        <v>Rp 0</v>
      </c>
      <c r="O212" s="14" t="str">
        <f t="shared" si="213"/>
        <v>Rp 0</v>
      </c>
      <c r="P212" s="14" t="str">
        <f t="shared" si="213"/>
        <v>Rp 0</v>
      </c>
      <c r="Q212" s="14" t="str">
        <f t="shared" si="4"/>
        <v>Syahriyah = Rp 0
Jariyah = Rp 0
Daftar Ulang = Rp 0
Total = Rp 0
______________________
ID : </v>
      </c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79" t="str">
        <f t="shared" si="2"/>
        <v/>
      </c>
      <c r="B213" s="14"/>
      <c r="C213" s="79"/>
      <c r="D213" s="79"/>
      <c r="E213" s="79"/>
      <c r="F213" s="79"/>
      <c r="G213" s="79"/>
      <c r="H213" s="14"/>
      <c r="I213" s="14"/>
      <c r="J213" s="14"/>
      <c r="K213" s="14"/>
      <c r="L213" s="14"/>
      <c r="M213" s="14" t="str">
        <f t="shared" ref="M213:P213" si="214">text(I213,"Rp #,##0")</f>
        <v>Rp 0</v>
      </c>
      <c r="N213" s="14" t="str">
        <f t="shared" si="214"/>
        <v>Rp 0</v>
      </c>
      <c r="O213" s="14" t="str">
        <f t="shared" si="214"/>
        <v>Rp 0</v>
      </c>
      <c r="P213" s="14" t="str">
        <f t="shared" si="214"/>
        <v>Rp 0</v>
      </c>
      <c r="Q213" s="14" t="str">
        <f t="shared" si="4"/>
        <v>Syahriyah = Rp 0
Jariyah = Rp 0
Daftar Ulang = Rp 0
Total = Rp 0
______________________
ID : </v>
      </c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79" t="str">
        <f t="shared" si="2"/>
        <v/>
      </c>
      <c r="B214" s="14"/>
      <c r="C214" s="79"/>
      <c r="D214" s="79"/>
      <c r="E214" s="79"/>
      <c r="F214" s="79"/>
      <c r="G214" s="79"/>
      <c r="H214" s="14"/>
      <c r="I214" s="14"/>
      <c r="J214" s="14"/>
      <c r="K214" s="14"/>
      <c r="L214" s="14"/>
      <c r="M214" s="14" t="str">
        <f t="shared" ref="M214:P214" si="215">text(I214,"Rp #,##0")</f>
        <v>Rp 0</v>
      </c>
      <c r="N214" s="14" t="str">
        <f t="shared" si="215"/>
        <v>Rp 0</v>
      </c>
      <c r="O214" s="14" t="str">
        <f t="shared" si="215"/>
        <v>Rp 0</v>
      </c>
      <c r="P214" s="14" t="str">
        <f t="shared" si="215"/>
        <v>Rp 0</v>
      </c>
      <c r="Q214" s="14" t="str">
        <f t="shared" si="4"/>
        <v>Syahriyah = Rp 0
Jariyah = Rp 0
Daftar Ulang = Rp 0
Total = Rp 0
______________________
ID : </v>
      </c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79" t="str">
        <f t="shared" si="2"/>
        <v/>
      </c>
      <c r="B215" s="14"/>
      <c r="C215" s="79"/>
      <c r="D215" s="79"/>
      <c r="E215" s="79"/>
      <c r="F215" s="79"/>
      <c r="G215" s="79"/>
      <c r="H215" s="14"/>
      <c r="I215" s="14"/>
      <c r="J215" s="14"/>
      <c r="K215" s="14"/>
      <c r="L215" s="14"/>
      <c r="M215" s="14" t="str">
        <f t="shared" ref="M215:P215" si="216">text(I215,"Rp #,##0")</f>
        <v>Rp 0</v>
      </c>
      <c r="N215" s="14" t="str">
        <f t="shared" si="216"/>
        <v>Rp 0</v>
      </c>
      <c r="O215" s="14" t="str">
        <f t="shared" si="216"/>
        <v>Rp 0</v>
      </c>
      <c r="P215" s="14" t="str">
        <f t="shared" si="216"/>
        <v>Rp 0</v>
      </c>
      <c r="Q215" s="14" t="str">
        <f t="shared" si="4"/>
        <v>Syahriyah = Rp 0
Jariyah = Rp 0
Daftar Ulang = Rp 0
Total = Rp 0
______________________
ID : </v>
      </c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79" t="str">
        <f t="shared" si="2"/>
        <v/>
      </c>
      <c r="B216" s="14"/>
      <c r="C216" s="79"/>
      <c r="D216" s="79"/>
      <c r="E216" s="79"/>
      <c r="F216" s="79"/>
      <c r="G216" s="79"/>
      <c r="H216" s="14"/>
      <c r="I216" s="14"/>
      <c r="J216" s="14"/>
      <c r="K216" s="14"/>
      <c r="L216" s="14"/>
      <c r="M216" s="14" t="str">
        <f t="shared" ref="M216:P216" si="217">text(I216,"Rp #,##0")</f>
        <v>Rp 0</v>
      </c>
      <c r="N216" s="14" t="str">
        <f t="shared" si="217"/>
        <v>Rp 0</v>
      </c>
      <c r="O216" s="14" t="str">
        <f t="shared" si="217"/>
        <v>Rp 0</v>
      </c>
      <c r="P216" s="14" t="str">
        <f t="shared" si="217"/>
        <v>Rp 0</v>
      </c>
      <c r="Q216" s="14" t="str">
        <f t="shared" si="4"/>
        <v>Syahriyah = Rp 0
Jariyah = Rp 0
Daftar Ulang = Rp 0
Total = Rp 0
______________________
ID : </v>
      </c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79" t="str">
        <f t="shared" si="2"/>
        <v/>
      </c>
      <c r="B217" s="14"/>
      <c r="C217" s="79"/>
      <c r="D217" s="79"/>
      <c r="E217" s="79"/>
      <c r="F217" s="79"/>
      <c r="G217" s="79"/>
      <c r="H217" s="14"/>
      <c r="I217" s="14"/>
      <c r="J217" s="14"/>
      <c r="K217" s="14"/>
      <c r="L217" s="14"/>
      <c r="M217" s="14" t="str">
        <f t="shared" ref="M217:P217" si="218">text(I217,"Rp #,##0")</f>
        <v>Rp 0</v>
      </c>
      <c r="N217" s="14" t="str">
        <f t="shared" si="218"/>
        <v>Rp 0</v>
      </c>
      <c r="O217" s="14" t="str">
        <f t="shared" si="218"/>
        <v>Rp 0</v>
      </c>
      <c r="P217" s="14" t="str">
        <f t="shared" si="218"/>
        <v>Rp 0</v>
      </c>
      <c r="Q217" s="14" t="str">
        <f t="shared" si="4"/>
        <v>Syahriyah = Rp 0
Jariyah = Rp 0
Daftar Ulang = Rp 0
Total = Rp 0
______________________
ID : </v>
      </c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79" t="str">
        <f t="shared" si="2"/>
        <v/>
      </c>
      <c r="B218" s="14"/>
      <c r="C218" s="79"/>
      <c r="D218" s="79"/>
      <c r="E218" s="79"/>
      <c r="F218" s="79"/>
      <c r="G218" s="79"/>
      <c r="H218" s="14"/>
      <c r="I218" s="14"/>
      <c r="J218" s="14"/>
      <c r="K218" s="14"/>
      <c r="L218" s="14"/>
      <c r="M218" s="14" t="str">
        <f t="shared" ref="M218:P218" si="219">text(I218,"Rp #,##0")</f>
        <v>Rp 0</v>
      </c>
      <c r="N218" s="14" t="str">
        <f t="shared" si="219"/>
        <v>Rp 0</v>
      </c>
      <c r="O218" s="14" t="str">
        <f t="shared" si="219"/>
        <v>Rp 0</v>
      </c>
      <c r="P218" s="14" t="str">
        <f t="shared" si="219"/>
        <v>Rp 0</v>
      </c>
      <c r="Q218" s="14" t="str">
        <f t="shared" si="4"/>
        <v>Syahriyah = Rp 0
Jariyah = Rp 0
Daftar Ulang = Rp 0
Total = Rp 0
______________________
ID : </v>
      </c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79" t="str">
        <f t="shared" si="2"/>
        <v/>
      </c>
      <c r="B219" s="14"/>
      <c r="C219" s="79"/>
      <c r="D219" s="79"/>
      <c r="E219" s="79"/>
      <c r="F219" s="79"/>
      <c r="G219" s="79"/>
      <c r="H219" s="14"/>
      <c r="I219" s="14"/>
      <c r="J219" s="14"/>
      <c r="K219" s="14"/>
      <c r="L219" s="14"/>
      <c r="M219" s="14" t="str">
        <f t="shared" ref="M219:P219" si="220">text(I219,"Rp #,##0")</f>
        <v>Rp 0</v>
      </c>
      <c r="N219" s="14" t="str">
        <f t="shared" si="220"/>
        <v>Rp 0</v>
      </c>
      <c r="O219" s="14" t="str">
        <f t="shared" si="220"/>
        <v>Rp 0</v>
      </c>
      <c r="P219" s="14" t="str">
        <f t="shared" si="220"/>
        <v>Rp 0</v>
      </c>
      <c r="Q219" s="14" t="str">
        <f t="shared" si="4"/>
        <v>Syahriyah = Rp 0
Jariyah = Rp 0
Daftar Ulang = Rp 0
Total = Rp 0
______________________
ID : </v>
      </c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79" t="str">
        <f t="shared" si="2"/>
        <v/>
      </c>
      <c r="B220" s="14"/>
      <c r="C220" s="79"/>
      <c r="D220" s="79"/>
      <c r="E220" s="79"/>
      <c r="F220" s="79"/>
      <c r="G220" s="79"/>
      <c r="H220" s="14"/>
      <c r="I220" s="14"/>
      <c r="J220" s="14"/>
      <c r="K220" s="14"/>
      <c r="L220" s="14"/>
      <c r="M220" s="14" t="str">
        <f t="shared" ref="M220:P220" si="221">text(I220,"Rp #,##0")</f>
        <v>Rp 0</v>
      </c>
      <c r="N220" s="14" t="str">
        <f t="shared" si="221"/>
        <v>Rp 0</v>
      </c>
      <c r="O220" s="14" t="str">
        <f t="shared" si="221"/>
        <v>Rp 0</v>
      </c>
      <c r="P220" s="14" t="str">
        <f t="shared" si="221"/>
        <v>Rp 0</v>
      </c>
      <c r="Q220" s="14" t="str">
        <f t="shared" si="4"/>
        <v>Syahriyah = Rp 0
Jariyah = Rp 0
Daftar Ulang = Rp 0
Total = Rp 0
______________________
ID : </v>
      </c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79" t="str">
        <f t="shared" si="2"/>
        <v/>
      </c>
      <c r="B221" s="14"/>
      <c r="C221" s="79"/>
      <c r="D221" s="79"/>
      <c r="E221" s="79"/>
      <c r="F221" s="79"/>
      <c r="G221" s="79"/>
      <c r="H221" s="14"/>
      <c r="I221" s="14"/>
      <c r="J221" s="14"/>
      <c r="K221" s="14"/>
      <c r="L221" s="14"/>
      <c r="M221" s="14" t="str">
        <f t="shared" ref="M221:P221" si="222">text(I221,"Rp #,##0")</f>
        <v>Rp 0</v>
      </c>
      <c r="N221" s="14" t="str">
        <f t="shared" si="222"/>
        <v>Rp 0</v>
      </c>
      <c r="O221" s="14" t="str">
        <f t="shared" si="222"/>
        <v>Rp 0</v>
      </c>
      <c r="P221" s="14" t="str">
        <f t="shared" si="222"/>
        <v>Rp 0</v>
      </c>
      <c r="Q221" s="14" t="str">
        <f t="shared" si="4"/>
        <v>Syahriyah = Rp 0
Jariyah = Rp 0
Daftar Ulang = Rp 0
Total = Rp 0
______________________
ID : </v>
      </c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79" t="str">
        <f t="shared" si="2"/>
        <v/>
      </c>
      <c r="B222" s="14"/>
      <c r="C222" s="79"/>
      <c r="D222" s="79"/>
      <c r="E222" s="79"/>
      <c r="F222" s="79"/>
      <c r="G222" s="79"/>
      <c r="H222" s="14"/>
      <c r="I222" s="14"/>
      <c r="J222" s="14"/>
      <c r="K222" s="14"/>
      <c r="L222" s="14"/>
      <c r="M222" s="14" t="str">
        <f t="shared" ref="M222:P222" si="223">text(I222,"Rp #,##0")</f>
        <v>Rp 0</v>
      </c>
      <c r="N222" s="14" t="str">
        <f t="shared" si="223"/>
        <v>Rp 0</v>
      </c>
      <c r="O222" s="14" t="str">
        <f t="shared" si="223"/>
        <v>Rp 0</v>
      </c>
      <c r="P222" s="14" t="str">
        <f t="shared" si="223"/>
        <v>Rp 0</v>
      </c>
      <c r="Q222" s="14" t="str">
        <f t="shared" si="4"/>
        <v>Syahriyah = Rp 0
Jariyah = Rp 0
Daftar Ulang = Rp 0
Total = Rp 0
______________________
ID : </v>
      </c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79" t="str">
        <f t="shared" si="2"/>
        <v/>
      </c>
      <c r="B223" s="14"/>
      <c r="C223" s="79"/>
      <c r="D223" s="79"/>
      <c r="E223" s="79"/>
      <c r="F223" s="79"/>
      <c r="G223" s="79"/>
      <c r="H223" s="14"/>
      <c r="I223" s="14"/>
      <c r="J223" s="14"/>
      <c r="K223" s="14"/>
      <c r="L223" s="14"/>
      <c r="M223" s="14" t="str">
        <f t="shared" ref="M223:P223" si="224">text(I223,"Rp #,##0")</f>
        <v>Rp 0</v>
      </c>
      <c r="N223" s="14" t="str">
        <f t="shared" si="224"/>
        <v>Rp 0</v>
      </c>
      <c r="O223" s="14" t="str">
        <f t="shared" si="224"/>
        <v>Rp 0</v>
      </c>
      <c r="P223" s="14" t="str">
        <f t="shared" si="224"/>
        <v>Rp 0</v>
      </c>
      <c r="Q223" s="14" t="str">
        <f t="shared" si="4"/>
        <v>Syahriyah = Rp 0
Jariyah = Rp 0
Daftar Ulang = Rp 0
Total = Rp 0
______________________
ID : </v>
      </c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79" t="str">
        <f t="shared" si="2"/>
        <v/>
      </c>
      <c r="B224" s="14"/>
      <c r="C224" s="79"/>
      <c r="D224" s="79"/>
      <c r="E224" s="79"/>
      <c r="F224" s="79"/>
      <c r="G224" s="79"/>
      <c r="H224" s="14"/>
      <c r="I224" s="14"/>
      <c r="J224" s="14"/>
      <c r="K224" s="14"/>
      <c r="L224" s="14"/>
      <c r="M224" s="14" t="str">
        <f t="shared" ref="M224:P224" si="225">text(I224,"Rp #,##0")</f>
        <v>Rp 0</v>
      </c>
      <c r="N224" s="14" t="str">
        <f t="shared" si="225"/>
        <v>Rp 0</v>
      </c>
      <c r="O224" s="14" t="str">
        <f t="shared" si="225"/>
        <v>Rp 0</v>
      </c>
      <c r="P224" s="14" t="str">
        <f t="shared" si="225"/>
        <v>Rp 0</v>
      </c>
      <c r="Q224" s="14" t="str">
        <f t="shared" si="4"/>
        <v>Syahriyah = Rp 0
Jariyah = Rp 0
Daftar Ulang = Rp 0
Total = Rp 0
______________________
ID : </v>
      </c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79" t="str">
        <f t="shared" si="2"/>
        <v/>
      </c>
      <c r="B225" s="14"/>
      <c r="C225" s="79"/>
      <c r="D225" s="79"/>
      <c r="E225" s="79"/>
      <c r="F225" s="79"/>
      <c r="G225" s="79"/>
      <c r="H225" s="14"/>
      <c r="I225" s="14"/>
      <c r="J225" s="14"/>
      <c r="K225" s="14"/>
      <c r="L225" s="14"/>
      <c r="M225" s="14" t="str">
        <f t="shared" ref="M225:P225" si="226">text(I225,"Rp #,##0")</f>
        <v>Rp 0</v>
      </c>
      <c r="N225" s="14" t="str">
        <f t="shared" si="226"/>
        <v>Rp 0</v>
      </c>
      <c r="O225" s="14" t="str">
        <f t="shared" si="226"/>
        <v>Rp 0</v>
      </c>
      <c r="P225" s="14" t="str">
        <f t="shared" si="226"/>
        <v>Rp 0</v>
      </c>
      <c r="Q225" s="14" t="str">
        <f t="shared" si="4"/>
        <v>Syahriyah = Rp 0
Jariyah = Rp 0
Daftar Ulang = Rp 0
Total = Rp 0
______________________
ID : </v>
      </c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79" t="str">
        <f t="shared" si="2"/>
        <v/>
      </c>
      <c r="B226" s="14"/>
      <c r="C226" s="79"/>
      <c r="D226" s="79"/>
      <c r="E226" s="79"/>
      <c r="F226" s="79"/>
      <c r="G226" s="79"/>
      <c r="H226" s="14"/>
      <c r="I226" s="14"/>
      <c r="J226" s="14"/>
      <c r="K226" s="14"/>
      <c r="L226" s="14"/>
      <c r="M226" s="14" t="str">
        <f t="shared" ref="M226:P226" si="227">text(I226,"Rp #,##0")</f>
        <v>Rp 0</v>
      </c>
      <c r="N226" s="14" t="str">
        <f t="shared" si="227"/>
        <v>Rp 0</v>
      </c>
      <c r="O226" s="14" t="str">
        <f t="shared" si="227"/>
        <v>Rp 0</v>
      </c>
      <c r="P226" s="14" t="str">
        <f t="shared" si="227"/>
        <v>Rp 0</v>
      </c>
      <c r="Q226" s="14" t="str">
        <f t="shared" si="4"/>
        <v>Syahriyah = Rp 0
Jariyah = Rp 0
Daftar Ulang = Rp 0
Total = Rp 0
______________________
ID : </v>
      </c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79" t="str">
        <f t="shared" si="2"/>
        <v/>
      </c>
      <c r="B227" s="14"/>
      <c r="C227" s="79"/>
      <c r="D227" s="79"/>
      <c r="E227" s="79"/>
      <c r="F227" s="79"/>
      <c r="G227" s="79"/>
      <c r="H227" s="14"/>
      <c r="I227" s="14"/>
      <c r="J227" s="14"/>
      <c r="K227" s="14"/>
      <c r="L227" s="14"/>
      <c r="M227" s="14" t="str">
        <f t="shared" ref="M227:P227" si="228">text(I227,"Rp #,##0")</f>
        <v>Rp 0</v>
      </c>
      <c r="N227" s="14" t="str">
        <f t="shared" si="228"/>
        <v>Rp 0</v>
      </c>
      <c r="O227" s="14" t="str">
        <f t="shared" si="228"/>
        <v>Rp 0</v>
      </c>
      <c r="P227" s="14" t="str">
        <f t="shared" si="228"/>
        <v>Rp 0</v>
      </c>
      <c r="Q227" s="14" t="str">
        <f t="shared" si="4"/>
        <v>Syahriyah = Rp 0
Jariyah = Rp 0
Daftar Ulang = Rp 0
Total = Rp 0
______________________
ID : </v>
      </c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79" t="str">
        <f t="shared" si="2"/>
        <v/>
      </c>
      <c r="B228" s="14"/>
      <c r="C228" s="79"/>
      <c r="D228" s="79"/>
      <c r="E228" s="79"/>
      <c r="F228" s="79"/>
      <c r="G228" s="79"/>
      <c r="H228" s="14"/>
      <c r="I228" s="14"/>
      <c r="J228" s="14"/>
      <c r="K228" s="14"/>
      <c r="L228" s="14"/>
      <c r="M228" s="14" t="str">
        <f t="shared" ref="M228:P228" si="229">text(I228,"Rp #,##0")</f>
        <v>Rp 0</v>
      </c>
      <c r="N228" s="14" t="str">
        <f t="shared" si="229"/>
        <v>Rp 0</v>
      </c>
      <c r="O228" s="14" t="str">
        <f t="shared" si="229"/>
        <v>Rp 0</v>
      </c>
      <c r="P228" s="14" t="str">
        <f t="shared" si="229"/>
        <v>Rp 0</v>
      </c>
      <c r="Q228" s="14" t="str">
        <f t="shared" si="4"/>
        <v>Syahriyah = Rp 0
Jariyah = Rp 0
Daftar Ulang = Rp 0
Total = Rp 0
______________________
ID : 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79" t="str">
        <f t="shared" si="2"/>
        <v/>
      </c>
      <c r="B229" s="14"/>
      <c r="C229" s="79"/>
      <c r="D229" s="79"/>
      <c r="E229" s="79"/>
      <c r="F229" s="79"/>
      <c r="G229" s="79"/>
      <c r="H229" s="14"/>
      <c r="I229" s="14"/>
      <c r="J229" s="14"/>
      <c r="K229" s="14"/>
      <c r="L229" s="14"/>
      <c r="M229" s="14" t="str">
        <f t="shared" ref="M229:P229" si="230">text(I229,"Rp #,##0")</f>
        <v>Rp 0</v>
      </c>
      <c r="N229" s="14" t="str">
        <f t="shared" si="230"/>
        <v>Rp 0</v>
      </c>
      <c r="O229" s="14" t="str">
        <f t="shared" si="230"/>
        <v>Rp 0</v>
      </c>
      <c r="P229" s="14" t="str">
        <f t="shared" si="230"/>
        <v>Rp 0</v>
      </c>
      <c r="Q229" s="14" t="str">
        <f t="shared" si="4"/>
        <v>Syahriyah = Rp 0
Jariyah = Rp 0
Daftar Ulang = Rp 0
Total = Rp 0
______________________
ID : </v>
      </c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79" t="str">
        <f t="shared" si="2"/>
        <v/>
      </c>
      <c r="B230" s="14"/>
      <c r="C230" s="79"/>
      <c r="D230" s="79"/>
      <c r="E230" s="79"/>
      <c r="F230" s="79"/>
      <c r="G230" s="79"/>
      <c r="H230" s="14"/>
      <c r="I230" s="14"/>
      <c r="J230" s="14"/>
      <c r="K230" s="14"/>
      <c r="L230" s="14"/>
      <c r="M230" s="14" t="str">
        <f t="shared" ref="M230:P230" si="231">text(I230,"Rp #,##0")</f>
        <v>Rp 0</v>
      </c>
      <c r="N230" s="14" t="str">
        <f t="shared" si="231"/>
        <v>Rp 0</v>
      </c>
      <c r="O230" s="14" t="str">
        <f t="shared" si="231"/>
        <v>Rp 0</v>
      </c>
      <c r="P230" s="14" t="str">
        <f t="shared" si="231"/>
        <v>Rp 0</v>
      </c>
      <c r="Q230" s="14" t="str">
        <f t="shared" si="4"/>
        <v>Syahriyah = Rp 0
Jariyah = Rp 0
Daftar Ulang = Rp 0
Total = Rp 0
______________________
ID : </v>
      </c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79" t="str">
        <f t="shared" si="2"/>
        <v/>
      </c>
      <c r="B231" s="14"/>
      <c r="C231" s="79"/>
      <c r="D231" s="79"/>
      <c r="E231" s="79"/>
      <c r="F231" s="79"/>
      <c r="G231" s="79"/>
      <c r="H231" s="14"/>
      <c r="I231" s="14"/>
      <c r="J231" s="14"/>
      <c r="K231" s="14"/>
      <c r="L231" s="14"/>
      <c r="M231" s="14" t="str">
        <f t="shared" ref="M231:P231" si="232">text(I231,"Rp #,##0")</f>
        <v>Rp 0</v>
      </c>
      <c r="N231" s="14" t="str">
        <f t="shared" si="232"/>
        <v>Rp 0</v>
      </c>
      <c r="O231" s="14" t="str">
        <f t="shared" si="232"/>
        <v>Rp 0</v>
      </c>
      <c r="P231" s="14" t="str">
        <f t="shared" si="232"/>
        <v>Rp 0</v>
      </c>
      <c r="Q231" s="14" t="str">
        <f t="shared" si="4"/>
        <v>Syahriyah = Rp 0
Jariyah = Rp 0
Daftar Ulang = Rp 0
Total = Rp 0
______________________
ID : 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79" t="str">
        <f t="shared" si="2"/>
        <v/>
      </c>
      <c r="B232" s="14"/>
      <c r="C232" s="79"/>
      <c r="D232" s="79"/>
      <c r="E232" s="79"/>
      <c r="F232" s="79"/>
      <c r="G232" s="79"/>
      <c r="H232" s="14"/>
      <c r="I232" s="14"/>
      <c r="J232" s="14"/>
      <c r="K232" s="14"/>
      <c r="L232" s="14"/>
      <c r="M232" s="14" t="str">
        <f t="shared" ref="M232:P232" si="233">text(I232,"Rp #,##0")</f>
        <v>Rp 0</v>
      </c>
      <c r="N232" s="14" t="str">
        <f t="shared" si="233"/>
        <v>Rp 0</v>
      </c>
      <c r="O232" s="14" t="str">
        <f t="shared" si="233"/>
        <v>Rp 0</v>
      </c>
      <c r="P232" s="14" t="str">
        <f t="shared" si="233"/>
        <v>Rp 0</v>
      </c>
      <c r="Q232" s="14" t="str">
        <f t="shared" si="4"/>
        <v>Syahriyah = Rp 0
Jariyah = Rp 0
Daftar Ulang = Rp 0
Total = Rp 0
______________________
ID : </v>
      </c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79" t="str">
        <f t="shared" si="2"/>
        <v/>
      </c>
      <c r="B233" s="14"/>
      <c r="C233" s="79"/>
      <c r="D233" s="79"/>
      <c r="E233" s="79"/>
      <c r="F233" s="79"/>
      <c r="G233" s="79"/>
      <c r="H233" s="14"/>
      <c r="I233" s="14"/>
      <c r="J233" s="14"/>
      <c r="K233" s="14"/>
      <c r="L233" s="14"/>
      <c r="M233" s="14" t="str">
        <f t="shared" ref="M233:P233" si="234">text(I233,"Rp #,##0")</f>
        <v>Rp 0</v>
      </c>
      <c r="N233" s="14" t="str">
        <f t="shared" si="234"/>
        <v>Rp 0</v>
      </c>
      <c r="O233" s="14" t="str">
        <f t="shared" si="234"/>
        <v>Rp 0</v>
      </c>
      <c r="P233" s="14" t="str">
        <f t="shared" si="234"/>
        <v>Rp 0</v>
      </c>
      <c r="Q233" s="14" t="str">
        <f t="shared" si="4"/>
        <v>Syahriyah = Rp 0
Jariyah = Rp 0
Daftar Ulang = Rp 0
Total = Rp 0
______________________
ID : </v>
      </c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79" t="str">
        <f t="shared" si="2"/>
        <v/>
      </c>
      <c r="B234" s="14"/>
      <c r="C234" s="79"/>
      <c r="D234" s="79"/>
      <c r="E234" s="79"/>
      <c r="F234" s="79"/>
      <c r="G234" s="79"/>
      <c r="H234" s="14"/>
      <c r="I234" s="14"/>
      <c r="J234" s="14"/>
      <c r="K234" s="14"/>
      <c r="L234" s="14"/>
      <c r="M234" s="14" t="str">
        <f t="shared" ref="M234:P234" si="235">text(I234,"Rp #,##0")</f>
        <v>Rp 0</v>
      </c>
      <c r="N234" s="14" t="str">
        <f t="shared" si="235"/>
        <v>Rp 0</v>
      </c>
      <c r="O234" s="14" t="str">
        <f t="shared" si="235"/>
        <v>Rp 0</v>
      </c>
      <c r="P234" s="14" t="str">
        <f t="shared" si="235"/>
        <v>Rp 0</v>
      </c>
      <c r="Q234" s="14" t="str">
        <f t="shared" si="4"/>
        <v>Syahriyah = Rp 0
Jariyah = Rp 0
Daftar Ulang = Rp 0
Total = Rp 0
______________________
ID : </v>
      </c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79" t="str">
        <f t="shared" si="2"/>
        <v/>
      </c>
      <c r="B235" s="14"/>
      <c r="C235" s="79"/>
      <c r="D235" s="79"/>
      <c r="E235" s="79"/>
      <c r="F235" s="79"/>
      <c r="G235" s="79"/>
      <c r="H235" s="14"/>
      <c r="I235" s="14"/>
      <c r="J235" s="14"/>
      <c r="K235" s="14"/>
      <c r="L235" s="14"/>
      <c r="M235" s="14" t="str">
        <f t="shared" ref="M235:P235" si="236">text(I235,"Rp #,##0")</f>
        <v>Rp 0</v>
      </c>
      <c r="N235" s="14" t="str">
        <f t="shared" si="236"/>
        <v>Rp 0</v>
      </c>
      <c r="O235" s="14" t="str">
        <f t="shared" si="236"/>
        <v>Rp 0</v>
      </c>
      <c r="P235" s="14" t="str">
        <f t="shared" si="236"/>
        <v>Rp 0</v>
      </c>
      <c r="Q235" s="14" t="str">
        <f t="shared" si="4"/>
        <v>Syahriyah = Rp 0
Jariyah = Rp 0
Daftar Ulang = Rp 0
Total = Rp 0
______________________
ID : </v>
      </c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79" t="str">
        <f t="shared" si="2"/>
        <v/>
      </c>
      <c r="B236" s="14"/>
      <c r="C236" s="79"/>
      <c r="D236" s="79"/>
      <c r="E236" s="79"/>
      <c r="F236" s="79"/>
      <c r="G236" s="79"/>
      <c r="H236" s="14"/>
      <c r="I236" s="14"/>
      <c r="J236" s="14"/>
      <c r="K236" s="14"/>
      <c r="L236" s="14"/>
      <c r="M236" s="14" t="str">
        <f t="shared" ref="M236:P236" si="237">text(I236,"Rp #,##0")</f>
        <v>Rp 0</v>
      </c>
      <c r="N236" s="14" t="str">
        <f t="shared" si="237"/>
        <v>Rp 0</v>
      </c>
      <c r="O236" s="14" t="str">
        <f t="shared" si="237"/>
        <v>Rp 0</v>
      </c>
      <c r="P236" s="14" t="str">
        <f t="shared" si="237"/>
        <v>Rp 0</v>
      </c>
      <c r="Q236" s="14" t="str">
        <f t="shared" si="4"/>
        <v>Syahriyah = Rp 0
Jariyah = Rp 0
Daftar Ulang = Rp 0
Total = Rp 0
______________________
ID : </v>
      </c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79" t="str">
        <f t="shared" si="2"/>
        <v/>
      </c>
      <c r="B237" s="14"/>
      <c r="C237" s="79"/>
      <c r="D237" s="79"/>
      <c r="E237" s="79"/>
      <c r="F237" s="79"/>
      <c r="G237" s="79"/>
      <c r="H237" s="14"/>
      <c r="I237" s="14"/>
      <c r="J237" s="14"/>
      <c r="K237" s="14"/>
      <c r="L237" s="14"/>
      <c r="M237" s="14" t="str">
        <f t="shared" ref="M237:P237" si="238">text(I237,"Rp #,##0")</f>
        <v>Rp 0</v>
      </c>
      <c r="N237" s="14" t="str">
        <f t="shared" si="238"/>
        <v>Rp 0</v>
      </c>
      <c r="O237" s="14" t="str">
        <f t="shared" si="238"/>
        <v>Rp 0</v>
      </c>
      <c r="P237" s="14" t="str">
        <f t="shared" si="238"/>
        <v>Rp 0</v>
      </c>
      <c r="Q237" s="14" t="str">
        <f t="shared" si="4"/>
        <v>Syahriyah = Rp 0
Jariyah = Rp 0
Daftar Ulang = Rp 0
Total = Rp 0
______________________
ID : </v>
      </c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79" t="str">
        <f t="shared" si="2"/>
        <v/>
      </c>
      <c r="B238" s="14"/>
      <c r="C238" s="79"/>
      <c r="D238" s="79"/>
      <c r="E238" s="79"/>
      <c r="F238" s="79"/>
      <c r="G238" s="79"/>
      <c r="H238" s="14"/>
      <c r="I238" s="14"/>
      <c r="J238" s="14"/>
      <c r="K238" s="14"/>
      <c r="L238" s="14"/>
      <c r="M238" s="14" t="str">
        <f t="shared" ref="M238:P238" si="239">text(I238,"Rp #,##0")</f>
        <v>Rp 0</v>
      </c>
      <c r="N238" s="14" t="str">
        <f t="shared" si="239"/>
        <v>Rp 0</v>
      </c>
      <c r="O238" s="14" t="str">
        <f t="shared" si="239"/>
        <v>Rp 0</v>
      </c>
      <c r="P238" s="14" t="str">
        <f t="shared" si="239"/>
        <v>Rp 0</v>
      </c>
      <c r="Q238" s="14" t="str">
        <f t="shared" si="4"/>
        <v>Syahriyah = Rp 0
Jariyah = Rp 0
Daftar Ulang = Rp 0
Total = Rp 0
______________________
ID : </v>
      </c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79" t="str">
        <f t="shared" si="2"/>
        <v/>
      </c>
      <c r="B239" s="14"/>
      <c r="C239" s="79"/>
      <c r="D239" s="79"/>
      <c r="E239" s="79"/>
      <c r="F239" s="79"/>
      <c r="G239" s="79"/>
      <c r="H239" s="14"/>
      <c r="I239" s="14"/>
      <c r="J239" s="14"/>
      <c r="K239" s="14"/>
      <c r="L239" s="14"/>
      <c r="M239" s="14" t="str">
        <f t="shared" ref="M239:P239" si="240">text(I239,"Rp #,##0")</f>
        <v>Rp 0</v>
      </c>
      <c r="N239" s="14" t="str">
        <f t="shared" si="240"/>
        <v>Rp 0</v>
      </c>
      <c r="O239" s="14" t="str">
        <f t="shared" si="240"/>
        <v>Rp 0</v>
      </c>
      <c r="P239" s="14" t="str">
        <f t="shared" si="240"/>
        <v>Rp 0</v>
      </c>
      <c r="Q239" s="14" t="str">
        <f t="shared" si="4"/>
        <v>Syahriyah = Rp 0
Jariyah = Rp 0
Daftar Ulang = Rp 0
Total = Rp 0
______________________
ID : </v>
      </c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79" t="str">
        <f t="shared" si="2"/>
        <v/>
      </c>
      <c r="B240" s="14"/>
      <c r="C240" s="79"/>
      <c r="D240" s="79"/>
      <c r="E240" s="79"/>
      <c r="F240" s="79"/>
      <c r="G240" s="79"/>
      <c r="H240" s="14"/>
      <c r="I240" s="14"/>
      <c r="J240" s="14"/>
      <c r="K240" s="14"/>
      <c r="L240" s="14"/>
      <c r="M240" s="14" t="str">
        <f t="shared" ref="M240:P240" si="241">text(I240,"Rp #,##0")</f>
        <v>Rp 0</v>
      </c>
      <c r="N240" s="14" t="str">
        <f t="shared" si="241"/>
        <v>Rp 0</v>
      </c>
      <c r="O240" s="14" t="str">
        <f t="shared" si="241"/>
        <v>Rp 0</v>
      </c>
      <c r="P240" s="14" t="str">
        <f t="shared" si="241"/>
        <v>Rp 0</v>
      </c>
      <c r="Q240" s="14" t="str">
        <f t="shared" si="4"/>
        <v>Syahriyah = Rp 0
Jariyah = Rp 0
Daftar Ulang = Rp 0
Total = Rp 0
______________________
ID : </v>
      </c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79" t="str">
        <f t="shared" si="2"/>
        <v/>
      </c>
      <c r="B241" s="14"/>
      <c r="C241" s="79"/>
      <c r="D241" s="79"/>
      <c r="E241" s="79"/>
      <c r="F241" s="79"/>
      <c r="G241" s="79"/>
      <c r="H241" s="14"/>
      <c r="I241" s="14"/>
      <c r="J241" s="14"/>
      <c r="K241" s="14"/>
      <c r="L241" s="14"/>
      <c r="M241" s="14" t="str">
        <f t="shared" ref="M241:P241" si="242">text(I241,"Rp #,##0")</f>
        <v>Rp 0</v>
      </c>
      <c r="N241" s="14" t="str">
        <f t="shared" si="242"/>
        <v>Rp 0</v>
      </c>
      <c r="O241" s="14" t="str">
        <f t="shared" si="242"/>
        <v>Rp 0</v>
      </c>
      <c r="P241" s="14" t="str">
        <f t="shared" si="242"/>
        <v>Rp 0</v>
      </c>
      <c r="Q241" s="14" t="str">
        <f t="shared" si="4"/>
        <v>Syahriyah = Rp 0
Jariyah = Rp 0
Daftar Ulang = Rp 0
Total = Rp 0
______________________
ID : </v>
      </c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79" t="str">
        <f t="shared" si="2"/>
        <v/>
      </c>
      <c r="B242" s="14"/>
      <c r="C242" s="79"/>
      <c r="D242" s="79"/>
      <c r="E242" s="79"/>
      <c r="F242" s="79"/>
      <c r="G242" s="79"/>
      <c r="H242" s="14"/>
      <c r="I242" s="14"/>
      <c r="J242" s="14"/>
      <c r="K242" s="14"/>
      <c r="L242" s="14"/>
      <c r="M242" s="14" t="str">
        <f t="shared" ref="M242:P242" si="243">text(I242,"Rp #,##0")</f>
        <v>Rp 0</v>
      </c>
      <c r="N242" s="14" t="str">
        <f t="shared" si="243"/>
        <v>Rp 0</v>
      </c>
      <c r="O242" s="14" t="str">
        <f t="shared" si="243"/>
        <v>Rp 0</v>
      </c>
      <c r="P242" s="14" t="str">
        <f t="shared" si="243"/>
        <v>Rp 0</v>
      </c>
      <c r="Q242" s="14" t="str">
        <f t="shared" si="4"/>
        <v>Syahriyah = Rp 0
Jariyah = Rp 0
Daftar Ulang = Rp 0
Total = Rp 0
______________________
ID : </v>
      </c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79" t="str">
        <f t="shared" si="2"/>
        <v/>
      </c>
      <c r="B243" s="14"/>
      <c r="C243" s="79"/>
      <c r="D243" s="79"/>
      <c r="E243" s="79"/>
      <c r="F243" s="79"/>
      <c r="G243" s="79"/>
      <c r="H243" s="14"/>
      <c r="I243" s="14"/>
      <c r="J243" s="14"/>
      <c r="K243" s="14"/>
      <c r="L243" s="14"/>
      <c r="M243" s="14" t="str">
        <f t="shared" ref="M243:P243" si="244">text(I243,"Rp #,##0")</f>
        <v>Rp 0</v>
      </c>
      <c r="N243" s="14" t="str">
        <f t="shared" si="244"/>
        <v>Rp 0</v>
      </c>
      <c r="O243" s="14" t="str">
        <f t="shared" si="244"/>
        <v>Rp 0</v>
      </c>
      <c r="P243" s="14" t="str">
        <f t="shared" si="244"/>
        <v>Rp 0</v>
      </c>
      <c r="Q243" s="14" t="str">
        <f t="shared" si="4"/>
        <v>Syahriyah = Rp 0
Jariyah = Rp 0
Daftar Ulang = Rp 0
Total = Rp 0
______________________
ID : </v>
      </c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79" t="str">
        <f t="shared" si="2"/>
        <v/>
      </c>
      <c r="B244" s="14"/>
      <c r="C244" s="79"/>
      <c r="D244" s="79"/>
      <c r="E244" s="79"/>
      <c r="F244" s="79"/>
      <c r="G244" s="79"/>
      <c r="H244" s="14"/>
      <c r="I244" s="14"/>
      <c r="J244" s="14"/>
      <c r="K244" s="14"/>
      <c r="L244" s="14"/>
      <c r="M244" s="14" t="str">
        <f t="shared" ref="M244:P244" si="245">text(I244,"Rp #,##0")</f>
        <v>Rp 0</v>
      </c>
      <c r="N244" s="14" t="str">
        <f t="shared" si="245"/>
        <v>Rp 0</v>
      </c>
      <c r="O244" s="14" t="str">
        <f t="shared" si="245"/>
        <v>Rp 0</v>
      </c>
      <c r="P244" s="14" t="str">
        <f t="shared" si="245"/>
        <v>Rp 0</v>
      </c>
      <c r="Q244" s="14" t="str">
        <f t="shared" si="4"/>
        <v>Syahriyah = Rp 0
Jariyah = Rp 0
Daftar Ulang = Rp 0
Total = Rp 0
______________________
ID : </v>
      </c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79" t="str">
        <f t="shared" si="2"/>
        <v/>
      </c>
      <c r="B245" s="14"/>
      <c r="C245" s="79"/>
      <c r="D245" s="79"/>
      <c r="E245" s="79"/>
      <c r="F245" s="79"/>
      <c r="G245" s="79"/>
      <c r="H245" s="14"/>
      <c r="I245" s="14"/>
      <c r="J245" s="14"/>
      <c r="K245" s="14"/>
      <c r="L245" s="14"/>
      <c r="M245" s="14" t="str">
        <f t="shared" ref="M245:P245" si="246">text(I245,"Rp #,##0")</f>
        <v>Rp 0</v>
      </c>
      <c r="N245" s="14" t="str">
        <f t="shared" si="246"/>
        <v>Rp 0</v>
      </c>
      <c r="O245" s="14" t="str">
        <f t="shared" si="246"/>
        <v>Rp 0</v>
      </c>
      <c r="P245" s="14" t="str">
        <f t="shared" si="246"/>
        <v>Rp 0</v>
      </c>
      <c r="Q245" s="14" t="str">
        <f t="shared" si="4"/>
        <v>Syahriyah = Rp 0
Jariyah = Rp 0
Daftar Ulang = Rp 0
Total = Rp 0
______________________
ID : </v>
      </c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79" t="str">
        <f t="shared" si="2"/>
        <v/>
      </c>
      <c r="B246" s="14"/>
      <c r="C246" s="79"/>
      <c r="D246" s="79"/>
      <c r="E246" s="79"/>
      <c r="F246" s="79"/>
      <c r="G246" s="79"/>
      <c r="H246" s="14"/>
      <c r="I246" s="14"/>
      <c r="J246" s="14"/>
      <c r="K246" s="14"/>
      <c r="L246" s="14"/>
      <c r="M246" s="14" t="str">
        <f t="shared" ref="M246:P246" si="247">text(I246,"Rp #,##0")</f>
        <v>Rp 0</v>
      </c>
      <c r="N246" s="14" t="str">
        <f t="shared" si="247"/>
        <v>Rp 0</v>
      </c>
      <c r="O246" s="14" t="str">
        <f t="shared" si="247"/>
        <v>Rp 0</v>
      </c>
      <c r="P246" s="14" t="str">
        <f t="shared" si="247"/>
        <v>Rp 0</v>
      </c>
      <c r="Q246" s="14" t="str">
        <f t="shared" si="4"/>
        <v>Syahriyah = Rp 0
Jariyah = Rp 0
Daftar Ulang = Rp 0
Total = Rp 0
______________________
ID : </v>
      </c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79" t="str">
        <f t="shared" si="2"/>
        <v/>
      </c>
      <c r="B247" s="14"/>
      <c r="C247" s="79"/>
      <c r="D247" s="79"/>
      <c r="E247" s="79"/>
      <c r="F247" s="79"/>
      <c r="G247" s="79"/>
      <c r="H247" s="14"/>
      <c r="I247" s="14"/>
      <c r="J247" s="14"/>
      <c r="K247" s="14"/>
      <c r="L247" s="14"/>
      <c r="M247" s="14" t="str">
        <f t="shared" ref="M247:P247" si="248">text(I247,"Rp #,##0")</f>
        <v>Rp 0</v>
      </c>
      <c r="N247" s="14" t="str">
        <f t="shared" si="248"/>
        <v>Rp 0</v>
      </c>
      <c r="O247" s="14" t="str">
        <f t="shared" si="248"/>
        <v>Rp 0</v>
      </c>
      <c r="P247" s="14" t="str">
        <f t="shared" si="248"/>
        <v>Rp 0</v>
      </c>
      <c r="Q247" s="14" t="str">
        <f t="shared" si="4"/>
        <v>Syahriyah = Rp 0
Jariyah = Rp 0
Daftar Ulang = Rp 0
Total = Rp 0
______________________
ID : </v>
      </c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79" t="str">
        <f t="shared" si="2"/>
        <v/>
      </c>
      <c r="B248" s="14"/>
      <c r="C248" s="79"/>
      <c r="D248" s="79"/>
      <c r="E248" s="79"/>
      <c r="F248" s="79"/>
      <c r="G248" s="79"/>
      <c r="H248" s="14"/>
      <c r="I248" s="14"/>
      <c r="J248" s="14"/>
      <c r="K248" s="14"/>
      <c r="L248" s="14"/>
      <c r="M248" s="14" t="str">
        <f t="shared" ref="M248:P248" si="249">text(I248,"Rp #,##0")</f>
        <v>Rp 0</v>
      </c>
      <c r="N248" s="14" t="str">
        <f t="shared" si="249"/>
        <v>Rp 0</v>
      </c>
      <c r="O248" s="14" t="str">
        <f t="shared" si="249"/>
        <v>Rp 0</v>
      </c>
      <c r="P248" s="14" t="str">
        <f t="shared" si="249"/>
        <v>Rp 0</v>
      </c>
      <c r="Q248" s="14" t="str">
        <f t="shared" si="4"/>
        <v>Syahriyah = Rp 0
Jariyah = Rp 0
Daftar Ulang = Rp 0
Total = Rp 0
______________________
ID : </v>
      </c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79" t="str">
        <f t="shared" si="2"/>
        <v/>
      </c>
      <c r="B249" s="14"/>
      <c r="C249" s="79"/>
      <c r="D249" s="79"/>
      <c r="E249" s="79"/>
      <c r="F249" s="79"/>
      <c r="G249" s="79"/>
      <c r="H249" s="14"/>
      <c r="I249" s="14"/>
      <c r="J249" s="14"/>
      <c r="K249" s="14"/>
      <c r="L249" s="14"/>
      <c r="M249" s="14" t="str">
        <f t="shared" ref="M249:P249" si="250">text(I249,"Rp #,##0")</f>
        <v>Rp 0</v>
      </c>
      <c r="N249" s="14" t="str">
        <f t="shared" si="250"/>
        <v>Rp 0</v>
      </c>
      <c r="O249" s="14" t="str">
        <f t="shared" si="250"/>
        <v>Rp 0</v>
      </c>
      <c r="P249" s="14" t="str">
        <f t="shared" si="250"/>
        <v>Rp 0</v>
      </c>
      <c r="Q249" s="14" t="str">
        <f t="shared" si="4"/>
        <v>Syahriyah = Rp 0
Jariyah = Rp 0
Daftar Ulang = Rp 0
Total = Rp 0
______________________
ID : </v>
      </c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79" t="str">
        <f t="shared" si="2"/>
        <v/>
      </c>
      <c r="B250" s="14"/>
      <c r="C250" s="79"/>
      <c r="D250" s="79"/>
      <c r="E250" s="79"/>
      <c r="F250" s="79"/>
      <c r="G250" s="79"/>
      <c r="H250" s="14"/>
      <c r="I250" s="14"/>
      <c r="J250" s="14"/>
      <c r="K250" s="14"/>
      <c r="L250" s="14"/>
      <c r="M250" s="14" t="str">
        <f t="shared" ref="M250:P250" si="251">text(I250,"Rp #,##0")</f>
        <v>Rp 0</v>
      </c>
      <c r="N250" s="14" t="str">
        <f t="shared" si="251"/>
        <v>Rp 0</v>
      </c>
      <c r="O250" s="14" t="str">
        <f t="shared" si="251"/>
        <v>Rp 0</v>
      </c>
      <c r="P250" s="14" t="str">
        <f t="shared" si="251"/>
        <v>Rp 0</v>
      </c>
      <c r="Q250" s="14" t="str">
        <f t="shared" si="4"/>
        <v>Syahriyah = Rp 0
Jariyah = Rp 0
Daftar Ulang = Rp 0
Total = Rp 0
______________________
ID : </v>
      </c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79" t="str">
        <f t="shared" si="2"/>
        <v/>
      </c>
      <c r="B251" s="14"/>
      <c r="C251" s="79"/>
      <c r="D251" s="79"/>
      <c r="E251" s="79"/>
      <c r="F251" s="79"/>
      <c r="G251" s="79"/>
      <c r="H251" s="14"/>
      <c r="I251" s="14"/>
      <c r="J251" s="14"/>
      <c r="K251" s="14"/>
      <c r="L251" s="14"/>
      <c r="M251" s="14" t="str">
        <f t="shared" ref="M251:P251" si="252">text(I251,"Rp #,##0")</f>
        <v>Rp 0</v>
      </c>
      <c r="N251" s="14" t="str">
        <f t="shared" si="252"/>
        <v>Rp 0</v>
      </c>
      <c r="O251" s="14" t="str">
        <f t="shared" si="252"/>
        <v>Rp 0</v>
      </c>
      <c r="P251" s="14" t="str">
        <f t="shared" si="252"/>
        <v>Rp 0</v>
      </c>
      <c r="Q251" s="14" t="str">
        <f t="shared" si="4"/>
        <v>Syahriyah = Rp 0
Jariyah = Rp 0
Daftar Ulang = Rp 0
Total = Rp 0
______________________
ID : </v>
      </c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79" t="str">
        <f t="shared" si="2"/>
        <v/>
      </c>
      <c r="B252" s="14"/>
      <c r="C252" s="79"/>
      <c r="D252" s="79"/>
      <c r="E252" s="79"/>
      <c r="F252" s="79"/>
      <c r="G252" s="79"/>
      <c r="H252" s="14"/>
      <c r="I252" s="14"/>
      <c r="J252" s="14"/>
      <c r="K252" s="14"/>
      <c r="L252" s="14"/>
      <c r="M252" s="14" t="str">
        <f t="shared" ref="M252:P252" si="253">text(I252,"Rp #,##0")</f>
        <v>Rp 0</v>
      </c>
      <c r="N252" s="14" t="str">
        <f t="shared" si="253"/>
        <v>Rp 0</v>
      </c>
      <c r="O252" s="14" t="str">
        <f t="shared" si="253"/>
        <v>Rp 0</v>
      </c>
      <c r="P252" s="14" t="str">
        <f t="shared" si="253"/>
        <v>Rp 0</v>
      </c>
      <c r="Q252" s="14" t="str">
        <f t="shared" si="4"/>
        <v>Syahriyah = Rp 0
Jariyah = Rp 0
Daftar Ulang = Rp 0
Total = Rp 0
______________________
ID : </v>
      </c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79" t="str">
        <f t="shared" si="2"/>
        <v/>
      </c>
      <c r="B253" s="14"/>
      <c r="C253" s="79"/>
      <c r="D253" s="79"/>
      <c r="E253" s="79"/>
      <c r="F253" s="79"/>
      <c r="G253" s="79"/>
      <c r="H253" s="14"/>
      <c r="I253" s="14"/>
      <c r="J253" s="14"/>
      <c r="K253" s="14"/>
      <c r="L253" s="14"/>
      <c r="M253" s="14" t="str">
        <f t="shared" ref="M253:P253" si="254">text(I253,"Rp #,##0")</f>
        <v>Rp 0</v>
      </c>
      <c r="N253" s="14" t="str">
        <f t="shared" si="254"/>
        <v>Rp 0</v>
      </c>
      <c r="O253" s="14" t="str">
        <f t="shared" si="254"/>
        <v>Rp 0</v>
      </c>
      <c r="P253" s="14" t="str">
        <f t="shared" si="254"/>
        <v>Rp 0</v>
      </c>
      <c r="Q253" s="14" t="str">
        <f t="shared" si="4"/>
        <v>Syahriyah = Rp 0
Jariyah = Rp 0
Daftar Ulang = Rp 0
Total = Rp 0
______________________
ID : </v>
      </c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79" t="str">
        <f t="shared" si="2"/>
        <v/>
      </c>
      <c r="B254" s="14"/>
      <c r="C254" s="79"/>
      <c r="D254" s="79"/>
      <c r="E254" s="79"/>
      <c r="F254" s="79"/>
      <c r="G254" s="79"/>
      <c r="H254" s="14"/>
      <c r="I254" s="14"/>
      <c r="J254" s="14"/>
      <c r="K254" s="14"/>
      <c r="L254" s="14"/>
      <c r="M254" s="14" t="str">
        <f t="shared" ref="M254:P254" si="255">text(I254,"Rp #,##0")</f>
        <v>Rp 0</v>
      </c>
      <c r="N254" s="14" t="str">
        <f t="shared" si="255"/>
        <v>Rp 0</v>
      </c>
      <c r="O254" s="14" t="str">
        <f t="shared" si="255"/>
        <v>Rp 0</v>
      </c>
      <c r="P254" s="14" t="str">
        <f t="shared" si="255"/>
        <v>Rp 0</v>
      </c>
      <c r="Q254" s="14" t="str">
        <f t="shared" si="4"/>
        <v>Syahriyah = Rp 0
Jariyah = Rp 0
Daftar Ulang = Rp 0
Total = Rp 0
______________________
ID : </v>
      </c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79" t="str">
        <f t="shared" si="2"/>
        <v/>
      </c>
      <c r="B255" s="14"/>
      <c r="C255" s="79"/>
      <c r="D255" s="79"/>
      <c r="E255" s="79"/>
      <c r="F255" s="79"/>
      <c r="G255" s="79"/>
      <c r="H255" s="14"/>
      <c r="I255" s="14"/>
      <c r="J255" s="14"/>
      <c r="K255" s="14"/>
      <c r="L255" s="14"/>
      <c r="M255" s="14" t="str">
        <f t="shared" ref="M255:P255" si="256">text(I255,"Rp #,##0")</f>
        <v>Rp 0</v>
      </c>
      <c r="N255" s="14" t="str">
        <f t="shared" si="256"/>
        <v>Rp 0</v>
      </c>
      <c r="O255" s="14" t="str">
        <f t="shared" si="256"/>
        <v>Rp 0</v>
      </c>
      <c r="P255" s="14" t="str">
        <f t="shared" si="256"/>
        <v>Rp 0</v>
      </c>
      <c r="Q255" s="14" t="str">
        <f t="shared" si="4"/>
        <v>Syahriyah = Rp 0
Jariyah = Rp 0
Daftar Ulang = Rp 0
Total = Rp 0
______________________
ID : </v>
      </c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79" t="str">
        <f t="shared" si="2"/>
        <v/>
      </c>
      <c r="B256" s="14"/>
      <c r="C256" s="79"/>
      <c r="D256" s="79"/>
      <c r="E256" s="79"/>
      <c r="F256" s="79"/>
      <c r="G256" s="79"/>
      <c r="H256" s="14"/>
      <c r="I256" s="14"/>
      <c r="J256" s="14"/>
      <c r="K256" s="14"/>
      <c r="L256" s="14"/>
      <c r="M256" s="14" t="str">
        <f t="shared" ref="M256:P256" si="257">text(I256,"Rp #,##0")</f>
        <v>Rp 0</v>
      </c>
      <c r="N256" s="14" t="str">
        <f t="shared" si="257"/>
        <v>Rp 0</v>
      </c>
      <c r="O256" s="14" t="str">
        <f t="shared" si="257"/>
        <v>Rp 0</v>
      </c>
      <c r="P256" s="14" t="str">
        <f t="shared" si="257"/>
        <v>Rp 0</v>
      </c>
      <c r="Q256" s="14" t="str">
        <f t="shared" si="4"/>
        <v>Syahriyah = Rp 0
Jariyah = Rp 0
Daftar Ulang = Rp 0
Total = Rp 0
______________________
ID : </v>
      </c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79" t="str">
        <f t="shared" si="2"/>
        <v/>
      </c>
      <c r="B257" s="14"/>
      <c r="C257" s="79"/>
      <c r="D257" s="79"/>
      <c r="E257" s="79"/>
      <c r="F257" s="79"/>
      <c r="G257" s="79"/>
      <c r="H257" s="14"/>
      <c r="I257" s="14"/>
      <c r="J257" s="14"/>
      <c r="K257" s="14"/>
      <c r="L257" s="14"/>
      <c r="M257" s="14" t="str">
        <f t="shared" ref="M257:P257" si="258">text(I257,"Rp #,##0")</f>
        <v>Rp 0</v>
      </c>
      <c r="N257" s="14" t="str">
        <f t="shared" si="258"/>
        <v>Rp 0</v>
      </c>
      <c r="O257" s="14" t="str">
        <f t="shared" si="258"/>
        <v>Rp 0</v>
      </c>
      <c r="P257" s="14" t="str">
        <f t="shared" si="258"/>
        <v>Rp 0</v>
      </c>
      <c r="Q257" s="14" t="str">
        <f t="shared" si="4"/>
        <v>Syahriyah = Rp 0
Jariyah = Rp 0
Daftar Ulang = Rp 0
Total = Rp 0
______________________
ID : </v>
      </c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79" t="str">
        <f t="shared" si="2"/>
        <v/>
      </c>
      <c r="B258" s="14"/>
      <c r="C258" s="79"/>
      <c r="D258" s="79"/>
      <c r="E258" s="79"/>
      <c r="F258" s="79"/>
      <c r="G258" s="79"/>
      <c r="H258" s="14"/>
      <c r="I258" s="14"/>
      <c r="J258" s="14"/>
      <c r="K258" s="14"/>
      <c r="L258" s="14"/>
      <c r="M258" s="14" t="str">
        <f t="shared" ref="M258:P258" si="259">text(I258,"Rp #,##0")</f>
        <v>Rp 0</v>
      </c>
      <c r="N258" s="14" t="str">
        <f t="shared" si="259"/>
        <v>Rp 0</v>
      </c>
      <c r="O258" s="14" t="str">
        <f t="shared" si="259"/>
        <v>Rp 0</v>
      </c>
      <c r="P258" s="14" t="str">
        <f t="shared" si="259"/>
        <v>Rp 0</v>
      </c>
      <c r="Q258" s="14" t="str">
        <f t="shared" si="4"/>
        <v>Syahriyah = Rp 0
Jariyah = Rp 0
Daftar Ulang = Rp 0
Total = Rp 0
______________________
ID : </v>
      </c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79" t="str">
        <f t="shared" si="2"/>
        <v/>
      </c>
      <c r="B259" s="14"/>
      <c r="C259" s="79"/>
      <c r="D259" s="79"/>
      <c r="E259" s="79"/>
      <c r="F259" s="79"/>
      <c r="G259" s="79"/>
      <c r="H259" s="14"/>
      <c r="I259" s="14"/>
      <c r="J259" s="14"/>
      <c r="K259" s="14"/>
      <c r="L259" s="14"/>
      <c r="M259" s="14" t="str">
        <f t="shared" ref="M259:P259" si="260">text(I259,"Rp #,##0")</f>
        <v>Rp 0</v>
      </c>
      <c r="N259" s="14" t="str">
        <f t="shared" si="260"/>
        <v>Rp 0</v>
      </c>
      <c r="O259" s="14" t="str">
        <f t="shared" si="260"/>
        <v>Rp 0</v>
      </c>
      <c r="P259" s="14" t="str">
        <f t="shared" si="260"/>
        <v>Rp 0</v>
      </c>
      <c r="Q259" s="14" t="str">
        <f t="shared" si="4"/>
        <v>Syahriyah = Rp 0
Jariyah = Rp 0
Daftar Ulang = Rp 0
Total = Rp 0
______________________
ID : </v>
      </c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79" t="str">
        <f t="shared" si="2"/>
        <v/>
      </c>
      <c r="B260" s="14"/>
      <c r="C260" s="79"/>
      <c r="D260" s="79"/>
      <c r="E260" s="79"/>
      <c r="F260" s="79"/>
      <c r="G260" s="79"/>
      <c r="H260" s="14"/>
      <c r="I260" s="14"/>
      <c r="J260" s="14"/>
      <c r="K260" s="14"/>
      <c r="L260" s="14"/>
      <c r="M260" s="14" t="str">
        <f t="shared" ref="M260:P260" si="261">text(I260,"Rp #,##0")</f>
        <v>Rp 0</v>
      </c>
      <c r="N260" s="14" t="str">
        <f t="shared" si="261"/>
        <v>Rp 0</v>
      </c>
      <c r="O260" s="14" t="str">
        <f t="shared" si="261"/>
        <v>Rp 0</v>
      </c>
      <c r="P260" s="14" t="str">
        <f t="shared" si="261"/>
        <v>Rp 0</v>
      </c>
      <c r="Q260" s="14" t="str">
        <f t="shared" si="4"/>
        <v>Syahriyah = Rp 0
Jariyah = Rp 0
Daftar Ulang = Rp 0
Total = Rp 0
______________________
ID : </v>
      </c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79" t="str">
        <f t="shared" si="2"/>
        <v/>
      </c>
      <c r="B261" s="14"/>
      <c r="C261" s="79"/>
      <c r="D261" s="79"/>
      <c r="E261" s="79"/>
      <c r="F261" s="79"/>
      <c r="G261" s="79"/>
      <c r="H261" s="14"/>
      <c r="I261" s="14"/>
      <c r="J261" s="14"/>
      <c r="K261" s="14"/>
      <c r="L261" s="14"/>
      <c r="M261" s="14" t="str">
        <f t="shared" ref="M261:P261" si="262">text(I261,"Rp #,##0")</f>
        <v>Rp 0</v>
      </c>
      <c r="N261" s="14" t="str">
        <f t="shared" si="262"/>
        <v>Rp 0</v>
      </c>
      <c r="O261" s="14" t="str">
        <f t="shared" si="262"/>
        <v>Rp 0</v>
      </c>
      <c r="P261" s="14" t="str">
        <f t="shared" si="262"/>
        <v>Rp 0</v>
      </c>
      <c r="Q261" s="14" t="str">
        <f t="shared" si="4"/>
        <v>Syahriyah = Rp 0
Jariyah = Rp 0
Daftar Ulang = Rp 0
Total = Rp 0
______________________
ID : 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79" t="str">
        <f t="shared" si="2"/>
        <v/>
      </c>
      <c r="B262" s="14"/>
      <c r="C262" s="79"/>
      <c r="D262" s="79"/>
      <c r="E262" s="79"/>
      <c r="F262" s="79"/>
      <c r="G262" s="79"/>
      <c r="H262" s="14"/>
      <c r="I262" s="14"/>
      <c r="J262" s="14"/>
      <c r="K262" s="14"/>
      <c r="L262" s="14"/>
      <c r="M262" s="14" t="str">
        <f t="shared" ref="M262:P262" si="263">text(I262,"Rp #,##0")</f>
        <v>Rp 0</v>
      </c>
      <c r="N262" s="14" t="str">
        <f t="shared" si="263"/>
        <v>Rp 0</v>
      </c>
      <c r="O262" s="14" t="str">
        <f t="shared" si="263"/>
        <v>Rp 0</v>
      </c>
      <c r="P262" s="14" t="str">
        <f t="shared" si="263"/>
        <v>Rp 0</v>
      </c>
      <c r="Q262" s="14" t="str">
        <f t="shared" si="4"/>
        <v>Syahriyah = Rp 0
Jariyah = Rp 0
Daftar Ulang = Rp 0
Total = Rp 0
______________________
ID : 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79" t="str">
        <f t="shared" si="2"/>
        <v/>
      </c>
      <c r="B263" s="14"/>
      <c r="C263" s="79"/>
      <c r="D263" s="79"/>
      <c r="E263" s="79"/>
      <c r="F263" s="79"/>
      <c r="G263" s="79"/>
      <c r="H263" s="14"/>
      <c r="I263" s="14"/>
      <c r="J263" s="14"/>
      <c r="K263" s="14"/>
      <c r="L263" s="14"/>
      <c r="M263" s="14" t="str">
        <f t="shared" ref="M263:P263" si="264">text(I263,"Rp #,##0")</f>
        <v>Rp 0</v>
      </c>
      <c r="N263" s="14" t="str">
        <f t="shared" si="264"/>
        <v>Rp 0</v>
      </c>
      <c r="O263" s="14" t="str">
        <f t="shared" si="264"/>
        <v>Rp 0</v>
      </c>
      <c r="P263" s="14" t="str">
        <f t="shared" si="264"/>
        <v>Rp 0</v>
      </c>
      <c r="Q263" s="14" t="str">
        <f t="shared" si="4"/>
        <v>Syahriyah = Rp 0
Jariyah = Rp 0
Daftar Ulang = Rp 0
Total = Rp 0
______________________
ID : 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79" t="str">
        <f t="shared" si="2"/>
        <v/>
      </c>
      <c r="B264" s="14"/>
      <c r="C264" s="79"/>
      <c r="D264" s="79"/>
      <c r="E264" s="79"/>
      <c r="F264" s="79"/>
      <c r="G264" s="79"/>
      <c r="H264" s="14"/>
      <c r="I264" s="14"/>
      <c r="J264" s="14"/>
      <c r="K264" s="14"/>
      <c r="L264" s="14"/>
      <c r="M264" s="14" t="str">
        <f t="shared" ref="M264:P264" si="265">text(I264,"Rp #,##0")</f>
        <v>Rp 0</v>
      </c>
      <c r="N264" s="14" t="str">
        <f t="shared" si="265"/>
        <v>Rp 0</v>
      </c>
      <c r="O264" s="14" t="str">
        <f t="shared" si="265"/>
        <v>Rp 0</v>
      </c>
      <c r="P264" s="14" t="str">
        <f t="shared" si="265"/>
        <v>Rp 0</v>
      </c>
      <c r="Q264" s="14" t="str">
        <f t="shared" si="4"/>
        <v>Syahriyah = Rp 0
Jariyah = Rp 0
Daftar Ulang = Rp 0
Total = Rp 0
______________________
ID : 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79" t="str">
        <f t="shared" si="2"/>
        <v/>
      </c>
      <c r="B265" s="14"/>
      <c r="C265" s="79"/>
      <c r="D265" s="79"/>
      <c r="E265" s="79"/>
      <c r="F265" s="79"/>
      <c r="G265" s="79"/>
      <c r="H265" s="14"/>
      <c r="I265" s="14"/>
      <c r="J265" s="14"/>
      <c r="K265" s="14"/>
      <c r="L265" s="14"/>
      <c r="M265" s="14" t="str">
        <f t="shared" ref="M265:P265" si="266">text(I265,"Rp #,##0")</f>
        <v>Rp 0</v>
      </c>
      <c r="N265" s="14" t="str">
        <f t="shared" si="266"/>
        <v>Rp 0</v>
      </c>
      <c r="O265" s="14" t="str">
        <f t="shared" si="266"/>
        <v>Rp 0</v>
      </c>
      <c r="P265" s="14" t="str">
        <f t="shared" si="266"/>
        <v>Rp 0</v>
      </c>
      <c r="Q265" s="14" t="str">
        <f t="shared" si="4"/>
        <v>Syahriyah = Rp 0
Jariyah = Rp 0
Daftar Ulang = Rp 0
Total = Rp 0
______________________
ID : 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79" t="str">
        <f t="shared" si="2"/>
        <v/>
      </c>
      <c r="B266" s="14"/>
      <c r="C266" s="79"/>
      <c r="D266" s="79"/>
      <c r="E266" s="79"/>
      <c r="F266" s="79"/>
      <c r="G266" s="79"/>
      <c r="H266" s="14"/>
      <c r="I266" s="14"/>
      <c r="J266" s="14"/>
      <c r="K266" s="14"/>
      <c r="L266" s="14"/>
      <c r="M266" s="14" t="str">
        <f t="shared" ref="M266:P266" si="267">text(I266,"Rp #,##0")</f>
        <v>Rp 0</v>
      </c>
      <c r="N266" s="14" t="str">
        <f t="shared" si="267"/>
        <v>Rp 0</v>
      </c>
      <c r="O266" s="14" t="str">
        <f t="shared" si="267"/>
        <v>Rp 0</v>
      </c>
      <c r="P266" s="14" t="str">
        <f t="shared" si="267"/>
        <v>Rp 0</v>
      </c>
      <c r="Q266" s="14" t="str">
        <f t="shared" si="4"/>
        <v>Syahriyah = Rp 0
Jariyah = Rp 0
Daftar Ulang = Rp 0
Total = Rp 0
______________________
ID : 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79" t="str">
        <f t="shared" si="2"/>
        <v/>
      </c>
      <c r="B267" s="14"/>
      <c r="C267" s="79"/>
      <c r="D267" s="79"/>
      <c r="E267" s="79"/>
      <c r="F267" s="79"/>
      <c r="G267" s="79"/>
      <c r="H267" s="14"/>
      <c r="I267" s="14"/>
      <c r="J267" s="14"/>
      <c r="K267" s="14"/>
      <c r="L267" s="14"/>
      <c r="M267" s="14" t="str">
        <f t="shared" ref="M267:P267" si="268">text(I267,"Rp #,##0")</f>
        <v>Rp 0</v>
      </c>
      <c r="N267" s="14" t="str">
        <f t="shared" si="268"/>
        <v>Rp 0</v>
      </c>
      <c r="O267" s="14" t="str">
        <f t="shared" si="268"/>
        <v>Rp 0</v>
      </c>
      <c r="P267" s="14" t="str">
        <f t="shared" si="268"/>
        <v>Rp 0</v>
      </c>
      <c r="Q267" s="14" t="str">
        <f t="shared" si="4"/>
        <v>Syahriyah = Rp 0
Jariyah = Rp 0
Daftar Ulang = Rp 0
Total = Rp 0
______________________
ID : 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79" t="str">
        <f t="shared" si="2"/>
        <v/>
      </c>
      <c r="B268" s="14"/>
      <c r="C268" s="79"/>
      <c r="D268" s="79"/>
      <c r="E268" s="79"/>
      <c r="F268" s="79"/>
      <c r="G268" s="79"/>
      <c r="H268" s="14"/>
      <c r="I268" s="14"/>
      <c r="J268" s="14"/>
      <c r="K268" s="14"/>
      <c r="L268" s="14"/>
      <c r="M268" s="14" t="str">
        <f t="shared" ref="M268:P268" si="269">text(I268,"Rp #,##0")</f>
        <v>Rp 0</v>
      </c>
      <c r="N268" s="14" t="str">
        <f t="shared" si="269"/>
        <v>Rp 0</v>
      </c>
      <c r="O268" s="14" t="str">
        <f t="shared" si="269"/>
        <v>Rp 0</v>
      </c>
      <c r="P268" s="14" t="str">
        <f t="shared" si="269"/>
        <v>Rp 0</v>
      </c>
      <c r="Q268" s="14" t="str">
        <f t="shared" si="4"/>
        <v>Syahriyah = Rp 0
Jariyah = Rp 0
Daftar Ulang = Rp 0
Total = Rp 0
______________________
ID : 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79" t="str">
        <f t="shared" si="2"/>
        <v/>
      </c>
      <c r="B269" s="14"/>
      <c r="C269" s="79"/>
      <c r="D269" s="79"/>
      <c r="E269" s="79"/>
      <c r="F269" s="79"/>
      <c r="G269" s="79"/>
      <c r="H269" s="14"/>
      <c r="I269" s="14"/>
      <c r="J269" s="14"/>
      <c r="K269" s="14"/>
      <c r="L269" s="14"/>
      <c r="M269" s="14" t="str">
        <f t="shared" ref="M269:P269" si="270">text(I269,"Rp #,##0")</f>
        <v>Rp 0</v>
      </c>
      <c r="N269" s="14" t="str">
        <f t="shared" si="270"/>
        <v>Rp 0</v>
      </c>
      <c r="O269" s="14" t="str">
        <f t="shared" si="270"/>
        <v>Rp 0</v>
      </c>
      <c r="P269" s="14" t="str">
        <f t="shared" si="270"/>
        <v>Rp 0</v>
      </c>
      <c r="Q269" s="14" t="str">
        <f t="shared" si="4"/>
        <v>Syahriyah = Rp 0
Jariyah = Rp 0
Daftar Ulang = Rp 0
Total = Rp 0
______________________
ID : 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79" t="str">
        <f t="shared" si="2"/>
        <v/>
      </c>
      <c r="B270" s="14"/>
      <c r="C270" s="79"/>
      <c r="D270" s="79"/>
      <c r="E270" s="79"/>
      <c r="F270" s="79"/>
      <c r="G270" s="79"/>
      <c r="H270" s="14"/>
      <c r="I270" s="14"/>
      <c r="J270" s="14"/>
      <c r="K270" s="14"/>
      <c r="L270" s="14"/>
      <c r="M270" s="14" t="str">
        <f t="shared" ref="M270:P270" si="271">text(I270,"Rp #,##0")</f>
        <v>Rp 0</v>
      </c>
      <c r="N270" s="14" t="str">
        <f t="shared" si="271"/>
        <v>Rp 0</v>
      </c>
      <c r="O270" s="14" t="str">
        <f t="shared" si="271"/>
        <v>Rp 0</v>
      </c>
      <c r="P270" s="14" t="str">
        <f t="shared" si="271"/>
        <v>Rp 0</v>
      </c>
      <c r="Q270" s="14" t="str">
        <f t="shared" si="4"/>
        <v>Syahriyah = Rp 0
Jariyah = Rp 0
Daftar Ulang = Rp 0
Total = Rp 0
______________________
ID : 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79" t="str">
        <f t="shared" si="2"/>
        <v/>
      </c>
      <c r="B271" s="14"/>
      <c r="C271" s="79"/>
      <c r="D271" s="79"/>
      <c r="E271" s="79"/>
      <c r="F271" s="79"/>
      <c r="G271" s="79"/>
      <c r="H271" s="14"/>
      <c r="I271" s="14"/>
      <c r="J271" s="14"/>
      <c r="K271" s="14"/>
      <c r="L271" s="14"/>
      <c r="M271" s="14" t="str">
        <f t="shared" ref="M271:P271" si="272">text(I271,"Rp #,##0")</f>
        <v>Rp 0</v>
      </c>
      <c r="N271" s="14" t="str">
        <f t="shared" si="272"/>
        <v>Rp 0</v>
      </c>
      <c r="O271" s="14" t="str">
        <f t="shared" si="272"/>
        <v>Rp 0</v>
      </c>
      <c r="P271" s="14" t="str">
        <f t="shared" si="272"/>
        <v>Rp 0</v>
      </c>
      <c r="Q271" s="14" t="str">
        <f t="shared" si="4"/>
        <v>Syahriyah = Rp 0
Jariyah = Rp 0
Daftar Ulang = Rp 0
Total = Rp 0
______________________
ID : 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79" t="str">
        <f t="shared" si="2"/>
        <v/>
      </c>
      <c r="B272" s="14"/>
      <c r="C272" s="79"/>
      <c r="D272" s="79"/>
      <c r="E272" s="79"/>
      <c r="F272" s="79"/>
      <c r="G272" s="79"/>
      <c r="H272" s="14"/>
      <c r="I272" s="14"/>
      <c r="J272" s="14"/>
      <c r="K272" s="14"/>
      <c r="L272" s="14"/>
      <c r="M272" s="14" t="str">
        <f t="shared" ref="M272:P272" si="273">text(I272,"Rp #,##0")</f>
        <v>Rp 0</v>
      </c>
      <c r="N272" s="14" t="str">
        <f t="shared" si="273"/>
        <v>Rp 0</v>
      </c>
      <c r="O272" s="14" t="str">
        <f t="shared" si="273"/>
        <v>Rp 0</v>
      </c>
      <c r="P272" s="14" t="str">
        <f t="shared" si="273"/>
        <v>Rp 0</v>
      </c>
      <c r="Q272" s="14" t="str">
        <f t="shared" si="4"/>
        <v>Syahriyah = Rp 0
Jariyah = Rp 0
Daftar Ulang = Rp 0
Total = Rp 0
______________________
ID : 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79" t="str">
        <f t="shared" si="2"/>
        <v/>
      </c>
      <c r="B273" s="14"/>
      <c r="C273" s="79"/>
      <c r="D273" s="79"/>
      <c r="E273" s="79"/>
      <c r="F273" s="79"/>
      <c r="G273" s="79"/>
      <c r="H273" s="14"/>
      <c r="I273" s="14"/>
      <c r="J273" s="14"/>
      <c r="K273" s="14"/>
      <c r="L273" s="14"/>
      <c r="M273" s="14" t="str">
        <f t="shared" ref="M273:P273" si="274">text(I273,"Rp #,##0")</f>
        <v>Rp 0</v>
      </c>
      <c r="N273" s="14" t="str">
        <f t="shared" si="274"/>
        <v>Rp 0</v>
      </c>
      <c r="O273" s="14" t="str">
        <f t="shared" si="274"/>
        <v>Rp 0</v>
      </c>
      <c r="P273" s="14" t="str">
        <f t="shared" si="274"/>
        <v>Rp 0</v>
      </c>
      <c r="Q273" s="14" t="str">
        <f t="shared" si="4"/>
        <v>Syahriyah = Rp 0
Jariyah = Rp 0
Daftar Ulang = Rp 0
Total = Rp 0
______________________
ID : 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79" t="str">
        <f t="shared" si="2"/>
        <v/>
      </c>
      <c r="B274" s="14"/>
      <c r="C274" s="79"/>
      <c r="D274" s="79"/>
      <c r="E274" s="79"/>
      <c r="F274" s="79"/>
      <c r="G274" s="79"/>
      <c r="H274" s="14"/>
      <c r="I274" s="14"/>
      <c r="J274" s="14"/>
      <c r="K274" s="14"/>
      <c r="L274" s="14"/>
      <c r="M274" s="14" t="str">
        <f t="shared" ref="M274:P274" si="275">text(I274,"Rp #,##0")</f>
        <v>Rp 0</v>
      </c>
      <c r="N274" s="14" t="str">
        <f t="shared" si="275"/>
        <v>Rp 0</v>
      </c>
      <c r="O274" s="14" t="str">
        <f t="shared" si="275"/>
        <v>Rp 0</v>
      </c>
      <c r="P274" s="14" t="str">
        <f t="shared" si="275"/>
        <v>Rp 0</v>
      </c>
      <c r="Q274" s="14" t="str">
        <f t="shared" si="4"/>
        <v>Syahriyah = Rp 0
Jariyah = Rp 0
Daftar Ulang = Rp 0
Total = Rp 0
______________________
ID : 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79" t="str">
        <f t="shared" si="2"/>
        <v/>
      </c>
      <c r="B275" s="14"/>
      <c r="C275" s="79"/>
      <c r="D275" s="79"/>
      <c r="E275" s="79"/>
      <c r="F275" s="79"/>
      <c r="G275" s="79"/>
      <c r="H275" s="14"/>
      <c r="I275" s="14"/>
      <c r="J275" s="14"/>
      <c r="K275" s="14"/>
      <c r="L275" s="14"/>
      <c r="M275" s="14" t="str">
        <f t="shared" ref="M275:P275" si="276">text(I275,"Rp #,##0")</f>
        <v>Rp 0</v>
      </c>
      <c r="N275" s="14" t="str">
        <f t="shared" si="276"/>
        <v>Rp 0</v>
      </c>
      <c r="O275" s="14" t="str">
        <f t="shared" si="276"/>
        <v>Rp 0</v>
      </c>
      <c r="P275" s="14" t="str">
        <f t="shared" si="276"/>
        <v>Rp 0</v>
      </c>
      <c r="Q275" s="14" t="str">
        <f t="shared" si="4"/>
        <v>Syahriyah = Rp 0
Jariyah = Rp 0
Daftar Ulang = Rp 0
Total = Rp 0
______________________
ID : 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79" t="str">
        <f t="shared" si="2"/>
        <v/>
      </c>
      <c r="B276" s="14"/>
      <c r="C276" s="79"/>
      <c r="D276" s="79"/>
      <c r="E276" s="79"/>
      <c r="F276" s="79"/>
      <c r="G276" s="79"/>
      <c r="H276" s="14"/>
      <c r="I276" s="14"/>
      <c r="J276" s="14"/>
      <c r="K276" s="14"/>
      <c r="L276" s="14"/>
      <c r="M276" s="14" t="str">
        <f t="shared" ref="M276:P276" si="277">text(I276,"Rp #,##0")</f>
        <v>Rp 0</v>
      </c>
      <c r="N276" s="14" t="str">
        <f t="shared" si="277"/>
        <v>Rp 0</v>
      </c>
      <c r="O276" s="14" t="str">
        <f t="shared" si="277"/>
        <v>Rp 0</v>
      </c>
      <c r="P276" s="14" t="str">
        <f t="shared" si="277"/>
        <v>Rp 0</v>
      </c>
      <c r="Q276" s="14" t="str">
        <f t="shared" si="4"/>
        <v>Syahriyah = Rp 0
Jariyah = Rp 0
Daftar Ulang = Rp 0
Total = Rp 0
______________________
ID : 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79" t="str">
        <f t="shared" si="2"/>
        <v/>
      </c>
      <c r="B277" s="14"/>
      <c r="C277" s="79"/>
      <c r="D277" s="79"/>
      <c r="E277" s="79"/>
      <c r="F277" s="79"/>
      <c r="G277" s="79"/>
      <c r="H277" s="14"/>
      <c r="I277" s="14"/>
      <c r="J277" s="14"/>
      <c r="K277" s="14"/>
      <c r="L277" s="14"/>
      <c r="M277" s="14" t="str">
        <f t="shared" ref="M277:P277" si="278">text(I277,"Rp #,##0")</f>
        <v>Rp 0</v>
      </c>
      <c r="N277" s="14" t="str">
        <f t="shared" si="278"/>
        <v>Rp 0</v>
      </c>
      <c r="O277" s="14" t="str">
        <f t="shared" si="278"/>
        <v>Rp 0</v>
      </c>
      <c r="P277" s="14" t="str">
        <f t="shared" si="278"/>
        <v>Rp 0</v>
      </c>
      <c r="Q277" s="14" t="str">
        <f t="shared" si="4"/>
        <v>Syahriyah = Rp 0
Jariyah = Rp 0
Daftar Ulang = Rp 0
Total = Rp 0
______________________
ID : </v>
      </c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79" t="str">
        <f t="shared" si="2"/>
        <v/>
      </c>
      <c r="B278" s="14"/>
      <c r="C278" s="79"/>
      <c r="D278" s="79"/>
      <c r="E278" s="79"/>
      <c r="F278" s="79"/>
      <c r="G278" s="79"/>
      <c r="H278" s="14"/>
      <c r="I278" s="14"/>
      <c r="J278" s="14"/>
      <c r="K278" s="14"/>
      <c r="L278" s="14"/>
      <c r="M278" s="14" t="str">
        <f t="shared" ref="M278:P278" si="279">text(I278,"Rp #,##0")</f>
        <v>Rp 0</v>
      </c>
      <c r="N278" s="14" t="str">
        <f t="shared" si="279"/>
        <v>Rp 0</v>
      </c>
      <c r="O278" s="14" t="str">
        <f t="shared" si="279"/>
        <v>Rp 0</v>
      </c>
      <c r="P278" s="14" t="str">
        <f t="shared" si="279"/>
        <v>Rp 0</v>
      </c>
      <c r="Q278" s="14" t="str">
        <f t="shared" si="4"/>
        <v>Syahriyah = Rp 0
Jariyah = Rp 0
Daftar Ulang = Rp 0
Total = Rp 0
______________________
ID : </v>
      </c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79" t="str">
        <f t="shared" si="2"/>
        <v/>
      </c>
      <c r="B279" s="14"/>
      <c r="C279" s="79"/>
      <c r="D279" s="79"/>
      <c r="E279" s="79"/>
      <c r="F279" s="79"/>
      <c r="G279" s="79"/>
      <c r="H279" s="14"/>
      <c r="I279" s="14"/>
      <c r="J279" s="14"/>
      <c r="K279" s="14"/>
      <c r="L279" s="14"/>
      <c r="M279" s="14" t="str">
        <f t="shared" ref="M279:P279" si="280">text(I279,"Rp #,##0")</f>
        <v>Rp 0</v>
      </c>
      <c r="N279" s="14" t="str">
        <f t="shared" si="280"/>
        <v>Rp 0</v>
      </c>
      <c r="O279" s="14" t="str">
        <f t="shared" si="280"/>
        <v>Rp 0</v>
      </c>
      <c r="P279" s="14" t="str">
        <f t="shared" si="280"/>
        <v>Rp 0</v>
      </c>
      <c r="Q279" s="14" t="str">
        <f t="shared" si="4"/>
        <v>Syahriyah = Rp 0
Jariyah = Rp 0
Daftar Ulang = Rp 0
Total = Rp 0
______________________
ID : </v>
      </c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79" t="str">
        <f t="shared" si="2"/>
        <v/>
      </c>
      <c r="B280" s="14"/>
      <c r="C280" s="79"/>
      <c r="D280" s="79"/>
      <c r="E280" s="79"/>
      <c r="F280" s="79"/>
      <c r="G280" s="79"/>
      <c r="H280" s="14"/>
      <c r="I280" s="14"/>
      <c r="J280" s="14"/>
      <c r="K280" s="14"/>
      <c r="L280" s="14"/>
      <c r="M280" s="14" t="str">
        <f t="shared" ref="M280:P280" si="281">text(I280,"Rp #,##0")</f>
        <v>Rp 0</v>
      </c>
      <c r="N280" s="14" t="str">
        <f t="shared" si="281"/>
        <v>Rp 0</v>
      </c>
      <c r="O280" s="14" t="str">
        <f t="shared" si="281"/>
        <v>Rp 0</v>
      </c>
      <c r="P280" s="14" t="str">
        <f t="shared" si="281"/>
        <v>Rp 0</v>
      </c>
      <c r="Q280" s="14" t="str">
        <f t="shared" si="4"/>
        <v>Syahriyah = Rp 0
Jariyah = Rp 0
Daftar Ulang = Rp 0
Total = Rp 0
______________________
ID : </v>
      </c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79" t="str">
        <f t="shared" si="2"/>
        <v/>
      </c>
      <c r="B281" s="14"/>
      <c r="C281" s="79"/>
      <c r="D281" s="79"/>
      <c r="E281" s="79"/>
      <c r="F281" s="79"/>
      <c r="G281" s="79"/>
      <c r="H281" s="14"/>
      <c r="I281" s="14"/>
      <c r="J281" s="14"/>
      <c r="K281" s="14"/>
      <c r="L281" s="14"/>
      <c r="M281" s="14" t="str">
        <f t="shared" ref="M281:P281" si="282">text(I281,"Rp #,##0")</f>
        <v>Rp 0</v>
      </c>
      <c r="N281" s="14" t="str">
        <f t="shared" si="282"/>
        <v>Rp 0</v>
      </c>
      <c r="O281" s="14" t="str">
        <f t="shared" si="282"/>
        <v>Rp 0</v>
      </c>
      <c r="P281" s="14" t="str">
        <f t="shared" si="282"/>
        <v>Rp 0</v>
      </c>
      <c r="Q281" s="14" t="str">
        <f t="shared" si="4"/>
        <v>Syahriyah = Rp 0
Jariyah = Rp 0
Daftar Ulang = Rp 0
Total = Rp 0
______________________
ID : </v>
      </c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79" t="str">
        <f t="shared" si="2"/>
        <v/>
      </c>
      <c r="B282" s="14"/>
      <c r="C282" s="79"/>
      <c r="D282" s="79"/>
      <c r="E282" s="79"/>
      <c r="F282" s="79"/>
      <c r="G282" s="79"/>
      <c r="H282" s="14"/>
      <c r="I282" s="14"/>
      <c r="J282" s="14"/>
      <c r="K282" s="14"/>
      <c r="L282" s="14"/>
      <c r="M282" s="14" t="str">
        <f t="shared" ref="M282:P282" si="283">text(I282,"Rp #,##0")</f>
        <v>Rp 0</v>
      </c>
      <c r="N282" s="14" t="str">
        <f t="shared" si="283"/>
        <v>Rp 0</v>
      </c>
      <c r="O282" s="14" t="str">
        <f t="shared" si="283"/>
        <v>Rp 0</v>
      </c>
      <c r="P282" s="14" t="str">
        <f t="shared" si="283"/>
        <v>Rp 0</v>
      </c>
      <c r="Q282" s="14" t="str">
        <f t="shared" si="4"/>
        <v>Syahriyah = Rp 0
Jariyah = Rp 0
Daftar Ulang = Rp 0
Total = Rp 0
______________________
ID : </v>
      </c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79" t="str">
        <f t="shared" si="2"/>
        <v/>
      </c>
      <c r="B283" s="14"/>
      <c r="C283" s="79"/>
      <c r="D283" s="79"/>
      <c r="E283" s="79"/>
      <c r="F283" s="79"/>
      <c r="G283" s="79"/>
      <c r="H283" s="14"/>
      <c r="I283" s="14"/>
      <c r="J283" s="14"/>
      <c r="K283" s="14"/>
      <c r="L283" s="14"/>
      <c r="M283" s="14" t="str">
        <f t="shared" ref="M283:P283" si="284">text(I283,"Rp #,##0")</f>
        <v>Rp 0</v>
      </c>
      <c r="N283" s="14" t="str">
        <f t="shared" si="284"/>
        <v>Rp 0</v>
      </c>
      <c r="O283" s="14" t="str">
        <f t="shared" si="284"/>
        <v>Rp 0</v>
      </c>
      <c r="P283" s="14" t="str">
        <f t="shared" si="284"/>
        <v>Rp 0</v>
      </c>
      <c r="Q283" s="14" t="str">
        <f t="shared" si="4"/>
        <v>Syahriyah = Rp 0
Jariyah = Rp 0
Daftar Ulang = Rp 0
Total = Rp 0
______________________
ID : </v>
      </c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79" t="str">
        <f t="shared" si="2"/>
        <v/>
      </c>
      <c r="B284" s="14"/>
      <c r="C284" s="79"/>
      <c r="D284" s="79"/>
      <c r="E284" s="79"/>
      <c r="F284" s="79"/>
      <c r="G284" s="79"/>
      <c r="H284" s="14"/>
      <c r="I284" s="14"/>
      <c r="J284" s="14"/>
      <c r="K284" s="14"/>
      <c r="L284" s="14"/>
      <c r="M284" s="14" t="str">
        <f t="shared" ref="M284:P284" si="285">text(I284,"Rp #,##0")</f>
        <v>Rp 0</v>
      </c>
      <c r="N284" s="14" t="str">
        <f t="shared" si="285"/>
        <v>Rp 0</v>
      </c>
      <c r="O284" s="14" t="str">
        <f t="shared" si="285"/>
        <v>Rp 0</v>
      </c>
      <c r="P284" s="14" t="str">
        <f t="shared" si="285"/>
        <v>Rp 0</v>
      </c>
      <c r="Q284" s="14" t="str">
        <f t="shared" si="4"/>
        <v>Syahriyah = Rp 0
Jariyah = Rp 0
Daftar Ulang = Rp 0
Total = Rp 0
______________________
ID : </v>
      </c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79" t="str">
        <f t="shared" si="2"/>
        <v/>
      </c>
      <c r="B285" s="14"/>
      <c r="C285" s="79"/>
      <c r="D285" s="79"/>
      <c r="E285" s="79"/>
      <c r="F285" s="79"/>
      <c r="G285" s="79"/>
      <c r="H285" s="14"/>
      <c r="I285" s="14"/>
      <c r="J285" s="14"/>
      <c r="K285" s="14"/>
      <c r="L285" s="14"/>
      <c r="M285" s="14" t="str">
        <f t="shared" ref="M285:P285" si="286">text(I285,"Rp #,##0")</f>
        <v>Rp 0</v>
      </c>
      <c r="N285" s="14" t="str">
        <f t="shared" si="286"/>
        <v>Rp 0</v>
      </c>
      <c r="O285" s="14" t="str">
        <f t="shared" si="286"/>
        <v>Rp 0</v>
      </c>
      <c r="P285" s="14" t="str">
        <f t="shared" si="286"/>
        <v>Rp 0</v>
      </c>
      <c r="Q285" s="14" t="str">
        <f t="shared" si="4"/>
        <v>Syahriyah = Rp 0
Jariyah = Rp 0
Daftar Ulang = Rp 0
Total = Rp 0
______________________
ID : </v>
      </c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79" t="str">
        <f t="shared" si="2"/>
        <v/>
      </c>
      <c r="B286" s="14"/>
      <c r="C286" s="79"/>
      <c r="D286" s="79"/>
      <c r="E286" s="79"/>
      <c r="F286" s="79"/>
      <c r="G286" s="79"/>
      <c r="H286" s="14"/>
      <c r="I286" s="14"/>
      <c r="J286" s="14"/>
      <c r="K286" s="14"/>
      <c r="L286" s="14"/>
      <c r="M286" s="14" t="str">
        <f t="shared" ref="M286:P286" si="287">text(I286,"Rp #,##0")</f>
        <v>Rp 0</v>
      </c>
      <c r="N286" s="14" t="str">
        <f t="shared" si="287"/>
        <v>Rp 0</v>
      </c>
      <c r="O286" s="14" t="str">
        <f t="shared" si="287"/>
        <v>Rp 0</v>
      </c>
      <c r="P286" s="14" t="str">
        <f t="shared" si="287"/>
        <v>Rp 0</v>
      </c>
      <c r="Q286" s="14" t="str">
        <f t="shared" si="4"/>
        <v>Syahriyah = Rp 0
Jariyah = Rp 0
Daftar Ulang = Rp 0
Total = Rp 0
______________________
ID : </v>
      </c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79" t="str">
        <f t="shared" si="2"/>
        <v/>
      </c>
      <c r="B287" s="14"/>
      <c r="C287" s="79"/>
      <c r="D287" s="79"/>
      <c r="E287" s="79"/>
      <c r="F287" s="79"/>
      <c r="G287" s="79"/>
      <c r="H287" s="14"/>
      <c r="I287" s="14"/>
      <c r="J287" s="14"/>
      <c r="K287" s="14"/>
      <c r="L287" s="14"/>
      <c r="M287" s="14" t="str">
        <f t="shared" ref="M287:P287" si="288">text(I287,"Rp #,##0")</f>
        <v>Rp 0</v>
      </c>
      <c r="N287" s="14" t="str">
        <f t="shared" si="288"/>
        <v>Rp 0</v>
      </c>
      <c r="O287" s="14" t="str">
        <f t="shared" si="288"/>
        <v>Rp 0</v>
      </c>
      <c r="P287" s="14" t="str">
        <f t="shared" si="288"/>
        <v>Rp 0</v>
      </c>
      <c r="Q287" s="14" t="str">
        <f t="shared" si="4"/>
        <v>Syahriyah = Rp 0
Jariyah = Rp 0
Daftar Ulang = Rp 0
Total = Rp 0
______________________
ID : </v>
      </c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79" t="str">
        <f t="shared" si="2"/>
        <v/>
      </c>
      <c r="B288" s="14"/>
      <c r="C288" s="79"/>
      <c r="D288" s="79"/>
      <c r="E288" s="79"/>
      <c r="F288" s="79"/>
      <c r="G288" s="79"/>
      <c r="H288" s="14"/>
      <c r="I288" s="14"/>
      <c r="J288" s="14"/>
      <c r="K288" s="14"/>
      <c r="L288" s="14"/>
      <c r="M288" s="14" t="str">
        <f t="shared" ref="M288:P288" si="289">text(I288,"Rp #,##0")</f>
        <v>Rp 0</v>
      </c>
      <c r="N288" s="14" t="str">
        <f t="shared" si="289"/>
        <v>Rp 0</v>
      </c>
      <c r="O288" s="14" t="str">
        <f t="shared" si="289"/>
        <v>Rp 0</v>
      </c>
      <c r="P288" s="14" t="str">
        <f t="shared" si="289"/>
        <v>Rp 0</v>
      </c>
      <c r="Q288" s="14" t="str">
        <f t="shared" si="4"/>
        <v>Syahriyah = Rp 0
Jariyah = Rp 0
Daftar Ulang = Rp 0
Total = Rp 0
______________________
ID : </v>
      </c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79" t="str">
        <f t="shared" si="2"/>
        <v/>
      </c>
      <c r="B289" s="14"/>
      <c r="C289" s="79"/>
      <c r="D289" s="79"/>
      <c r="E289" s="79"/>
      <c r="F289" s="79"/>
      <c r="G289" s="79"/>
      <c r="H289" s="14"/>
      <c r="I289" s="14"/>
      <c r="J289" s="14"/>
      <c r="K289" s="14"/>
      <c r="L289" s="14"/>
      <c r="M289" s="14" t="str">
        <f t="shared" ref="M289:P289" si="290">text(I289,"Rp #,##0")</f>
        <v>Rp 0</v>
      </c>
      <c r="N289" s="14" t="str">
        <f t="shared" si="290"/>
        <v>Rp 0</v>
      </c>
      <c r="O289" s="14" t="str">
        <f t="shared" si="290"/>
        <v>Rp 0</v>
      </c>
      <c r="P289" s="14" t="str">
        <f t="shared" si="290"/>
        <v>Rp 0</v>
      </c>
      <c r="Q289" s="14" t="str">
        <f t="shared" si="4"/>
        <v>Syahriyah = Rp 0
Jariyah = Rp 0
Daftar Ulang = Rp 0
Total = Rp 0
______________________
ID : </v>
      </c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79" t="str">
        <f t="shared" si="2"/>
        <v/>
      </c>
      <c r="B290" s="14"/>
      <c r="C290" s="79"/>
      <c r="D290" s="79"/>
      <c r="E290" s="79"/>
      <c r="F290" s="79"/>
      <c r="G290" s="79"/>
      <c r="H290" s="14"/>
      <c r="I290" s="14"/>
      <c r="J290" s="14"/>
      <c r="K290" s="14"/>
      <c r="L290" s="14"/>
      <c r="M290" s="14" t="str">
        <f t="shared" ref="M290:P290" si="291">text(I290,"Rp #,##0")</f>
        <v>Rp 0</v>
      </c>
      <c r="N290" s="14" t="str">
        <f t="shared" si="291"/>
        <v>Rp 0</v>
      </c>
      <c r="O290" s="14" t="str">
        <f t="shared" si="291"/>
        <v>Rp 0</v>
      </c>
      <c r="P290" s="14" t="str">
        <f t="shared" si="291"/>
        <v>Rp 0</v>
      </c>
      <c r="Q290" s="14" t="str">
        <f t="shared" si="4"/>
        <v>Syahriyah = Rp 0
Jariyah = Rp 0
Daftar Ulang = Rp 0
Total = Rp 0
______________________
ID : </v>
      </c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79" t="str">
        <f t="shared" si="2"/>
        <v/>
      </c>
      <c r="B291" s="14"/>
      <c r="C291" s="79"/>
      <c r="D291" s="79"/>
      <c r="E291" s="79"/>
      <c r="F291" s="79"/>
      <c r="G291" s="79"/>
      <c r="H291" s="14"/>
      <c r="I291" s="14"/>
      <c r="J291" s="14"/>
      <c r="K291" s="14"/>
      <c r="L291" s="14"/>
      <c r="M291" s="14" t="str">
        <f t="shared" ref="M291:P291" si="292">text(I291,"Rp #,##0")</f>
        <v>Rp 0</v>
      </c>
      <c r="N291" s="14" t="str">
        <f t="shared" si="292"/>
        <v>Rp 0</v>
      </c>
      <c r="O291" s="14" t="str">
        <f t="shared" si="292"/>
        <v>Rp 0</v>
      </c>
      <c r="P291" s="14" t="str">
        <f t="shared" si="292"/>
        <v>Rp 0</v>
      </c>
      <c r="Q291" s="14" t="str">
        <f t="shared" si="4"/>
        <v>Syahriyah = Rp 0
Jariyah = Rp 0
Daftar Ulang = Rp 0
Total = Rp 0
______________________
ID : </v>
      </c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79" t="str">
        <f t="shared" si="2"/>
        <v/>
      </c>
      <c r="B292" s="14"/>
      <c r="C292" s="79"/>
      <c r="D292" s="79"/>
      <c r="E292" s="79"/>
      <c r="F292" s="79"/>
      <c r="G292" s="79"/>
      <c r="H292" s="14"/>
      <c r="I292" s="14"/>
      <c r="J292" s="14"/>
      <c r="K292" s="14"/>
      <c r="L292" s="14"/>
      <c r="M292" s="14" t="str">
        <f t="shared" ref="M292:P292" si="293">text(I292,"Rp #,##0")</f>
        <v>Rp 0</v>
      </c>
      <c r="N292" s="14" t="str">
        <f t="shared" si="293"/>
        <v>Rp 0</v>
      </c>
      <c r="O292" s="14" t="str">
        <f t="shared" si="293"/>
        <v>Rp 0</v>
      </c>
      <c r="P292" s="14" t="str">
        <f t="shared" si="293"/>
        <v>Rp 0</v>
      </c>
      <c r="Q292" s="14" t="str">
        <f t="shared" si="4"/>
        <v>Syahriyah = Rp 0
Jariyah = Rp 0
Daftar Ulang = Rp 0
Total = Rp 0
______________________
ID : </v>
      </c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79" t="str">
        <f t="shared" si="2"/>
        <v/>
      </c>
      <c r="B293" s="14"/>
      <c r="C293" s="79"/>
      <c r="D293" s="79"/>
      <c r="E293" s="79"/>
      <c r="F293" s="79"/>
      <c r="G293" s="79"/>
      <c r="H293" s="14"/>
      <c r="I293" s="14"/>
      <c r="J293" s="14"/>
      <c r="K293" s="14"/>
      <c r="L293" s="14"/>
      <c r="M293" s="14" t="str">
        <f t="shared" ref="M293:P293" si="294">text(I293,"Rp #,##0")</f>
        <v>Rp 0</v>
      </c>
      <c r="N293" s="14" t="str">
        <f t="shared" si="294"/>
        <v>Rp 0</v>
      </c>
      <c r="O293" s="14" t="str">
        <f t="shared" si="294"/>
        <v>Rp 0</v>
      </c>
      <c r="P293" s="14" t="str">
        <f t="shared" si="294"/>
        <v>Rp 0</v>
      </c>
      <c r="Q293" s="14" t="str">
        <f t="shared" si="4"/>
        <v>Syahriyah = Rp 0
Jariyah = Rp 0
Daftar Ulang = Rp 0
Total = Rp 0
______________________
ID : </v>
      </c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79" t="str">
        <f t="shared" si="2"/>
        <v/>
      </c>
      <c r="B294" s="14"/>
      <c r="C294" s="79"/>
      <c r="D294" s="79"/>
      <c r="E294" s="79"/>
      <c r="F294" s="79"/>
      <c r="G294" s="79"/>
      <c r="H294" s="14"/>
      <c r="I294" s="14"/>
      <c r="J294" s="14"/>
      <c r="K294" s="14"/>
      <c r="L294" s="14"/>
      <c r="M294" s="14" t="str">
        <f t="shared" ref="M294:P294" si="295">text(I294,"Rp #,##0")</f>
        <v>Rp 0</v>
      </c>
      <c r="N294" s="14" t="str">
        <f t="shared" si="295"/>
        <v>Rp 0</v>
      </c>
      <c r="O294" s="14" t="str">
        <f t="shared" si="295"/>
        <v>Rp 0</v>
      </c>
      <c r="P294" s="14" t="str">
        <f t="shared" si="295"/>
        <v>Rp 0</v>
      </c>
      <c r="Q294" s="14" t="str">
        <f t="shared" si="4"/>
        <v>Syahriyah = Rp 0
Jariyah = Rp 0
Daftar Ulang = Rp 0
Total = Rp 0
______________________
ID : </v>
      </c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79" t="str">
        <f t="shared" si="2"/>
        <v/>
      </c>
      <c r="B295" s="14"/>
      <c r="C295" s="79"/>
      <c r="D295" s="79"/>
      <c r="E295" s="79"/>
      <c r="F295" s="79"/>
      <c r="G295" s="79"/>
      <c r="H295" s="14"/>
      <c r="I295" s="14"/>
      <c r="J295" s="14"/>
      <c r="K295" s="14"/>
      <c r="L295" s="14"/>
      <c r="M295" s="14" t="str">
        <f t="shared" ref="M295:P295" si="296">text(I295,"Rp #,##0")</f>
        <v>Rp 0</v>
      </c>
      <c r="N295" s="14" t="str">
        <f t="shared" si="296"/>
        <v>Rp 0</v>
      </c>
      <c r="O295" s="14" t="str">
        <f t="shared" si="296"/>
        <v>Rp 0</v>
      </c>
      <c r="P295" s="14" t="str">
        <f t="shared" si="296"/>
        <v>Rp 0</v>
      </c>
      <c r="Q295" s="14" t="str">
        <f t="shared" si="4"/>
        <v>Syahriyah = Rp 0
Jariyah = Rp 0
Daftar Ulang = Rp 0
Total = Rp 0
______________________
ID : </v>
      </c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79" t="str">
        <f t="shared" si="2"/>
        <v/>
      </c>
      <c r="B296" s="14"/>
      <c r="C296" s="79"/>
      <c r="D296" s="79"/>
      <c r="E296" s="79"/>
      <c r="F296" s="79"/>
      <c r="G296" s="79"/>
      <c r="H296" s="14"/>
      <c r="I296" s="14"/>
      <c r="J296" s="14"/>
      <c r="K296" s="14"/>
      <c r="L296" s="14"/>
      <c r="M296" s="14" t="str">
        <f t="shared" ref="M296:P296" si="297">text(I296,"Rp #,##0")</f>
        <v>Rp 0</v>
      </c>
      <c r="N296" s="14" t="str">
        <f t="shared" si="297"/>
        <v>Rp 0</v>
      </c>
      <c r="O296" s="14" t="str">
        <f t="shared" si="297"/>
        <v>Rp 0</v>
      </c>
      <c r="P296" s="14" t="str">
        <f t="shared" si="297"/>
        <v>Rp 0</v>
      </c>
      <c r="Q296" s="14" t="str">
        <f t="shared" si="4"/>
        <v>Syahriyah = Rp 0
Jariyah = Rp 0
Daftar Ulang = Rp 0
Total = Rp 0
______________________
ID : </v>
      </c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79" t="str">
        <f t="shared" si="2"/>
        <v/>
      </c>
      <c r="B297" s="14"/>
      <c r="C297" s="79"/>
      <c r="D297" s="79"/>
      <c r="E297" s="79"/>
      <c r="F297" s="79"/>
      <c r="G297" s="79"/>
      <c r="H297" s="14"/>
      <c r="I297" s="14"/>
      <c r="J297" s="14"/>
      <c r="K297" s="14"/>
      <c r="L297" s="14"/>
      <c r="M297" s="14" t="str">
        <f t="shared" ref="M297:P297" si="298">text(I297,"Rp #,##0")</f>
        <v>Rp 0</v>
      </c>
      <c r="N297" s="14" t="str">
        <f t="shared" si="298"/>
        <v>Rp 0</v>
      </c>
      <c r="O297" s="14" t="str">
        <f t="shared" si="298"/>
        <v>Rp 0</v>
      </c>
      <c r="P297" s="14" t="str">
        <f t="shared" si="298"/>
        <v>Rp 0</v>
      </c>
      <c r="Q297" s="14" t="str">
        <f t="shared" si="4"/>
        <v>Syahriyah = Rp 0
Jariyah = Rp 0
Daftar Ulang = Rp 0
Total = Rp 0
______________________
ID : </v>
      </c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79" t="str">
        <f t="shared" si="2"/>
        <v/>
      </c>
      <c r="B298" s="14"/>
      <c r="C298" s="79"/>
      <c r="D298" s="79"/>
      <c r="E298" s="79"/>
      <c r="F298" s="79"/>
      <c r="G298" s="79"/>
      <c r="H298" s="14"/>
      <c r="I298" s="14"/>
      <c r="J298" s="14"/>
      <c r="K298" s="14"/>
      <c r="L298" s="14"/>
      <c r="M298" s="14" t="str">
        <f t="shared" ref="M298:P298" si="299">text(I298,"Rp #,##0")</f>
        <v>Rp 0</v>
      </c>
      <c r="N298" s="14" t="str">
        <f t="shared" si="299"/>
        <v>Rp 0</v>
      </c>
      <c r="O298" s="14" t="str">
        <f t="shared" si="299"/>
        <v>Rp 0</v>
      </c>
      <c r="P298" s="14" t="str">
        <f t="shared" si="299"/>
        <v>Rp 0</v>
      </c>
      <c r="Q298" s="14" t="str">
        <f t="shared" si="4"/>
        <v>Syahriyah = Rp 0
Jariyah = Rp 0
Daftar Ulang = Rp 0
Total = Rp 0
______________________
ID : </v>
      </c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79" t="str">
        <f t="shared" si="2"/>
        <v/>
      </c>
      <c r="B299" s="14"/>
      <c r="C299" s="79"/>
      <c r="D299" s="79"/>
      <c r="E299" s="79"/>
      <c r="F299" s="79"/>
      <c r="G299" s="79"/>
      <c r="H299" s="14"/>
      <c r="I299" s="14"/>
      <c r="J299" s="14"/>
      <c r="K299" s="14"/>
      <c r="L299" s="14"/>
      <c r="M299" s="14" t="str">
        <f t="shared" ref="M299:P299" si="300">text(I299,"Rp #,##0")</f>
        <v>Rp 0</v>
      </c>
      <c r="N299" s="14" t="str">
        <f t="shared" si="300"/>
        <v>Rp 0</v>
      </c>
      <c r="O299" s="14" t="str">
        <f t="shared" si="300"/>
        <v>Rp 0</v>
      </c>
      <c r="P299" s="14" t="str">
        <f t="shared" si="300"/>
        <v>Rp 0</v>
      </c>
      <c r="Q299" s="14" t="str">
        <f t="shared" si="4"/>
        <v>Syahriyah = Rp 0
Jariyah = Rp 0
Daftar Ulang = Rp 0
Total = Rp 0
______________________
ID : </v>
      </c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79" t="str">
        <f t="shared" si="2"/>
        <v/>
      </c>
      <c r="B300" s="14"/>
      <c r="C300" s="79"/>
      <c r="D300" s="79"/>
      <c r="E300" s="79"/>
      <c r="F300" s="79"/>
      <c r="G300" s="79"/>
      <c r="H300" s="14"/>
      <c r="I300" s="14"/>
      <c r="J300" s="14"/>
      <c r="K300" s="14"/>
      <c r="L300" s="14"/>
      <c r="M300" s="14" t="str">
        <f t="shared" ref="M300:P300" si="301">text(I300,"Rp #,##0")</f>
        <v>Rp 0</v>
      </c>
      <c r="N300" s="14" t="str">
        <f t="shared" si="301"/>
        <v>Rp 0</v>
      </c>
      <c r="O300" s="14" t="str">
        <f t="shared" si="301"/>
        <v>Rp 0</v>
      </c>
      <c r="P300" s="14" t="str">
        <f t="shared" si="301"/>
        <v>Rp 0</v>
      </c>
      <c r="Q300" s="14" t="str">
        <f t="shared" si="4"/>
        <v>Syahriyah = Rp 0
Jariyah = Rp 0
Daftar Ulang = Rp 0
Total = Rp 0
______________________
ID : </v>
      </c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79" t="str">
        <f t="shared" si="2"/>
        <v/>
      </c>
      <c r="B301" s="14"/>
      <c r="C301" s="79"/>
      <c r="D301" s="79"/>
      <c r="E301" s="79"/>
      <c r="F301" s="79"/>
      <c r="G301" s="79"/>
      <c r="H301" s="14"/>
      <c r="I301" s="14"/>
      <c r="J301" s="14"/>
      <c r="K301" s="14"/>
      <c r="L301" s="14"/>
      <c r="M301" s="14" t="str">
        <f t="shared" ref="M301:P301" si="302">text(I301,"Rp #,##0")</f>
        <v>Rp 0</v>
      </c>
      <c r="N301" s="14" t="str">
        <f t="shared" si="302"/>
        <v>Rp 0</v>
      </c>
      <c r="O301" s="14" t="str">
        <f t="shared" si="302"/>
        <v>Rp 0</v>
      </c>
      <c r="P301" s="14" t="str">
        <f t="shared" si="302"/>
        <v>Rp 0</v>
      </c>
      <c r="Q301" s="14" t="str">
        <f t="shared" si="4"/>
        <v>Syahriyah = Rp 0
Jariyah = Rp 0
Daftar Ulang = Rp 0
Total = Rp 0
______________________
ID : </v>
      </c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79" t="str">
        <f t="shared" si="2"/>
        <v/>
      </c>
      <c r="B302" s="14"/>
      <c r="C302" s="79"/>
      <c r="D302" s="79"/>
      <c r="E302" s="79"/>
      <c r="F302" s="79"/>
      <c r="G302" s="79"/>
      <c r="H302" s="14"/>
      <c r="I302" s="14"/>
      <c r="J302" s="14"/>
      <c r="K302" s="14"/>
      <c r="L302" s="14"/>
      <c r="M302" s="14" t="str">
        <f t="shared" ref="M302:P302" si="303">text(I302,"Rp #,##0")</f>
        <v>Rp 0</v>
      </c>
      <c r="N302" s="14" t="str">
        <f t="shared" si="303"/>
        <v>Rp 0</v>
      </c>
      <c r="O302" s="14" t="str">
        <f t="shared" si="303"/>
        <v>Rp 0</v>
      </c>
      <c r="P302" s="14" t="str">
        <f t="shared" si="303"/>
        <v>Rp 0</v>
      </c>
      <c r="Q302" s="14" t="str">
        <f t="shared" si="4"/>
        <v>Syahriyah = Rp 0
Jariyah = Rp 0
Daftar Ulang = Rp 0
Total = Rp 0
______________________
ID : </v>
      </c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79" t="str">
        <f t="shared" si="2"/>
        <v/>
      </c>
      <c r="B303" s="14"/>
      <c r="C303" s="79"/>
      <c r="D303" s="79"/>
      <c r="E303" s="79"/>
      <c r="F303" s="79"/>
      <c r="G303" s="79"/>
      <c r="H303" s="14"/>
      <c r="I303" s="14"/>
      <c r="J303" s="14"/>
      <c r="K303" s="14"/>
      <c r="L303" s="14"/>
      <c r="M303" s="14" t="str">
        <f t="shared" ref="M303:P303" si="304">text(I303,"Rp #,##0")</f>
        <v>Rp 0</v>
      </c>
      <c r="N303" s="14" t="str">
        <f t="shared" si="304"/>
        <v>Rp 0</v>
      </c>
      <c r="O303" s="14" t="str">
        <f t="shared" si="304"/>
        <v>Rp 0</v>
      </c>
      <c r="P303" s="14" t="str">
        <f t="shared" si="304"/>
        <v>Rp 0</v>
      </c>
      <c r="Q303" s="14" t="str">
        <f t="shared" si="4"/>
        <v>Syahriyah = Rp 0
Jariyah = Rp 0
Daftar Ulang = Rp 0
Total = Rp 0
______________________
ID : </v>
      </c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79" t="str">
        <f t="shared" si="2"/>
        <v/>
      </c>
      <c r="B304" s="14"/>
      <c r="C304" s="79"/>
      <c r="D304" s="79"/>
      <c r="E304" s="79"/>
      <c r="F304" s="79"/>
      <c r="G304" s="79"/>
      <c r="H304" s="14"/>
      <c r="I304" s="14"/>
      <c r="J304" s="14"/>
      <c r="K304" s="14"/>
      <c r="L304" s="14"/>
      <c r="M304" s="14" t="str">
        <f t="shared" ref="M304:P304" si="305">text(I304,"Rp #,##0")</f>
        <v>Rp 0</v>
      </c>
      <c r="N304" s="14" t="str">
        <f t="shared" si="305"/>
        <v>Rp 0</v>
      </c>
      <c r="O304" s="14" t="str">
        <f t="shared" si="305"/>
        <v>Rp 0</v>
      </c>
      <c r="P304" s="14" t="str">
        <f t="shared" si="305"/>
        <v>Rp 0</v>
      </c>
      <c r="Q304" s="14" t="str">
        <f t="shared" si="4"/>
        <v>Syahriyah = Rp 0
Jariyah = Rp 0
Daftar Ulang = Rp 0
Total = Rp 0
______________________
ID : </v>
      </c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79" t="str">
        <f t="shared" si="2"/>
        <v/>
      </c>
      <c r="B305" s="14"/>
      <c r="C305" s="79"/>
      <c r="D305" s="79"/>
      <c r="E305" s="79"/>
      <c r="F305" s="79"/>
      <c r="G305" s="79"/>
      <c r="H305" s="14"/>
      <c r="I305" s="14"/>
      <c r="J305" s="14"/>
      <c r="K305" s="14"/>
      <c r="L305" s="14"/>
      <c r="M305" s="14" t="str">
        <f t="shared" ref="M305:P305" si="306">text(I305,"Rp #,##0")</f>
        <v>Rp 0</v>
      </c>
      <c r="N305" s="14" t="str">
        <f t="shared" si="306"/>
        <v>Rp 0</v>
      </c>
      <c r="O305" s="14" t="str">
        <f t="shared" si="306"/>
        <v>Rp 0</v>
      </c>
      <c r="P305" s="14" t="str">
        <f t="shared" si="306"/>
        <v>Rp 0</v>
      </c>
      <c r="Q305" s="14" t="str">
        <f t="shared" si="4"/>
        <v>Syahriyah = Rp 0
Jariyah = Rp 0
Daftar Ulang = Rp 0
Total = Rp 0
______________________
ID : </v>
      </c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79" t="str">
        <f t="shared" si="2"/>
        <v/>
      </c>
      <c r="B306" s="14"/>
      <c r="C306" s="79"/>
      <c r="D306" s="79"/>
      <c r="E306" s="79"/>
      <c r="F306" s="79"/>
      <c r="G306" s="79"/>
      <c r="H306" s="14"/>
      <c r="I306" s="14"/>
      <c r="J306" s="14"/>
      <c r="K306" s="14"/>
      <c r="L306" s="14"/>
      <c r="M306" s="14" t="str">
        <f t="shared" ref="M306:P306" si="307">text(I306,"Rp #,##0")</f>
        <v>Rp 0</v>
      </c>
      <c r="N306" s="14" t="str">
        <f t="shared" si="307"/>
        <v>Rp 0</v>
      </c>
      <c r="O306" s="14" t="str">
        <f t="shared" si="307"/>
        <v>Rp 0</v>
      </c>
      <c r="P306" s="14" t="str">
        <f t="shared" si="307"/>
        <v>Rp 0</v>
      </c>
      <c r="Q306" s="14" t="str">
        <f t="shared" si="4"/>
        <v>Syahriyah = Rp 0
Jariyah = Rp 0
Daftar Ulang = Rp 0
Total = Rp 0
______________________
ID : </v>
      </c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79" t="str">
        <f t="shared" si="2"/>
        <v/>
      </c>
      <c r="B307" s="14"/>
      <c r="C307" s="79"/>
      <c r="D307" s="79"/>
      <c r="E307" s="79"/>
      <c r="F307" s="79"/>
      <c r="G307" s="79"/>
      <c r="H307" s="14"/>
      <c r="I307" s="14"/>
      <c r="J307" s="14"/>
      <c r="K307" s="14"/>
      <c r="L307" s="14"/>
      <c r="M307" s="14" t="str">
        <f t="shared" ref="M307:P307" si="308">text(I307,"Rp #,##0")</f>
        <v>Rp 0</v>
      </c>
      <c r="N307" s="14" t="str">
        <f t="shared" si="308"/>
        <v>Rp 0</v>
      </c>
      <c r="O307" s="14" t="str">
        <f t="shared" si="308"/>
        <v>Rp 0</v>
      </c>
      <c r="P307" s="14" t="str">
        <f t="shared" si="308"/>
        <v>Rp 0</v>
      </c>
      <c r="Q307" s="14" t="str">
        <f t="shared" si="4"/>
        <v>Syahriyah = Rp 0
Jariyah = Rp 0
Daftar Ulang = Rp 0
Total = Rp 0
______________________
ID : </v>
      </c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79" t="str">
        <f t="shared" si="2"/>
        <v/>
      </c>
      <c r="B308" s="14"/>
      <c r="C308" s="79"/>
      <c r="D308" s="79"/>
      <c r="E308" s="79"/>
      <c r="F308" s="79"/>
      <c r="G308" s="79"/>
      <c r="H308" s="14"/>
      <c r="I308" s="14"/>
      <c r="J308" s="14"/>
      <c r="K308" s="14"/>
      <c r="L308" s="14"/>
      <c r="M308" s="14" t="str">
        <f t="shared" ref="M308:P308" si="309">text(I308,"Rp #,##0")</f>
        <v>Rp 0</v>
      </c>
      <c r="N308" s="14" t="str">
        <f t="shared" si="309"/>
        <v>Rp 0</v>
      </c>
      <c r="O308" s="14" t="str">
        <f t="shared" si="309"/>
        <v>Rp 0</v>
      </c>
      <c r="P308" s="14" t="str">
        <f t="shared" si="309"/>
        <v>Rp 0</v>
      </c>
      <c r="Q308" s="14" t="str">
        <f t="shared" si="4"/>
        <v>Syahriyah = Rp 0
Jariyah = Rp 0
Daftar Ulang = Rp 0
Total = Rp 0
______________________
ID : </v>
      </c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79" t="str">
        <f t="shared" si="2"/>
        <v/>
      </c>
      <c r="B309" s="14"/>
      <c r="C309" s="79"/>
      <c r="D309" s="79"/>
      <c r="E309" s="79"/>
      <c r="F309" s="79"/>
      <c r="G309" s="79"/>
      <c r="H309" s="14"/>
      <c r="I309" s="14"/>
      <c r="J309" s="14"/>
      <c r="K309" s="14"/>
      <c r="L309" s="14"/>
      <c r="M309" s="14" t="str">
        <f t="shared" ref="M309:P309" si="310">text(I309,"Rp #,##0")</f>
        <v>Rp 0</v>
      </c>
      <c r="N309" s="14" t="str">
        <f t="shared" si="310"/>
        <v>Rp 0</v>
      </c>
      <c r="O309" s="14" t="str">
        <f t="shared" si="310"/>
        <v>Rp 0</v>
      </c>
      <c r="P309" s="14" t="str">
        <f t="shared" si="310"/>
        <v>Rp 0</v>
      </c>
      <c r="Q309" s="14" t="str">
        <f t="shared" si="4"/>
        <v>Syahriyah = Rp 0
Jariyah = Rp 0
Daftar Ulang = Rp 0
Total = Rp 0
______________________
ID : </v>
      </c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79" t="str">
        <f t="shared" si="2"/>
        <v/>
      </c>
      <c r="B310" s="14"/>
      <c r="C310" s="79"/>
      <c r="D310" s="79"/>
      <c r="E310" s="79"/>
      <c r="F310" s="79"/>
      <c r="G310" s="79"/>
      <c r="H310" s="14"/>
      <c r="I310" s="14"/>
      <c r="J310" s="14"/>
      <c r="K310" s="14"/>
      <c r="L310" s="14"/>
      <c r="M310" s="14" t="str">
        <f t="shared" ref="M310:P310" si="311">text(I310,"Rp #,##0")</f>
        <v>Rp 0</v>
      </c>
      <c r="N310" s="14" t="str">
        <f t="shared" si="311"/>
        <v>Rp 0</v>
      </c>
      <c r="O310" s="14" t="str">
        <f t="shared" si="311"/>
        <v>Rp 0</v>
      </c>
      <c r="P310" s="14" t="str">
        <f t="shared" si="311"/>
        <v>Rp 0</v>
      </c>
      <c r="Q310" s="14" t="str">
        <f t="shared" si="4"/>
        <v>Syahriyah = Rp 0
Jariyah = Rp 0
Daftar Ulang = Rp 0
Total = Rp 0
______________________
ID : </v>
      </c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79" t="str">
        <f t="shared" si="2"/>
        <v/>
      </c>
      <c r="B311" s="14"/>
      <c r="C311" s="79"/>
      <c r="D311" s="79"/>
      <c r="E311" s="79"/>
      <c r="F311" s="79"/>
      <c r="G311" s="79"/>
      <c r="H311" s="14"/>
      <c r="I311" s="14"/>
      <c r="J311" s="14"/>
      <c r="K311" s="14"/>
      <c r="L311" s="14"/>
      <c r="M311" s="14" t="str">
        <f t="shared" ref="M311:P311" si="312">text(I311,"Rp #,##0")</f>
        <v>Rp 0</v>
      </c>
      <c r="N311" s="14" t="str">
        <f t="shared" si="312"/>
        <v>Rp 0</v>
      </c>
      <c r="O311" s="14" t="str">
        <f t="shared" si="312"/>
        <v>Rp 0</v>
      </c>
      <c r="P311" s="14" t="str">
        <f t="shared" si="312"/>
        <v>Rp 0</v>
      </c>
      <c r="Q311" s="14" t="str">
        <f t="shared" si="4"/>
        <v>Syahriyah = Rp 0
Jariyah = Rp 0
Daftar Ulang = Rp 0
Total = Rp 0
______________________
ID : </v>
      </c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79" t="str">
        <f t="shared" si="2"/>
        <v/>
      </c>
      <c r="B312" s="14"/>
      <c r="C312" s="79"/>
      <c r="D312" s="79"/>
      <c r="E312" s="79"/>
      <c r="F312" s="79"/>
      <c r="G312" s="79"/>
      <c r="H312" s="14"/>
      <c r="I312" s="14"/>
      <c r="J312" s="14"/>
      <c r="K312" s="14"/>
      <c r="L312" s="14"/>
      <c r="M312" s="14" t="str">
        <f t="shared" ref="M312:P312" si="313">text(I312,"Rp #,##0")</f>
        <v>Rp 0</v>
      </c>
      <c r="N312" s="14" t="str">
        <f t="shared" si="313"/>
        <v>Rp 0</v>
      </c>
      <c r="O312" s="14" t="str">
        <f t="shared" si="313"/>
        <v>Rp 0</v>
      </c>
      <c r="P312" s="14" t="str">
        <f t="shared" si="313"/>
        <v>Rp 0</v>
      </c>
      <c r="Q312" s="14" t="str">
        <f t="shared" si="4"/>
        <v>Syahriyah = Rp 0
Jariyah = Rp 0
Daftar Ulang = Rp 0
Total = Rp 0
______________________
ID : </v>
      </c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79" t="str">
        <f t="shared" si="2"/>
        <v/>
      </c>
      <c r="B313" s="14"/>
      <c r="C313" s="79"/>
      <c r="D313" s="79"/>
      <c r="E313" s="79"/>
      <c r="F313" s="79"/>
      <c r="G313" s="79"/>
      <c r="H313" s="14"/>
      <c r="I313" s="14"/>
      <c r="J313" s="14"/>
      <c r="K313" s="14"/>
      <c r="L313" s="14"/>
      <c r="M313" s="14" t="str">
        <f t="shared" ref="M313:P313" si="314">text(I313,"Rp #,##0")</f>
        <v>Rp 0</v>
      </c>
      <c r="N313" s="14" t="str">
        <f t="shared" si="314"/>
        <v>Rp 0</v>
      </c>
      <c r="O313" s="14" t="str">
        <f t="shared" si="314"/>
        <v>Rp 0</v>
      </c>
      <c r="P313" s="14" t="str">
        <f t="shared" si="314"/>
        <v>Rp 0</v>
      </c>
      <c r="Q313" s="14" t="str">
        <f t="shared" si="4"/>
        <v>Syahriyah = Rp 0
Jariyah = Rp 0
Daftar Ulang = Rp 0
Total = Rp 0
______________________
ID : </v>
      </c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79" t="str">
        <f t="shared" si="2"/>
        <v/>
      </c>
      <c r="B314" s="14"/>
      <c r="C314" s="79"/>
      <c r="D314" s="79"/>
      <c r="E314" s="79"/>
      <c r="F314" s="79"/>
      <c r="G314" s="79"/>
      <c r="H314" s="14"/>
      <c r="I314" s="14"/>
      <c r="J314" s="14"/>
      <c r="K314" s="14"/>
      <c r="L314" s="14"/>
      <c r="M314" s="14" t="str">
        <f t="shared" ref="M314:P314" si="315">text(I314,"Rp #,##0")</f>
        <v>Rp 0</v>
      </c>
      <c r="N314" s="14" t="str">
        <f t="shared" si="315"/>
        <v>Rp 0</v>
      </c>
      <c r="O314" s="14" t="str">
        <f t="shared" si="315"/>
        <v>Rp 0</v>
      </c>
      <c r="P314" s="14" t="str">
        <f t="shared" si="315"/>
        <v>Rp 0</v>
      </c>
      <c r="Q314" s="14" t="str">
        <f t="shared" si="4"/>
        <v>Syahriyah = Rp 0
Jariyah = Rp 0
Daftar Ulang = Rp 0
Total = Rp 0
______________________
ID : </v>
      </c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79" t="str">
        <f t="shared" si="2"/>
        <v/>
      </c>
      <c r="B315" s="14"/>
      <c r="C315" s="79"/>
      <c r="D315" s="79"/>
      <c r="E315" s="79"/>
      <c r="F315" s="79"/>
      <c r="G315" s="79"/>
      <c r="H315" s="14"/>
      <c r="I315" s="14"/>
      <c r="J315" s="14"/>
      <c r="K315" s="14"/>
      <c r="L315" s="14"/>
      <c r="M315" s="14" t="str">
        <f t="shared" ref="M315:P315" si="316">text(I315,"Rp #,##0")</f>
        <v>Rp 0</v>
      </c>
      <c r="N315" s="14" t="str">
        <f t="shared" si="316"/>
        <v>Rp 0</v>
      </c>
      <c r="O315" s="14" t="str">
        <f t="shared" si="316"/>
        <v>Rp 0</v>
      </c>
      <c r="P315" s="14" t="str">
        <f t="shared" si="316"/>
        <v>Rp 0</v>
      </c>
      <c r="Q315" s="14" t="str">
        <f t="shared" si="4"/>
        <v>Syahriyah = Rp 0
Jariyah = Rp 0
Daftar Ulang = Rp 0
Total = Rp 0
______________________
ID : </v>
      </c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79" t="str">
        <f t="shared" si="2"/>
        <v/>
      </c>
      <c r="B316" s="14"/>
      <c r="C316" s="79"/>
      <c r="D316" s="79"/>
      <c r="E316" s="79"/>
      <c r="F316" s="79"/>
      <c r="G316" s="79"/>
      <c r="H316" s="14"/>
      <c r="I316" s="14"/>
      <c r="J316" s="14"/>
      <c r="K316" s="14"/>
      <c r="L316" s="14"/>
      <c r="M316" s="14" t="str">
        <f t="shared" ref="M316:P316" si="317">text(I316,"Rp #,##0")</f>
        <v>Rp 0</v>
      </c>
      <c r="N316" s="14" t="str">
        <f t="shared" si="317"/>
        <v>Rp 0</v>
      </c>
      <c r="O316" s="14" t="str">
        <f t="shared" si="317"/>
        <v>Rp 0</v>
      </c>
      <c r="P316" s="14" t="str">
        <f t="shared" si="317"/>
        <v>Rp 0</v>
      </c>
      <c r="Q316" s="14" t="str">
        <f t="shared" si="4"/>
        <v>Syahriyah = Rp 0
Jariyah = Rp 0
Daftar Ulang = Rp 0
Total = Rp 0
______________________
ID : </v>
      </c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79" t="str">
        <f t="shared" si="2"/>
        <v/>
      </c>
      <c r="B317" s="14"/>
      <c r="C317" s="79"/>
      <c r="D317" s="79"/>
      <c r="E317" s="79"/>
      <c r="F317" s="79"/>
      <c r="G317" s="79"/>
      <c r="H317" s="14"/>
      <c r="I317" s="14"/>
      <c r="J317" s="14"/>
      <c r="K317" s="14"/>
      <c r="L317" s="14"/>
      <c r="M317" s="14" t="str">
        <f t="shared" ref="M317:P317" si="318">text(I317,"Rp #,##0")</f>
        <v>Rp 0</v>
      </c>
      <c r="N317" s="14" t="str">
        <f t="shared" si="318"/>
        <v>Rp 0</v>
      </c>
      <c r="O317" s="14" t="str">
        <f t="shared" si="318"/>
        <v>Rp 0</v>
      </c>
      <c r="P317" s="14" t="str">
        <f t="shared" si="318"/>
        <v>Rp 0</v>
      </c>
      <c r="Q317" s="14" t="str">
        <f t="shared" si="4"/>
        <v>Syahriyah = Rp 0
Jariyah = Rp 0
Daftar Ulang = Rp 0
Total = Rp 0
______________________
ID : </v>
      </c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79" t="str">
        <f t="shared" si="2"/>
        <v/>
      </c>
      <c r="B318" s="14"/>
      <c r="C318" s="79"/>
      <c r="D318" s="79"/>
      <c r="E318" s="79"/>
      <c r="F318" s="79"/>
      <c r="G318" s="79"/>
      <c r="H318" s="14"/>
      <c r="I318" s="14"/>
      <c r="J318" s="14"/>
      <c r="K318" s="14"/>
      <c r="L318" s="14"/>
      <c r="M318" s="14" t="str">
        <f t="shared" ref="M318:P318" si="319">text(I318,"Rp #,##0")</f>
        <v>Rp 0</v>
      </c>
      <c r="N318" s="14" t="str">
        <f t="shared" si="319"/>
        <v>Rp 0</v>
      </c>
      <c r="O318" s="14" t="str">
        <f t="shared" si="319"/>
        <v>Rp 0</v>
      </c>
      <c r="P318" s="14" t="str">
        <f t="shared" si="319"/>
        <v>Rp 0</v>
      </c>
      <c r="Q318" s="14" t="str">
        <f t="shared" si="4"/>
        <v>Syahriyah = Rp 0
Jariyah = Rp 0
Daftar Ulang = Rp 0
Total = Rp 0
______________________
ID : </v>
      </c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79" t="str">
        <f t="shared" si="2"/>
        <v/>
      </c>
      <c r="B319" s="14"/>
      <c r="C319" s="79"/>
      <c r="D319" s="79"/>
      <c r="E319" s="79"/>
      <c r="F319" s="79"/>
      <c r="G319" s="79"/>
      <c r="H319" s="14"/>
      <c r="I319" s="14"/>
      <c r="J319" s="14"/>
      <c r="K319" s="14"/>
      <c r="L319" s="14"/>
      <c r="M319" s="14" t="str">
        <f t="shared" ref="M319:P319" si="320">text(I319,"Rp #,##0")</f>
        <v>Rp 0</v>
      </c>
      <c r="N319" s="14" t="str">
        <f t="shared" si="320"/>
        <v>Rp 0</v>
      </c>
      <c r="O319" s="14" t="str">
        <f t="shared" si="320"/>
        <v>Rp 0</v>
      </c>
      <c r="P319" s="14" t="str">
        <f t="shared" si="320"/>
        <v>Rp 0</v>
      </c>
      <c r="Q319" s="14" t="str">
        <f t="shared" si="4"/>
        <v>Syahriyah = Rp 0
Jariyah = Rp 0
Daftar Ulang = Rp 0
Total = Rp 0
______________________
ID : </v>
      </c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79" t="str">
        <f t="shared" si="2"/>
        <v/>
      </c>
      <c r="B320" s="14"/>
      <c r="C320" s="79"/>
      <c r="D320" s="79"/>
      <c r="E320" s="79"/>
      <c r="F320" s="79"/>
      <c r="G320" s="79"/>
      <c r="H320" s="14"/>
      <c r="I320" s="14"/>
      <c r="J320" s="14"/>
      <c r="K320" s="14"/>
      <c r="L320" s="14"/>
      <c r="M320" s="14" t="str">
        <f t="shared" ref="M320:P320" si="321">text(I320,"Rp #,##0")</f>
        <v>Rp 0</v>
      </c>
      <c r="N320" s="14" t="str">
        <f t="shared" si="321"/>
        <v>Rp 0</v>
      </c>
      <c r="O320" s="14" t="str">
        <f t="shared" si="321"/>
        <v>Rp 0</v>
      </c>
      <c r="P320" s="14" t="str">
        <f t="shared" si="321"/>
        <v>Rp 0</v>
      </c>
      <c r="Q320" s="14" t="str">
        <f t="shared" si="4"/>
        <v>Syahriyah = Rp 0
Jariyah = Rp 0
Daftar Ulang = Rp 0
Total = Rp 0
______________________
ID : </v>
      </c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79" t="str">
        <f t="shared" si="2"/>
        <v/>
      </c>
      <c r="B321" s="14"/>
      <c r="C321" s="79"/>
      <c r="D321" s="79"/>
      <c r="E321" s="79"/>
      <c r="F321" s="79"/>
      <c r="G321" s="79"/>
      <c r="H321" s="14"/>
      <c r="I321" s="14"/>
      <c r="J321" s="14"/>
      <c r="K321" s="14"/>
      <c r="L321" s="14"/>
      <c r="M321" s="14" t="str">
        <f t="shared" ref="M321:P321" si="322">text(I321,"Rp #,##0")</f>
        <v>Rp 0</v>
      </c>
      <c r="N321" s="14" t="str">
        <f t="shared" si="322"/>
        <v>Rp 0</v>
      </c>
      <c r="O321" s="14" t="str">
        <f t="shared" si="322"/>
        <v>Rp 0</v>
      </c>
      <c r="P321" s="14" t="str">
        <f t="shared" si="322"/>
        <v>Rp 0</v>
      </c>
      <c r="Q321" s="14" t="str">
        <f t="shared" si="4"/>
        <v>Syahriyah = Rp 0
Jariyah = Rp 0
Daftar Ulang = Rp 0
Total = Rp 0
______________________
ID : </v>
      </c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79" t="str">
        <f t="shared" si="2"/>
        <v/>
      </c>
      <c r="B322" s="14"/>
      <c r="C322" s="79"/>
      <c r="D322" s="79"/>
      <c r="E322" s="79"/>
      <c r="F322" s="79"/>
      <c r="G322" s="79"/>
      <c r="H322" s="14"/>
      <c r="I322" s="14"/>
      <c r="J322" s="14"/>
      <c r="K322" s="14"/>
      <c r="L322" s="14"/>
      <c r="M322" s="14" t="str">
        <f t="shared" ref="M322:P322" si="323">text(I322,"Rp #,##0")</f>
        <v>Rp 0</v>
      </c>
      <c r="N322" s="14" t="str">
        <f t="shared" si="323"/>
        <v>Rp 0</v>
      </c>
      <c r="O322" s="14" t="str">
        <f t="shared" si="323"/>
        <v>Rp 0</v>
      </c>
      <c r="P322" s="14" t="str">
        <f t="shared" si="323"/>
        <v>Rp 0</v>
      </c>
      <c r="Q322" s="14" t="str">
        <f t="shared" si="4"/>
        <v>Syahriyah = Rp 0
Jariyah = Rp 0
Daftar Ulang = Rp 0
Total = Rp 0
______________________
ID : </v>
      </c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79" t="str">
        <f t="shared" si="2"/>
        <v/>
      </c>
      <c r="B323" s="14"/>
      <c r="C323" s="79"/>
      <c r="D323" s="79"/>
      <c r="E323" s="79"/>
      <c r="F323" s="79"/>
      <c r="G323" s="79"/>
      <c r="H323" s="14"/>
      <c r="I323" s="14"/>
      <c r="J323" s="14"/>
      <c r="K323" s="14"/>
      <c r="L323" s="14"/>
      <c r="M323" s="14" t="str">
        <f t="shared" ref="M323:P323" si="324">text(I323,"Rp #,##0")</f>
        <v>Rp 0</v>
      </c>
      <c r="N323" s="14" t="str">
        <f t="shared" si="324"/>
        <v>Rp 0</v>
      </c>
      <c r="O323" s="14" t="str">
        <f t="shared" si="324"/>
        <v>Rp 0</v>
      </c>
      <c r="P323" s="14" t="str">
        <f t="shared" si="324"/>
        <v>Rp 0</v>
      </c>
      <c r="Q323" s="14" t="str">
        <f t="shared" si="4"/>
        <v>Syahriyah = Rp 0
Jariyah = Rp 0
Daftar Ulang = Rp 0
Total = Rp 0
______________________
ID : </v>
      </c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79" t="str">
        <f t="shared" si="2"/>
        <v/>
      </c>
      <c r="B324" s="14"/>
      <c r="C324" s="79"/>
      <c r="D324" s="79"/>
      <c r="E324" s="79"/>
      <c r="F324" s="79"/>
      <c r="G324" s="79"/>
      <c r="H324" s="14"/>
      <c r="I324" s="14"/>
      <c r="J324" s="14"/>
      <c r="K324" s="14"/>
      <c r="L324" s="14"/>
      <c r="M324" s="14" t="str">
        <f t="shared" ref="M324:P324" si="325">text(I324,"Rp #,##0")</f>
        <v>Rp 0</v>
      </c>
      <c r="N324" s="14" t="str">
        <f t="shared" si="325"/>
        <v>Rp 0</v>
      </c>
      <c r="O324" s="14" t="str">
        <f t="shared" si="325"/>
        <v>Rp 0</v>
      </c>
      <c r="P324" s="14" t="str">
        <f t="shared" si="325"/>
        <v>Rp 0</v>
      </c>
      <c r="Q324" s="14" t="str">
        <f t="shared" si="4"/>
        <v>Syahriyah = Rp 0
Jariyah = Rp 0
Daftar Ulang = Rp 0
Total = Rp 0
______________________
ID : </v>
      </c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79" t="str">
        <f t="shared" si="2"/>
        <v/>
      </c>
      <c r="B325" s="14"/>
      <c r="C325" s="79"/>
      <c r="D325" s="79"/>
      <c r="E325" s="79"/>
      <c r="F325" s="79"/>
      <c r="G325" s="79"/>
      <c r="H325" s="14"/>
      <c r="I325" s="14"/>
      <c r="J325" s="14"/>
      <c r="K325" s="14"/>
      <c r="L325" s="14"/>
      <c r="M325" s="14" t="str">
        <f t="shared" ref="M325:P325" si="326">text(I325,"Rp #,##0")</f>
        <v>Rp 0</v>
      </c>
      <c r="N325" s="14" t="str">
        <f t="shared" si="326"/>
        <v>Rp 0</v>
      </c>
      <c r="O325" s="14" t="str">
        <f t="shared" si="326"/>
        <v>Rp 0</v>
      </c>
      <c r="P325" s="14" t="str">
        <f t="shared" si="326"/>
        <v>Rp 0</v>
      </c>
      <c r="Q325" s="14" t="str">
        <f t="shared" si="4"/>
        <v>Syahriyah = Rp 0
Jariyah = Rp 0
Daftar Ulang = Rp 0
Total = Rp 0
______________________
ID : </v>
      </c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79" t="str">
        <f t="shared" si="2"/>
        <v/>
      </c>
      <c r="B326" s="14"/>
      <c r="C326" s="79"/>
      <c r="D326" s="79"/>
      <c r="E326" s="79"/>
      <c r="F326" s="79"/>
      <c r="G326" s="79"/>
      <c r="H326" s="14"/>
      <c r="I326" s="14"/>
      <c r="J326" s="14"/>
      <c r="K326" s="14"/>
      <c r="L326" s="14"/>
      <c r="M326" s="14" t="str">
        <f t="shared" ref="M326:P326" si="327">text(I326,"Rp #,##0")</f>
        <v>Rp 0</v>
      </c>
      <c r="N326" s="14" t="str">
        <f t="shared" si="327"/>
        <v>Rp 0</v>
      </c>
      <c r="O326" s="14" t="str">
        <f t="shared" si="327"/>
        <v>Rp 0</v>
      </c>
      <c r="P326" s="14" t="str">
        <f t="shared" si="327"/>
        <v>Rp 0</v>
      </c>
      <c r="Q326" s="14" t="str">
        <f t="shared" si="4"/>
        <v>Syahriyah = Rp 0
Jariyah = Rp 0
Daftar Ulang = Rp 0
Total = Rp 0
______________________
ID : </v>
      </c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79" t="str">
        <f t="shared" si="2"/>
        <v/>
      </c>
      <c r="B327" s="14"/>
      <c r="C327" s="79"/>
      <c r="D327" s="79"/>
      <c r="E327" s="79"/>
      <c r="F327" s="79"/>
      <c r="G327" s="79"/>
      <c r="H327" s="14"/>
      <c r="I327" s="14"/>
      <c r="J327" s="14"/>
      <c r="K327" s="14"/>
      <c r="L327" s="14"/>
      <c r="M327" s="14" t="str">
        <f t="shared" ref="M327:P327" si="328">text(I327,"Rp #,##0")</f>
        <v>Rp 0</v>
      </c>
      <c r="N327" s="14" t="str">
        <f t="shared" si="328"/>
        <v>Rp 0</v>
      </c>
      <c r="O327" s="14" t="str">
        <f t="shared" si="328"/>
        <v>Rp 0</v>
      </c>
      <c r="P327" s="14" t="str">
        <f t="shared" si="328"/>
        <v>Rp 0</v>
      </c>
      <c r="Q327" s="14" t="str">
        <f t="shared" si="4"/>
        <v>Syahriyah = Rp 0
Jariyah = Rp 0
Daftar Ulang = Rp 0
Total = Rp 0
______________________
ID : </v>
      </c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79" t="str">
        <f t="shared" si="2"/>
        <v/>
      </c>
      <c r="B328" s="14"/>
      <c r="C328" s="79"/>
      <c r="D328" s="79"/>
      <c r="E328" s="79"/>
      <c r="F328" s="79"/>
      <c r="G328" s="79"/>
      <c r="H328" s="14"/>
      <c r="I328" s="14"/>
      <c r="J328" s="14"/>
      <c r="K328" s="14"/>
      <c r="L328" s="14"/>
      <c r="M328" s="14" t="str">
        <f t="shared" ref="M328:P328" si="329">text(I328,"Rp #,##0")</f>
        <v>Rp 0</v>
      </c>
      <c r="N328" s="14" t="str">
        <f t="shared" si="329"/>
        <v>Rp 0</v>
      </c>
      <c r="O328" s="14" t="str">
        <f t="shared" si="329"/>
        <v>Rp 0</v>
      </c>
      <c r="P328" s="14" t="str">
        <f t="shared" si="329"/>
        <v>Rp 0</v>
      </c>
      <c r="Q328" s="14" t="str">
        <f t="shared" si="4"/>
        <v>Syahriyah = Rp 0
Jariyah = Rp 0
Daftar Ulang = Rp 0
Total = Rp 0
______________________
ID : </v>
      </c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79" t="str">
        <f t="shared" si="2"/>
        <v/>
      </c>
      <c r="B329" s="14"/>
      <c r="C329" s="79"/>
      <c r="D329" s="79"/>
      <c r="E329" s="79"/>
      <c r="F329" s="79"/>
      <c r="G329" s="79"/>
      <c r="H329" s="14"/>
      <c r="I329" s="14"/>
      <c r="J329" s="14"/>
      <c r="K329" s="14"/>
      <c r="L329" s="14"/>
      <c r="M329" s="14" t="str">
        <f t="shared" ref="M329:P329" si="330">text(I329,"Rp #,##0")</f>
        <v>Rp 0</v>
      </c>
      <c r="N329" s="14" t="str">
        <f t="shared" si="330"/>
        <v>Rp 0</v>
      </c>
      <c r="O329" s="14" t="str">
        <f t="shared" si="330"/>
        <v>Rp 0</v>
      </c>
      <c r="P329" s="14" t="str">
        <f t="shared" si="330"/>
        <v>Rp 0</v>
      </c>
      <c r="Q329" s="14" t="str">
        <f t="shared" si="4"/>
        <v>Syahriyah = Rp 0
Jariyah = Rp 0
Daftar Ulang = Rp 0
Total = Rp 0
______________________
ID : </v>
      </c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79" t="str">
        <f t="shared" si="2"/>
        <v/>
      </c>
      <c r="B330" s="14"/>
      <c r="C330" s="79"/>
      <c r="D330" s="79"/>
      <c r="E330" s="79"/>
      <c r="F330" s="79"/>
      <c r="G330" s="79"/>
      <c r="H330" s="14"/>
      <c r="I330" s="14"/>
      <c r="J330" s="14"/>
      <c r="K330" s="14"/>
      <c r="L330" s="14"/>
      <c r="M330" s="14" t="str">
        <f t="shared" ref="M330:P330" si="331">text(I330,"Rp #,##0")</f>
        <v>Rp 0</v>
      </c>
      <c r="N330" s="14" t="str">
        <f t="shared" si="331"/>
        <v>Rp 0</v>
      </c>
      <c r="O330" s="14" t="str">
        <f t="shared" si="331"/>
        <v>Rp 0</v>
      </c>
      <c r="P330" s="14" t="str">
        <f t="shared" si="331"/>
        <v>Rp 0</v>
      </c>
      <c r="Q330" s="14" t="str">
        <f t="shared" si="4"/>
        <v>Syahriyah = Rp 0
Jariyah = Rp 0
Daftar Ulang = Rp 0
Total = Rp 0
______________________
ID : </v>
      </c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79" t="str">
        <f t="shared" si="2"/>
        <v/>
      </c>
      <c r="B331" s="14"/>
      <c r="C331" s="79"/>
      <c r="D331" s="79"/>
      <c r="E331" s="79"/>
      <c r="F331" s="79"/>
      <c r="G331" s="79"/>
      <c r="H331" s="14"/>
      <c r="I331" s="14"/>
      <c r="J331" s="14"/>
      <c r="K331" s="14"/>
      <c r="L331" s="14"/>
      <c r="M331" s="14" t="str">
        <f t="shared" ref="M331:P331" si="332">text(I331,"Rp #,##0")</f>
        <v>Rp 0</v>
      </c>
      <c r="N331" s="14" t="str">
        <f t="shared" si="332"/>
        <v>Rp 0</v>
      </c>
      <c r="O331" s="14" t="str">
        <f t="shared" si="332"/>
        <v>Rp 0</v>
      </c>
      <c r="P331" s="14" t="str">
        <f t="shared" si="332"/>
        <v>Rp 0</v>
      </c>
      <c r="Q331" s="14" t="str">
        <f t="shared" si="4"/>
        <v>Syahriyah = Rp 0
Jariyah = Rp 0
Daftar Ulang = Rp 0
Total = Rp 0
______________________
ID : </v>
      </c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79" t="str">
        <f t="shared" si="2"/>
        <v/>
      </c>
      <c r="B332" s="14"/>
      <c r="C332" s="79"/>
      <c r="D332" s="79"/>
      <c r="E332" s="79"/>
      <c r="F332" s="79"/>
      <c r="G332" s="79"/>
      <c r="H332" s="14"/>
      <c r="I332" s="14"/>
      <c r="J332" s="14"/>
      <c r="K332" s="14"/>
      <c r="L332" s="14"/>
      <c r="M332" s="14" t="str">
        <f t="shared" ref="M332:P332" si="333">text(I332,"Rp #,##0")</f>
        <v>Rp 0</v>
      </c>
      <c r="N332" s="14" t="str">
        <f t="shared" si="333"/>
        <v>Rp 0</v>
      </c>
      <c r="O332" s="14" t="str">
        <f t="shared" si="333"/>
        <v>Rp 0</v>
      </c>
      <c r="P332" s="14" t="str">
        <f t="shared" si="333"/>
        <v>Rp 0</v>
      </c>
      <c r="Q332" s="14" t="str">
        <f t="shared" si="4"/>
        <v>Syahriyah = Rp 0
Jariyah = Rp 0
Daftar Ulang = Rp 0
Total = Rp 0
______________________
ID : </v>
      </c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79" t="str">
        <f t="shared" si="2"/>
        <v/>
      </c>
      <c r="B333" s="14"/>
      <c r="C333" s="79"/>
      <c r="D333" s="79"/>
      <c r="E333" s="79"/>
      <c r="F333" s="79"/>
      <c r="G333" s="79"/>
      <c r="H333" s="14"/>
      <c r="I333" s="14"/>
      <c r="J333" s="14"/>
      <c r="K333" s="14"/>
      <c r="L333" s="14"/>
      <c r="M333" s="14" t="str">
        <f t="shared" ref="M333:P333" si="334">text(I333,"Rp #,##0")</f>
        <v>Rp 0</v>
      </c>
      <c r="N333" s="14" t="str">
        <f t="shared" si="334"/>
        <v>Rp 0</v>
      </c>
      <c r="O333" s="14" t="str">
        <f t="shared" si="334"/>
        <v>Rp 0</v>
      </c>
      <c r="P333" s="14" t="str">
        <f t="shared" si="334"/>
        <v>Rp 0</v>
      </c>
      <c r="Q333" s="14" t="str">
        <f t="shared" si="4"/>
        <v>Syahriyah = Rp 0
Jariyah = Rp 0
Daftar Ulang = Rp 0
Total = Rp 0
______________________
ID : </v>
      </c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79" t="str">
        <f t="shared" si="2"/>
        <v/>
      </c>
      <c r="B334" s="14"/>
      <c r="C334" s="79"/>
      <c r="D334" s="79"/>
      <c r="E334" s="79"/>
      <c r="F334" s="79"/>
      <c r="G334" s="79"/>
      <c r="H334" s="14"/>
      <c r="I334" s="14"/>
      <c r="J334" s="14"/>
      <c r="K334" s="14"/>
      <c r="L334" s="14"/>
      <c r="M334" s="14" t="str">
        <f t="shared" ref="M334:P334" si="335">text(I334,"Rp #,##0")</f>
        <v>Rp 0</v>
      </c>
      <c r="N334" s="14" t="str">
        <f t="shared" si="335"/>
        <v>Rp 0</v>
      </c>
      <c r="O334" s="14" t="str">
        <f t="shared" si="335"/>
        <v>Rp 0</v>
      </c>
      <c r="P334" s="14" t="str">
        <f t="shared" si="335"/>
        <v>Rp 0</v>
      </c>
      <c r="Q334" s="14" t="str">
        <f t="shared" si="4"/>
        <v>Syahriyah = Rp 0
Jariyah = Rp 0
Daftar Ulang = Rp 0
Total = Rp 0
______________________
ID : </v>
      </c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79" t="str">
        <f t="shared" si="2"/>
        <v/>
      </c>
      <c r="B335" s="14"/>
      <c r="C335" s="79"/>
      <c r="D335" s="79"/>
      <c r="E335" s="79"/>
      <c r="F335" s="79"/>
      <c r="G335" s="79"/>
      <c r="H335" s="14"/>
      <c r="I335" s="14"/>
      <c r="J335" s="14"/>
      <c r="K335" s="14"/>
      <c r="L335" s="14"/>
      <c r="M335" s="14" t="str">
        <f t="shared" ref="M335:P335" si="336">text(I335,"Rp #,##0")</f>
        <v>Rp 0</v>
      </c>
      <c r="N335" s="14" t="str">
        <f t="shared" si="336"/>
        <v>Rp 0</v>
      </c>
      <c r="O335" s="14" t="str">
        <f t="shared" si="336"/>
        <v>Rp 0</v>
      </c>
      <c r="P335" s="14" t="str">
        <f t="shared" si="336"/>
        <v>Rp 0</v>
      </c>
      <c r="Q335" s="14" t="str">
        <f t="shared" si="4"/>
        <v>Syahriyah = Rp 0
Jariyah = Rp 0
Daftar Ulang = Rp 0
Total = Rp 0
______________________
ID : </v>
      </c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79" t="str">
        <f t="shared" si="2"/>
        <v/>
      </c>
      <c r="B336" s="14"/>
      <c r="C336" s="79"/>
      <c r="D336" s="79"/>
      <c r="E336" s="79"/>
      <c r="F336" s="79"/>
      <c r="G336" s="79"/>
      <c r="H336" s="14"/>
      <c r="I336" s="14"/>
      <c r="J336" s="14"/>
      <c r="K336" s="14"/>
      <c r="L336" s="14"/>
      <c r="M336" s="14" t="str">
        <f t="shared" ref="M336:P336" si="337">text(I336,"Rp #,##0")</f>
        <v>Rp 0</v>
      </c>
      <c r="N336" s="14" t="str">
        <f t="shared" si="337"/>
        <v>Rp 0</v>
      </c>
      <c r="O336" s="14" t="str">
        <f t="shared" si="337"/>
        <v>Rp 0</v>
      </c>
      <c r="P336" s="14" t="str">
        <f t="shared" si="337"/>
        <v>Rp 0</v>
      </c>
      <c r="Q336" s="14" t="str">
        <f t="shared" si="4"/>
        <v>Syahriyah = Rp 0
Jariyah = Rp 0
Daftar Ulang = Rp 0
Total = Rp 0
______________________
ID : </v>
      </c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79" t="str">
        <f t="shared" si="2"/>
        <v/>
      </c>
      <c r="B337" s="14"/>
      <c r="C337" s="79"/>
      <c r="D337" s="79"/>
      <c r="E337" s="79"/>
      <c r="F337" s="79"/>
      <c r="G337" s="79"/>
      <c r="H337" s="14"/>
      <c r="I337" s="14"/>
      <c r="J337" s="14"/>
      <c r="K337" s="14"/>
      <c r="L337" s="14"/>
      <c r="M337" s="14" t="str">
        <f t="shared" ref="M337:P337" si="338">text(I337,"Rp #,##0")</f>
        <v>Rp 0</v>
      </c>
      <c r="N337" s="14" t="str">
        <f t="shared" si="338"/>
        <v>Rp 0</v>
      </c>
      <c r="O337" s="14" t="str">
        <f t="shared" si="338"/>
        <v>Rp 0</v>
      </c>
      <c r="P337" s="14" t="str">
        <f t="shared" si="338"/>
        <v>Rp 0</v>
      </c>
      <c r="Q337" s="14" t="str">
        <f t="shared" si="4"/>
        <v>Syahriyah = Rp 0
Jariyah = Rp 0
Daftar Ulang = Rp 0
Total = Rp 0
______________________
ID : </v>
      </c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79" t="str">
        <f t="shared" si="2"/>
        <v/>
      </c>
      <c r="B338" s="14"/>
      <c r="C338" s="79"/>
      <c r="D338" s="79"/>
      <c r="E338" s="79"/>
      <c r="F338" s="79"/>
      <c r="G338" s="79"/>
      <c r="H338" s="14"/>
      <c r="I338" s="14"/>
      <c r="J338" s="14"/>
      <c r="K338" s="14"/>
      <c r="L338" s="14"/>
      <c r="M338" s="14" t="str">
        <f t="shared" ref="M338:P338" si="339">text(I338,"Rp #,##0")</f>
        <v>Rp 0</v>
      </c>
      <c r="N338" s="14" t="str">
        <f t="shared" si="339"/>
        <v>Rp 0</v>
      </c>
      <c r="O338" s="14" t="str">
        <f t="shared" si="339"/>
        <v>Rp 0</v>
      </c>
      <c r="P338" s="14" t="str">
        <f t="shared" si="339"/>
        <v>Rp 0</v>
      </c>
      <c r="Q338" s="14" t="str">
        <f t="shared" si="4"/>
        <v>Syahriyah = Rp 0
Jariyah = Rp 0
Daftar Ulang = Rp 0
Total = Rp 0
______________________
ID : </v>
      </c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79" t="str">
        <f t="shared" si="2"/>
        <v/>
      </c>
      <c r="B339" s="14"/>
      <c r="C339" s="79"/>
      <c r="D339" s="79"/>
      <c r="E339" s="79"/>
      <c r="F339" s="79"/>
      <c r="G339" s="79"/>
      <c r="H339" s="14"/>
      <c r="I339" s="14"/>
      <c r="J339" s="14"/>
      <c r="K339" s="14"/>
      <c r="L339" s="14"/>
      <c r="M339" s="14" t="str">
        <f t="shared" ref="M339:P339" si="340">text(I339,"Rp #,##0")</f>
        <v>Rp 0</v>
      </c>
      <c r="N339" s="14" t="str">
        <f t="shared" si="340"/>
        <v>Rp 0</v>
      </c>
      <c r="O339" s="14" t="str">
        <f t="shared" si="340"/>
        <v>Rp 0</v>
      </c>
      <c r="P339" s="14" t="str">
        <f t="shared" si="340"/>
        <v>Rp 0</v>
      </c>
      <c r="Q339" s="14" t="str">
        <f t="shared" si="4"/>
        <v>Syahriyah = Rp 0
Jariyah = Rp 0
Daftar Ulang = Rp 0
Total = Rp 0
______________________
ID : </v>
      </c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79" t="str">
        <f t="shared" si="2"/>
        <v/>
      </c>
      <c r="B340" s="14"/>
      <c r="C340" s="79"/>
      <c r="D340" s="79"/>
      <c r="E340" s="79"/>
      <c r="F340" s="79"/>
      <c r="G340" s="79"/>
      <c r="H340" s="14"/>
      <c r="I340" s="14"/>
      <c r="J340" s="14"/>
      <c r="K340" s="14"/>
      <c r="L340" s="14"/>
      <c r="M340" s="14" t="str">
        <f t="shared" ref="M340:P340" si="341">text(I340,"Rp #,##0")</f>
        <v>Rp 0</v>
      </c>
      <c r="N340" s="14" t="str">
        <f t="shared" si="341"/>
        <v>Rp 0</v>
      </c>
      <c r="O340" s="14" t="str">
        <f t="shared" si="341"/>
        <v>Rp 0</v>
      </c>
      <c r="P340" s="14" t="str">
        <f t="shared" si="341"/>
        <v>Rp 0</v>
      </c>
      <c r="Q340" s="14" t="str">
        <f t="shared" si="4"/>
        <v>Syahriyah = Rp 0
Jariyah = Rp 0
Daftar Ulang = Rp 0
Total = Rp 0
______________________
ID : </v>
      </c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79" t="str">
        <f t="shared" si="2"/>
        <v/>
      </c>
      <c r="B341" s="14"/>
      <c r="C341" s="79"/>
      <c r="D341" s="79"/>
      <c r="E341" s="79"/>
      <c r="F341" s="79"/>
      <c r="G341" s="79"/>
      <c r="H341" s="14"/>
      <c r="I341" s="14"/>
      <c r="J341" s="14"/>
      <c r="K341" s="14"/>
      <c r="L341" s="14"/>
      <c r="M341" s="14" t="str">
        <f t="shared" ref="M341:P341" si="342">text(I341,"Rp #,##0")</f>
        <v>Rp 0</v>
      </c>
      <c r="N341" s="14" t="str">
        <f t="shared" si="342"/>
        <v>Rp 0</v>
      </c>
      <c r="O341" s="14" t="str">
        <f t="shared" si="342"/>
        <v>Rp 0</v>
      </c>
      <c r="P341" s="14" t="str">
        <f t="shared" si="342"/>
        <v>Rp 0</v>
      </c>
      <c r="Q341" s="14" t="str">
        <f t="shared" si="4"/>
        <v>Syahriyah = Rp 0
Jariyah = Rp 0
Daftar Ulang = Rp 0
Total = Rp 0
______________________
ID : </v>
      </c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79" t="str">
        <f t="shared" si="2"/>
        <v/>
      </c>
      <c r="B342" s="14"/>
      <c r="C342" s="79"/>
      <c r="D342" s="79"/>
      <c r="E342" s="79"/>
      <c r="F342" s="79"/>
      <c r="G342" s="79"/>
      <c r="H342" s="14"/>
      <c r="I342" s="14"/>
      <c r="J342" s="14"/>
      <c r="K342" s="14"/>
      <c r="L342" s="14"/>
      <c r="M342" s="14" t="str">
        <f t="shared" ref="M342:P342" si="343">text(I342,"Rp #,##0")</f>
        <v>Rp 0</v>
      </c>
      <c r="N342" s="14" t="str">
        <f t="shared" si="343"/>
        <v>Rp 0</v>
      </c>
      <c r="O342" s="14" t="str">
        <f t="shared" si="343"/>
        <v>Rp 0</v>
      </c>
      <c r="P342" s="14" t="str">
        <f t="shared" si="343"/>
        <v>Rp 0</v>
      </c>
      <c r="Q342" s="14" t="str">
        <f t="shared" si="4"/>
        <v>Syahriyah = Rp 0
Jariyah = Rp 0
Daftar Ulang = Rp 0
Total = Rp 0
______________________
ID : </v>
      </c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79" t="str">
        <f t="shared" si="2"/>
        <v/>
      </c>
      <c r="B343" s="14"/>
      <c r="C343" s="79"/>
      <c r="D343" s="79"/>
      <c r="E343" s="79"/>
      <c r="F343" s="79"/>
      <c r="G343" s="79"/>
      <c r="H343" s="14"/>
      <c r="I343" s="14"/>
      <c r="J343" s="14"/>
      <c r="K343" s="14"/>
      <c r="L343" s="14"/>
      <c r="M343" s="14" t="str">
        <f t="shared" ref="M343:P343" si="344">text(I343,"Rp #,##0")</f>
        <v>Rp 0</v>
      </c>
      <c r="N343" s="14" t="str">
        <f t="shared" si="344"/>
        <v>Rp 0</v>
      </c>
      <c r="O343" s="14" t="str">
        <f t="shared" si="344"/>
        <v>Rp 0</v>
      </c>
      <c r="P343" s="14" t="str">
        <f t="shared" si="344"/>
        <v>Rp 0</v>
      </c>
      <c r="Q343" s="14" t="str">
        <f t="shared" si="4"/>
        <v>Syahriyah = Rp 0
Jariyah = Rp 0
Daftar Ulang = Rp 0
Total = Rp 0
______________________
ID : </v>
      </c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79" t="str">
        <f t="shared" si="2"/>
        <v/>
      </c>
      <c r="B344" s="14"/>
      <c r="C344" s="79"/>
      <c r="D344" s="79"/>
      <c r="E344" s="79"/>
      <c r="F344" s="79"/>
      <c r="G344" s="79"/>
      <c r="H344" s="14"/>
      <c r="I344" s="14"/>
      <c r="J344" s="14"/>
      <c r="K344" s="14"/>
      <c r="L344" s="14"/>
      <c r="M344" s="14" t="str">
        <f t="shared" ref="M344:P344" si="345">text(I344,"Rp #,##0")</f>
        <v>Rp 0</v>
      </c>
      <c r="N344" s="14" t="str">
        <f t="shared" si="345"/>
        <v>Rp 0</v>
      </c>
      <c r="O344" s="14" t="str">
        <f t="shared" si="345"/>
        <v>Rp 0</v>
      </c>
      <c r="P344" s="14" t="str">
        <f t="shared" si="345"/>
        <v>Rp 0</v>
      </c>
      <c r="Q344" s="14" t="str">
        <f t="shared" si="4"/>
        <v>Syahriyah = Rp 0
Jariyah = Rp 0
Daftar Ulang = Rp 0
Total = Rp 0
______________________
ID : </v>
      </c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79" t="str">
        <f t="shared" si="2"/>
        <v/>
      </c>
      <c r="B345" s="14"/>
      <c r="C345" s="79"/>
      <c r="D345" s="79"/>
      <c r="E345" s="79"/>
      <c r="F345" s="79"/>
      <c r="G345" s="79"/>
      <c r="H345" s="14"/>
      <c r="I345" s="14"/>
      <c r="J345" s="14"/>
      <c r="K345" s="14"/>
      <c r="L345" s="14"/>
      <c r="M345" s="14" t="str">
        <f t="shared" ref="M345:P345" si="346">text(I345,"Rp #,##0")</f>
        <v>Rp 0</v>
      </c>
      <c r="N345" s="14" t="str">
        <f t="shared" si="346"/>
        <v>Rp 0</v>
      </c>
      <c r="O345" s="14" t="str">
        <f t="shared" si="346"/>
        <v>Rp 0</v>
      </c>
      <c r="P345" s="14" t="str">
        <f t="shared" si="346"/>
        <v>Rp 0</v>
      </c>
      <c r="Q345" s="14" t="str">
        <f t="shared" si="4"/>
        <v>Syahriyah = Rp 0
Jariyah = Rp 0
Daftar Ulang = Rp 0
Total = Rp 0
______________________
ID : </v>
      </c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79" t="str">
        <f t="shared" si="2"/>
        <v/>
      </c>
      <c r="B346" s="14"/>
      <c r="C346" s="79"/>
      <c r="D346" s="79"/>
      <c r="E346" s="79"/>
      <c r="F346" s="79"/>
      <c r="G346" s="79"/>
      <c r="H346" s="14"/>
      <c r="I346" s="14"/>
      <c r="J346" s="14"/>
      <c r="K346" s="14"/>
      <c r="L346" s="14"/>
      <c r="M346" s="14" t="str">
        <f t="shared" ref="M346:P346" si="347">text(I346,"Rp #,##0")</f>
        <v>Rp 0</v>
      </c>
      <c r="N346" s="14" t="str">
        <f t="shared" si="347"/>
        <v>Rp 0</v>
      </c>
      <c r="O346" s="14" t="str">
        <f t="shared" si="347"/>
        <v>Rp 0</v>
      </c>
      <c r="P346" s="14" t="str">
        <f t="shared" si="347"/>
        <v>Rp 0</v>
      </c>
      <c r="Q346" s="14" t="str">
        <f t="shared" si="4"/>
        <v>Syahriyah = Rp 0
Jariyah = Rp 0
Daftar Ulang = Rp 0
Total = Rp 0
______________________
ID : </v>
      </c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79" t="str">
        <f t="shared" si="2"/>
        <v/>
      </c>
      <c r="B347" s="14"/>
      <c r="C347" s="79"/>
      <c r="D347" s="79"/>
      <c r="E347" s="79"/>
      <c r="F347" s="79"/>
      <c r="G347" s="79"/>
      <c r="H347" s="14"/>
      <c r="I347" s="14"/>
      <c r="J347" s="14"/>
      <c r="K347" s="14"/>
      <c r="L347" s="14"/>
      <c r="M347" s="14" t="str">
        <f t="shared" ref="M347:P347" si="348">text(I347,"Rp #,##0")</f>
        <v>Rp 0</v>
      </c>
      <c r="N347" s="14" t="str">
        <f t="shared" si="348"/>
        <v>Rp 0</v>
      </c>
      <c r="O347" s="14" t="str">
        <f t="shared" si="348"/>
        <v>Rp 0</v>
      </c>
      <c r="P347" s="14" t="str">
        <f t="shared" si="348"/>
        <v>Rp 0</v>
      </c>
      <c r="Q347" s="14" t="str">
        <f t="shared" si="4"/>
        <v>Syahriyah = Rp 0
Jariyah = Rp 0
Daftar Ulang = Rp 0
Total = Rp 0
______________________
ID : </v>
      </c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79" t="str">
        <f t="shared" si="2"/>
        <v/>
      </c>
      <c r="B348" s="14"/>
      <c r="C348" s="79"/>
      <c r="D348" s="79"/>
      <c r="E348" s="79"/>
      <c r="F348" s="79"/>
      <c r="G348" s="79"/>
      <c r="H348" s="14"/>
      <c r="I348" s="14"/>
      <c r="J348" s="14"/>
      <c r="K348" s="14"/>
      <c r="L348" s="14"/>
      <c r="M348" s="14" t="str">
        <f t="shared" ref="M348:P348" si="349">text(I348,"Rp #,##0")</f>
        <v>Rp 0</v>
      </c>
      <c r="N348" s="14" t="str">
        <f t="shared" si="349"/>
        <v>Rp 0</v>
      </c>
      <c r="O348" s="14" t="str">
        <f t="shared" si="349"/>
        <v>Rp 0</v>
      </c>
      <c r="P348" s="14" t="str">
        <f t="shared" si="349"/>
        <v>Rp 0</v>
      </c>
      <c r="Q348" s="14" t="str">
        <f t="shared" si="4"/>
        <v>Syahriyah = Rp 0
Jariyah = Rp 0
Daftar Ulang = Rp 0
Total = Rp 0
______________________
ID : </v>
      </c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79" t="str">
        <f t="shared" si="2"/>
        <v/>
      </c>
      <c r="B349" s="14"/>
      <c r="C349" s="79"/>
      <c r="D349" s="79"/>
      <c r="E349" s="79"/>
      <c r="F349" s="79"/>
      <c r="G349" s="79"/>
      <c r="H349" s="14"/>
      <c r="I349" s="14"/>
      <c r="J349" s="14"/>
      <c r="K349" s="14"/>
      <c r="L349" s="14"/>
      <c r="M349" s="14" t="str">
        <f t="shared" ref="M349:P349" si="350">text(I349,"Rp #,##0")</f>
        <v>Rp 0</v>
      </c>
      <c r="N349" s="14" t="str">
        <f t="shared" si="350"/>
        <v>Rp 0</v>
      </c>
      <c r="O349" s="14" t="str">
        <f t="shared" si="350"/>
        <v>Rp 0</v>
      </c>
      <c r="P349" s="14" t="str">
        <f t="shared" si="350"/>
        <v>Rp 0</v>
      </c>
      <c r="Q349" s="14" t="str">
        <f t="shared" si="4"/>
        <v>Syahriyah = Rp 0
Jariyah = Rp 0
Daftar Ulang = Rp 0
Total = Rp 0
______________________
ID : </v>
      </c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79" t="str">
        <f t="shared" si="2"/>
        <v/>
      </c>
      <c r="B350" s="14"/>
      <c r="C350" s="79"/>
      <c r="D350" s="79"/>
      <c r="E350" s="79"/>
      <c r="F350" s="79"/>
      <c r="G350" s="79"/>
      <c r="H350" s="14"/>
      <c r="I350" s="14"/>
      <c r="J350" s="14"/>
      <c r="K350" s="14"/>
      <c r="L350" s="14"/>
      <c r="M350" s="14" t="str">
        <f t="shared" ref="M350:P350" si="351">text(I350,"Rp #,##0")</f>
        <v>Rp 0</v>
      </c>
      <c r="N350" s="14" t="str">
        <f t="shared" si="351"/>
        <v>Rp 0</v>
      </c>
      <c r="O350" s="14" t="str">
        <f t="shared" si="351"/>
        <v>Rp 0</v>
      </c>
      <c r="P350" s="14" t="str">
        <f t="shared" si="351"/>
        <v>Rp 0</v>
      </c>
      <c r="Q350" s="14" t="str">
        <f t="shared" si="4"/>
        <v>Syahriyah = Rp 0
Jariyah = Rp 0
Daftar Ulang = Rp 0
Total = Rp 0
______________________
ID : </v>
      </c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79" t="str">
        <f t="shared" si="2"/>
        <v/>
      </c>
      <c r="B351" s="14"/>
      <c r="C351" s="79"/>
      <c r="D351" s="79"/>
      <c r="E351" s="79"/>
      <c r="F351" s="79"/>
      <c r="G351" s="79"/>
      <c r="H351" s="14"/>
      <c r="I351" s="14"/>
      <c r="J351" s="14"/>
      <c r="K351" s="14"/>
      <c r="L351" s="14"/>
      <c r="M351" s="14" t="str">
        <f t="shared" ref="M351:P351" si="352">text(I351,"Rp #,##0")</f>
        <v>Rp 0</v>
      </c>
      <c r="N351" s="14" t="str">
        <f t="shared" si="352"/>
        <v>Rp 0</v>
      </c>
      <c r="O351" s="14" t="str">
        <f t="shared" si="352"/>
        <v>Rp 0</v>
      </c>
      <c r="P351" s="14" t="str">
        <f t="shared" si="352"/>
        <v>Rp 0</v>
      </c>
      <c r="Q351" s="14" t="str">
        <f t="shared" si="4"/>
        <v>Syahriyah = Rp 0
Jariyah = Rp 0
Daftar Ulang = Rp 0
Total = Rp 0
______________________
ID : </v>
      </c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79" t="str">
        <f t="shared" si="2"/>
        <v/>
      </c>
      <c r="B352" s="14"/>
      <c r="C352" s="79"/>
      <c r="D352" s="79"/>
      <c r="E352" s="79"/>
      <c r="F352" s="79"/>
      <c r="G352" s="79"/>
      <c r="H352" s="14"/>
      <c r="I352" s="14"/>
      <c r="J352" s="14"/>
      <c r="K352" s="14"/>
      <c r="L352" s="14"/>
      <c r="M352" s="14" t="str">
        <f t="shared" ref="M352:P352" si="353">text(I352,"Rp #,##0")</f>
        <v>Rp 0</v>
      </c>
      <c r="N352" s="14" t="str">
        <f t="shared" si="353"/>
        <v>Rp 0</v>
      </c>
      <c r="O352" s="14" t="str">
        <f t="shared" si="353"/>
        <v>Rp 0</v>
      </c>
      <c r="P352" s="14" t="str">
        <f t="shared" si="353"/>
        <v>Rp 0</v>
      </c>
      <c r="Q352" s="14" t="str">
        <f t="shared" si="4"/>
        <v>Syahriyah = Rp 0
Jariyah = Rp 0
Daftar Ulang = Rp 0
Total = Rp 0
______________________
ID : </v>
      </c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79" t="str">
        <f t="shared" si="2"/>
        <v/>
      </c>
      <c r="B353" s="14"/>
      <c r="C353" s="79"/>
      <c r="D353" s="79"/>
      <c r="E353" s="79"/>
      <c r="F353" s="79"/>
      <c r="G353" s="79"/>
      <c r="H353" s="14"/>
      <c r="I353" s="14"/>
      <c r="J353" s="14"/>
      <c r="K353" s="14"/>
      <c r="L353" s="14"/>
      <c r="M353" s="14" t="str">
        <f t="shared" ref="M353:P353" si="354">text(I353,"Rp #,##0")</f>
        <v>Rp 0</v>
      </c>
      <c r="N353" s="14" t="str">
        <f t="shared" si="354"/>
        <v>Rp 0</v>
      </c>
      <c r="O353" s="14" t="str">
        <f t="shared" si="354"/>
        <v>Rp 0</v>
      </c>
      <c r="P353" s="14" t="str">
        <f t="shared" si="354"/>
        <v>Rp 0</v>
      </c>
      <c r="Q353" s="14" t="str">
        <f t="shared" si="4"/>
        <v>Syahriyah = Rp 0
Jariyah = Rp 0
Daftar Ulang = Rp 0
Total = Rp 0
______________________
ID : </v>
      </c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79" t="str">
        <f t="shared" si="2"/>
        <v/>
      </c>
      <c r="B354" s="14"/>
      <c r="C354" s="79"/>
      <c r="D354" s="79"/>
      <c r="E354" s="79"/>
      <c r="F354" s="79"/>
      <c r="G354" s="79"/>
      <c r="H354" s="14"/>
      <c r="I354" s="14"/>
      <c r="J354" s="14"/>
      <c r="K354" s="14"/>
      <c r="L354" s="14"/>
      <c r="M354" s="14" t="str">
        <f t="shared" ref="M354:P354" si="355">text(I354,"Rp #,##0")</f>
        <v>Rp 0</v>
      </c>
      <c r="N354" s="14" t="str">
        <f t="shared" si="355"/>
        <v>Rp 0</v>
      </c>
      <c r="O354" s="14" t="str">
        <f t="shared" si="355"/>
        <v>Rp 0</v>
      </c>
      <c r="P354" s="14" t="str">
        <f t="shared" si="355"/>
        <v>Rp 0</v>
      </c>
      <c r="Q354" s="14" t="str">
        <f t="shared" si="4"/>
        <v>Syahriyah = Rp 0
Jariyah = Rp 0
Daftar Ulang = Rp 0
Total = Rp 0
______________________
ID : </v>
      </c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79" t="str">
        <f t="shared" si="2"/>
        <v/>
      </c>
      <c r="B355" s="14"/>
      <c r="C355" s="79"/>
      <c r="D355" s="79"/>
      <c r="E355" s="79"/>
      <c r="F355" s="79"/>
      <c r="G355" s="79"/>
      <c r="H355" s="14"/>
      <c r="I355" s="14"/>
      <c r="J355" s="14"/>
      <c r="K355" s="14"/>
      <c r="L355" s="14"/>
      <c r="M355" s="14" t="str">
        <f t="shared" ref="M355:P355" si="356">text(I355,"Rp #,##0")</f>
        <v>Rp 0</v>
      </c>
      <c r="N355" s="14" t="str">
        <f t="shared" si="356"/>
        <v>Rp 0</v>
      </c>
      <c r="O355" s="14" t="str">
        <f t="shared" si="356"/>
        <v>Rp 0</v>
      </c>
      <c r="P355" s="14" t="str">
        <f t="shared" si="356"/>
        <v>Rp 0</v>
      </c>
      <c r="Q355" s="14" t="str">
        <f t="shared" si="4"/>
        <v>Syahriyah = Rp 0
Jariyah = Rp 0
Daftar Ulang = Rp 0
Total = Rp 0
______________________
ID : </v>
      </c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79" t="str">
        <f t="shared" si="2"/>
        <v/>
      </c>
      <c r="B356" s="14"/>
      <c r="C356" s="79"/>
      <c r="D356" s="79"/>
      <c r="E356" s="79"/>
      <c r="F356" s="79"/>
      <c r="G356" s="79"/>
      <c r="H356" s="14"/>
      <c r="I356" s="14"/>
      <c r="J356" s="14"/>
      <c r="K356" s="14"/>
      <c r="L356" s="14"/>
      <c r="M356" s="14" t="str">
        <f t="shared" ref="M356:P356" si="357">text(I356,"Rp #,##0")</f>
        <v>Rp 0</v>
      </c>
      <c r="N356" s="14" t="str">
        <f t="shared" si="357"/>
        <v>Rp 0</v>
      </c>
      <c r="O356" s="14" t="str">
        <f t="shared" si="357"/>
        <v>Rp 0</v>
      </c>
      <c r="P356" s="14" t="str">
        <f t="shared" si="357"/>
        <v>Rp 0</v>
      </c>
      <c r="Q356" s="14" t="str">
        <f t="shared" si="4"/>
        <v>Syahriyah = Rp 0
Jariyah = Rp 0
Daftar Ulang = Rp 0
Total = Rp 0
______________________
ID : </v>
      </c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79" t="str">
        <f t="shared" si="2"/>
        <v/>
      </c>
      <c r="B357" s="14"/>
      <c r="C357" s="79"/>
      <c r="D357" s="79"/>
      <c r="E357" s="79"/>
      <c r="F357" s="79"/>
      <c r="G357" s="79"/>
      <c r="H357" s="14"/>
      <c r="I357" s="14"/>
      <c r="J357" s="14"/>
      <c r="K357" s="14"/>
      <c r="L357" s="14"/>
      <c r="M357" s="14" t="str">
        <f t="shared" ref="M357:P357" si="358">text(I357,"Rp #,##0")</f>
        <v>Rp 0</v>
      </c>
      <c r="N357" s="14" t="str">
        <f t="shared" si="358"/>
        <v>Rp 0</v>
      </c>
      <c r="O357" s="14" t="str">
        <f t="shared" si="358"/>
        <v>Rp 0</v>
      </c>
      <c r="P357" s="14" t="str">
        <f t="shared" si="358"/>
        <v>Rp 0</v>
      </c>
      <c r="Q357" s="14" t="str">
        <f t="shared" si="4"/>
        <v>Syahriyah = Rp 0
Jariyah = Rp 0
Daftar Ulang = Rp 0
Total = Rp 0
______________________
ID : </v>
      </c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79" t="str">
        <f t="shared" si="2"/>
        <v/>
      </c>
      <c r="B358" s="14"/>
      <c r="C358" s="79"/>
      <c r="D358" s="79"/>
      <c r="E358" s="79"/>
      <c r="F358" s="79"/>
      <c r="G358" s="79"/>
      <c r="H358" s="14"/>
      <c r="I358" s="14"/>
      <c r="J358" s="14"/>
      <c r="K358" s="14"/>
      <c r="L358" s="14"/>
      <c r="M358" s="14" t="str">
        <f t="shared" ref="M358:P358" si="359">text(I358,"Rp #,##0")</f>
        <v>Rp 0</v>
      </c>
      <c r="N358" s="14" t="str">
        <f t="shared" si="359"/>
        <v>Rp 0</v>
      </c>
      <c r="O358" s="14" t="str">
        <f t="shared" si="359"/>
        <v>Rp 0</v>
      </c>
      <c r="P358" s="14" t="str">
        <f t="shared" si="359"/>
        <v>Rp 0</v>
      </c>
      <c r="Q358" s="14" t="str">
        <f t="shared" si="4"/>
        <v>Syahriyah = Rp 0
Jariyah = Rp 0
Daftar Ulang = Rp 0
Total = Rp 0
______________________
ID : 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79" t="str">
        <f t="shared" si="2"/>
        <v/>
      </c>
      <c r="B359" s="14"/>
      <c r="C359" s="79"/>
      <c r="D359" s="79"/>
      <c r="E359" s="79"/>
      <c r="F359" s="79"/>
      <c r="G359" s="79"/>
      <c r="H359" s="14"/>
      <c r="I359" s="14"/>
      <c r="J359" s="14"/>
      <c r="K359" s="14"/>
      <c r="L359" s="14"/>
      <c r="M359" s="14" t="str">
        <f t="shared" ref="M359:P359" si="360">text(I359,"Rp #,##0")</f>
        <v>Rp 0</v>
      </c>
      <c r="N359" s="14" t="str">
        <f t="shared" si="360"/>
        <v>Rp 0</v>
      </c>
      <c r="O359" s="14" t="str">
        <f t="shared" si="360"/>
        <v>Rp 0</v>
      </c>
      <c r="P359" s="14" t="str">
        <f t="shared" si="360"/>
        <v>Rp 0</v>
      </c>
      <c r="Q359" s="14" t="str">
        <f t="shared" si="4"/>
        <v>Syahriyah = Rp 0
Jariyah = Rp 0
Daftar Ulang = Rp 0
Total = Rp 0
______________________
ID : </v>
      </c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79" t="str">
        <f t="shared" si="2"/>
        <v/>
      </c>
      <c r="B360" s="14"/>
      <c r="C360" s="79"/>
      <c r="D360" s="79"/>
      <c r="E360" s="79"/>
      <c r="F360" s="79"/>
      <c r="G360" s="79"/>
      <c r="H360" s="14"/>
      <c r="I360" s="14"/>
      <c r="J360" s="14"/>
      <c r="K360" s="14"/>
      <c r="L360" s="14"/>
      <c r="M360" s="14" t="str">
        <f t="shared" ref="M360:P360" si="361">text(I360,"Rp #,##0")</f>
        <v>Rp 0</v>
      </c>
      <c r="N360" s="14" t="str">
        <f t="shared" si="361"/>
        <v>Rp 0</v>
      </c>
      <c r="O360" s="14" t="str">
        <f t="shared" si="361"/>
        <v>Rp 0</v>
      </c>
      <c r="P360" s="14" t="str">
        <f t="shared" si="361"/>
        <v>Rp 0</v>
      </c>
      <c r="Q360" s="14" t="str">
        <f t="shared" si="4"/>
        <v>Syahriyah = Rp 0
Jariyah = Rp 0
Daftar Ulang = Rp 0
Total = Rp 0
______________________
ID : </v>
      </c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79" t="str">
        <f t="shared" si="2"/>
        <v/>
      </c>
      <c r="B361" s="14"/>
      <c r="C361" s="79"/>
      <c r="D361" s="79"/>
      <c r="E361" s="79"/>
      <c r="F361" s="79"/>
      <c r="G361" s="79"/>
      <c r="H361" s="14"/>
      <c r="I361" s="14"/>
      <c r="J361" s="14"/>
      <c r="K361" s="14"/>
      <c r="L361" s="14"/>
      <c r="M361" s="14" t="str">
        <f t="shared" ref="M361:P361" si="362">text(I361,"Rp #,##0")</f>
        <v>Rp 0</v>
      </c>
      <c r="N361" s="14" t="str">
        <f t="shared" si="362"/>
        <v>Rp 0</v>
      </c>
      <c r="O361" s="14" t="str">
        <f t="shared" si="362"/>
        <v>Rp 0</v>
      </c>
      <c r="P361" s="14" t="str">
        <f t="shared" si="362"/>
        <v>Rp 0</v>
      </c>
      <c r="Q361" s="14" t="str">
        <f t="shared" si="4"/>
        <v>Syahriyah = Rp 0
Jariyah = Rp 0
Daftar Ulang = Rp 0
Total = Rp 0
______________________
ID : </v>
      </c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79" t="str">
        <f t="shared" si="2"/>
        <v/>
      </c>
      <c r="B362" s="14"/>
      <c r="C362" s="79"/>
      <c r="D362" s="79"/>
      <c r="E362" s="79"/>
      <c r="F362" s="79"/>
      <c r="G362" s="79"/>
      <c r="H362" s="14"/>
      <c r="I362" s="14"/>
      <c r="J362" s="14"/>
      <c r="K362" s="14"/>
      <c r="L362" s="14"/>
      <c r="M362" s="14" t="str">
        <f t="shared" ref="M362:P362" si="363">text(I362,"Rp #,##0")</f>
        <v>Rp 0</v>
      </c>
      <c r="N362" s="14" t="str">
        <f t="shared" si="363"/>
        <v>Rp 0</v>
      </c>
      <c r="O362" s="14" t="str">
        <f t="shared" si="363"/>
        <v>Rp 0</v>
      </c>
      <c r="P362" s="14" t="str">
        <f t="shared" si="363"/>
        <v>Rp 0</v>
      </c>
      <c r="Q362" s="14" t="str">
        <f t="shared" si="4"/>
        <v>Syahriyah = Rp 0
Jariyah = Rp 0
Daftar Ulang = Rp 0
Total = Rp 0
______________________
ID : </v>
      </c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79" t="str">
        <f t="shared" si="2"/>
        <v/>
      </c>
      <c r="B363" s="14"/>
      <c r="C363" s="79"/>
      <c r="D363" s="79"/>
      <c r="E363" s="79"/>
      <c r="F363" s="79"/>
      <c r="G363" s="79"/>
      <c r="H363" s="14"/>
      <c r="I363" s="14"/>
      <c r="J363" s="14"/>
      <c r="K363" s="14"/>
      <c r="L363" s="14"/>
      <c r="M363" s="14" t="str">
        <f t="shared" ref="M363:P363" si="364">text(I363,"Rp #,##0")</f>
        <v>Rp 0</v>
      </c>
      <c r="N363" s="14" t="str">
        <f t="shared" si="364"/>
        <v>Rp 0</v>
      </c>
      <c r="O363" s="14" t="str">
        <f t="shared" si="364"/>
        <v>Rp 0</v>
      </c>
      <c r="P363" s="14" t="str">
        <f t="shared" si="364"/>
        <v>Rp 0</v>
      </c>
      <c r="Q363" s="14" t="str">
        <f t="shared" si="4"/>
        <v>Syahriyah = Rp 0
Jariyah = Rp 0
Daftar Ulang = Rp 0
Total = Rp 0
______________________
ID : </v>
      </c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79" t="str">
        <f t="shared" si="2"/>
        <v/>
      </c>
      <c r="B364" s="14"/>
      <c r="C364" s="79"/>
      <c r="D364" s="79"/>
      <c r="E364" s="79"/>
      <c r="F364" s="79"/>
      <c r="G364" s="79"/>
      <c r="H364" s="14"/>
      <c r="I364" s="14"/>
      <c r="J364" s="14"/>
      <c r="K364" s="14"/>
      <c r="L364" s="14"/>
      <c r="M364" s="14" t="str">
        <f t="shared" ref="M364:P364" si="365">text(I364,"Rp #,##0")</f>
        <v>Rp 0</v>
      </c>
      <c r="N364" s="14" t="str">
        <f t="shared" si="365"/>
        <v>Rp 0</v>
      </c>
      <c r="O364" s="14" t="str">
        <f t="shared" si="365"/>
        <v>Rp 0</v>
      </c>
      <c r="P364" s="14" t="str">
        <f t="shared" si="365"/>
        <v>Rp 0</v>
      </c>
      <c r="Q364" s="14" t="str">
        <f t="shared" si="4"/>
        <v>Syahriyah = Rp 0
Jariyah = Rp 0
Daftar Ulang = Rp 0
Total = Rp 0
______________________
ID : </v>
      </c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79" t="str">
        <f t="shared" si="2"/>
        <v/>
      </c>
      <c r="B365" s="14"/>
      <c r="C365" s="79"/>
      <c r="D365" s="79"/>
      <c r="E365" s="79"/>
      <c r="F365" s="79"/>
      <c r="G365" s="79"/>
      <c r="H365" s="14"/>
      <c r="I365" s="14"/>
      <c r="J365" s="14"/>
      <c r="K365" s="14"/>
      <c r="L365" s="14"/>
      <c r="M365" s="14" t="str">
        <f t="shared" ref="M365:P365" si="366">text(I365,"Rp #,##0")</f>
        <v>Rp 0</v>
      </c>
      <c r="N365" s="14" t="str">
        <f t="shared" si="366"/>
        <v>Rp 0</v>
      </c>
      <c r="O365" s="14" t="str">
        <f t="shared" si="366"/>
        <v>Rp 0</v>
      </c>
      <c r="P365" s="14" t="str">
        <f t="shared" si="366"/>
        <v>Rp 0</v>
      </c>
      <c r="Q365" s="14" t="str">
        <f t="shared" si="4"/>
        <v>Syahriyah = Rp 0
Jariyah = Rp 0
Daftar Ulang = Rp 0
Total = Rp 0
______________________
ID : </v>
      </c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79" t="str">
        <f t="shared" si="2"/>
        <v/>
      </c>
      <c r="B366" s="14"/>
      <c r="C366" s="79"/>
      <c r="D366" s="79"/>
      <c r="E366" s="79"/>
      <c r="F366" s="79"/>
      <c r="G366" s="79"/>
      <c r="H366" s="14"/>
      <c r="I366" s="14"/>
      <c r="J366" s="14"/>
      <c r="K366" s="14"/>
      <c r="L366" s="14"/>
      <c r="M366" s="14" t="str">
        <f t="shared" ref="M366:P366" si="367">text(I366,"Rp #,##0")</f>
        <v>Rp 0</v>
      </c>
      <c r="N366" s="14" t="str">
        <f t="shared" si="367"/>
        <v>Rp 0</v>
      </c>
      <c r="O366" s="14" t="str">
        <f t="shared" si="367"/>
        <v>Rp 0</v>
      </c>
      <c r="P366" s="14" t="str">
        <f t="shared" si="367"/>
        <v>Rp 0</v>
      </c>
      <c r="Q366" s="14" t="str">
        <f t="shared" si="4"/>
        <v>Syahriyah = Rp 0
Jariyah = Rp 0
Daftar Ulang = Rp 0
Total = Rp 0
______________________
ID : </v>
      </c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79" t="str">
        <f t="shared" si="2"/>
        <v/>
      </c>
      <c r="B367" s="14"/>
      <c r="C367" s="79"/>
      <c r="D367" s="79"/>
      <c r="E367" s="79"/>
      <c r="F367" s="79"/>
      <c r="G367" s="79"/>
      <c r="H367" s="14"/>
      <c r="I367" s="14"/>
      <c r="J367" s="14"/>
      <c r="K367" s="14"/>
      <c r="L367" s="14"/>
      <c r="M367" s="14" t="str">
        <f t="shared" ref="M367:P367" si="368">text(I367,"Rp #,##0")</f>
        <v>Rp 0</v>
      </c>
      <c r="N367" s="14" t="str">
        <f t="shared" si="368"/>
        <v>Rp 0</v>
      </c>
      <c r="O367" s="14" t="str">
        <f t="shared" si="368"/>
        <v>Rp 0</v>
      </c>
      <c r="P367" s="14" t="str">
        <f t="shared" si="368"/>
        <v>Rp 0</v>
      </c>
      <c r="Q367" s="14" t="str">
        <f t="shared" si="4"/>
        <v>Syahriyah = Rp 0
Jariyah = Rp 0
Daftar Ulang = Rp 0
Total = Rp 0
______________________
ID : </v>
      </c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79" t="str">
        <f t="shared" si="2"/>
        <v/>
      </c>
      <c r="B368" s="14"/>
      <c r="C368" s="79"/>
      <c r="D368" s="79"/>
      <c r="E368" s="79"/>
      <c r="F368" s="79"/>
      <c r="G368" s="79"/>
      <c r="H368" s="14"/>
      <c r="I368" s="14"/>
      <c r="J368" s="14"/>
      <c r="K368" s="14"/>
      <c r="L368" s="14"/>
      <c r="M368" s="14" t="str">
        <f t="shared" ref="M368:P368" si="369">text(I368,"Rp #,##0")</f>
        <v>Rp 0</v>
      </c>
      <c r="N368" s="14" t="str">
        <f t="shared" si="369"/>
        <v>Rp 0</v>
      </c>
      <c r="O368" s="14" t="str">
        <f t="shared" si="369"/>
        <v>Rp 0</v>
      </c>
      <c r="P368" s="14" t="str">
        <f t="shared" si="369"/>
        <v>Rp 0</v>
      </c>
      <c r="Q368" s="14" t="str">
        <f t="shared" si="4"/>
        <v>Syahriyah = Rp 0
Jariyah = Rp 0
Daftar Ulang = Rp 0
Total = Rp 0
______________________
ID : </v>
      </c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79" t="str">
        <f t="shared" si="2"/>
        <v/>
      </c>
      <c r="B369" s="14"/>
      <c r="C369" s="79"/>
      <c r="D369" s="79"/>
      <c r="E369" s="79"/>
      <c r="F369" s="79"/>
      <c r="G369" s="79"/>
      <c r="H369" s="14"/>
      <c r="I369" s="14"/>
      <c r="J369" s="14"/>
      <c r="K369" s="14"/>
      <c r="L369" s="14"/>
      <c r="M369" s="14" t="str">
        <f t="shared" ref="M369:P369" si="370">text(I369,"Rp #,##0")</f>
        <v>Rp 0</v>
      </c>
      <c r="N369" s="14" t="str">
        <f t="shared" si="370"/>
        <v>Rp 0</v>
      </c>
      <c r="O369" s="14" t="str">
        <f t="shared" si="370"/>
        <v>Rp 0</v>
      </c>
      <c r="P369" s="14" t="str">
        <f t="shared" si="370"/>
        <v>Rp 0</v>
      </c>
      <c r="Q369" s="14" t="str">
        <f t="shared" si="4"/>
        <v>Syahriyah = Rp 0
Jariyah = Rp 0
Daftar Ulang = Rp 0
Total = Rp 0
______________________
ID : </v>
      </c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79" t="str">
        <f t="shared" si="2"/>
        <v/>
      </c>
      <c r="B370" s="14"/>
      <c r="C370" s="79"/>
      <c r="D370" s="79"/>
      <c r="E370" s="79"/>
      <c r="F370" s="79"/>
      <c r="G370" s="79"/>
      <c r="H370" s="14"/>
      <c r="I370" s="14"/>
      <c r="J370" s="14"/>
      <c r="K370" s="14"/>
      <c r="L370" s="14"/>
      <c r="M370" s="14" t="str">
        <f t="shared" ref="M370:P370" si="371">text(I370,"Rp #,##0")</f>
        <v>Rp 0</v>
      </c>
      <c r="N370" s="14" t="str">
        <f t="shared" si="371"/>
        <v>Rp 0</v>
      </c>
      <c r="O370" s="14" t="str">
        <f t="shared" si="371"/>
        <v>Rp 0</v>
      </c>
      <c r="P370" s="14" t="str">
        <f t="shared" si="371"/>
        <v>Rp 0</v>
      </c>
      <c r="Q370" s="14" t="str">
        <f t="shared" si="4"/>
        <v>Syahriyah = Rp 0
Jariyah = Rp 0
Daftar Ulang = Rp 0
Total = Rp 0
______________________
ID : </v>
      </c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79" t="str">
        <f t="shared" si="2"/>
        <v/>
      </c>
      <c r="B371" s="14"/>
      <c r="C371" s="79"/>
      <c r="D371" s="79"/>
      <c r="E371" s="79"/>
      <c r="F371" s="79"/>
      <c r="G371" s="79"/>
      <c r="H371" s="14"/>
      <c r="I371" s="14"/>
      <c r="J371" s="14"/>
      <c r="K371" s="14"/>
      <c r="L371" s="14"/>
      <c r="M371" s="14" t="str">
        <f t="shared" ref="M371:P371" si="372">text(I371,"Rp #,##0")</f>
        <v>Rp 0</v>
      </c>
      <c r="N371" s="14" t="str">
        <f t="shared" si="372"/>
        <v>Rp 0</v>
      </c>
      <c r="O371" s="14" t="str">
        <f t="shared" si="372"/>
        <v>Rp 0</v>
      </c>
      <c r="P371" s="14" t="str">
        <f t="shared" si="372"/>
        <v>Rp 0</v>
      </c>
      <c r="Q371" s="14" t="str">
        <f t="shared" si="4"/>
        <v>Syahriyah = Rp 0
Jariyah = Rp 0
Daftar Ulang = Rp 0
Total = Rp 0
______________________
ID : </v>
      </c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79" t="str">
        <f t="shared" si="2"/>
        <v/>
      </c>
      <c r="B372" s="14"/>
      <c r="C372" s="79"/>
      <c r="D372" s="79"/>
      <c r="E372" s="79"/>
      <c r="F372" s="79"/>
      <c r="G372" s="79"/>
      <c r="H372" s="14"/>
      <c r="I372" s="14"/>
      <c r="J372" s="14"/>
      <c r="K372" s="14"/>
      <c r="L372" s="14"/>
      <c r="M372" s="14" t="str">
        <f t="shared" ref="M372:P372" si="373">text(I372,"Rp #,##0")</f>
        <v>Rp 0</v>
      </c>
      <c r="N372" s="14" t="str">
        <f t="shared" si="373"/>
        <v>Rp 0</v>
      </c>
      <c r="O372" s="14" t="str">
        <f t="shared" si="373"/>
        <v>Rp 0</v>
      </c>
      <c r="P372" s="14" t="str">
        <f t="shared" si="373"/>
        <v>Rp 0</v>
      </c>
      <c r="Q372" s="14" t="str">
        <f t="shared" si="4"/>
        <v>Syahriyah = Rp 0
Jariyah = Rp 0
Daftar Ulang = Rp 0
Total = Rp 0
______________________
ID : </v>
      </c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79" t="str">
        <f t="shared" si="2"/>
        <v/>
      </c>
      <c r="B373" s="14"/>
      <c r="C373" s="79"/>
      <c r="D373" s="79"/>
      <c r="E373" s="79"/>
      <c r="F373" s="79"/>
      <c r="G373" s="79"/>
      <c r="H373" s="14"/>
      <c r="I373" s="14"/>
      <c r="J373" s="14"/>
      <c r="K373" s="14"/>
      <c r="L373" s="14"/>
      <c r="M373" s="14" t="str">
        <f t="shared" ref="M373:P373" si="374">text(I373,"Rp #,##0")</f>
        <v>Rp 0</v>
      </c>
      <c r="N373" s="14" t="str">
        <f t="shared" si="374"/>
        <v>Rp 0</v>
      </c>
      <c r="O373" s="14" t="str">
        <f t="shared" si="374"/>
        <v>Rp 0</v>
      </c>
      <c r="P373" s="14" t="str">
        <f t="shared" si="374"/>
        <v>Rp 0</v>
      </c>
      <c r="Q373" s="14" t="str">
        <f t="shared" si="4"/>
        <v>Syahriyah = Rp 0
Jariyah = Rp 0
Daftar Ulang = Rp 0
Total = Rp 0
______________________
ID : </v>
      </c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79" t="str">
        <f t="shared" si="2"/>
        <v/>
      </c>
      <c r="B374" s="14"/>
      <c r="C374" s="79"/>
      <c r="D374" s="79"/>
      <c r="E374" s="79"/>
      <c r="F374" s="79"/>
      <c r="G374" s="79"/>
      <c r="H374" s="14"/>
      <c r="I374" s="14"/>
      <c r="J374" s="14"/>
      <c r="K374" s="14"/>
      <c r="L374" s="14"/>
      <c r="M374" s="14" t="str">
        <f t="shared" ref="M374:P374" si="375">text(I374,"Rp #,##0")</f>
        <v>Rp 0</v>
      </c>
      <c r="N374" s="14" t="str">
        <f t="shared" si="375"/>
        <v>Rp 0</v>
      </c>
      <c r="O374" s="14" t="str">
        <f t="shared" si="375"/>
        <v>Rp 0</v>
      </c>
      <c r="P374" s="14" t="str">
        <f t="shared" si="375"/>
        <v>Rp 0</v>
      </c>
      <c r="Q374" s="14" t="str">
        <f t="shared" si="4"/>
        <v>Syahriyah = Rp 0
Jariyah = Rp 0
Daftar Ulang = Rp 0
Total = Rp 0
______________________
ID : </v>
      </c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79" t="str">
        <f t="shared" si="2"/>
        <v/>
      </c>
      <c r="B375" s="14"/>
      <c r="C375" s="79"/>
      <c r="D375" s="79"/>
      <c r="E375" s="79"/>
      <c r="F375" s="79"/>
      <c r="G375" s="79"/>
      <c r="H375" s="14"/>
      <c r="I375" s="14"/>
      <c r="J375" s="14"/>
      <c r="K375" s="14"/>
      <c r="L375" s="14"/>
      <c r="M375" s="14" t="str">
        <f t="shared" ref="M375:P375" si="376">text(I375,"Rp #,##0")</f>
        <v>Rp 0</v>
      </c>
      <c r="N375" s="14" t="str">
        <f t="shared" si="376"/>
        <v>Rp 0</v>
      </c>
      <c r="O375" s="14" t="str">
        <f t="shared" si="376"/>
        <v>Rp 0</v>
      </c>
      <c r="P375" s="14" t="str">
        <f t="shared" si="376"/>
        <v>Rp 0</v>
      </c>
      <c r="Q375" s="14" t="str">
        <f t="shared" si="4"/>
        <v>Syahriyah = Rp 0
Jariyah = Rp 0
Daftar Ulang = Rp 0
Total = Rp 0
______________________
ID : </v>
      </c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79" t="str">
        <f t="shared" si="2"/>
        <v/>
      </c>
      <c r="B376" s="14"/>
      <c r="C376" s="79"/>
      <c r="D376" s="79"/>
      <c r="E376" s="79"/>
      <c r="F376" s="79"/>
      <c r="G376" s="79"/>
      <c r="H376" s="14"/>
      <c r="I376" s="14"/>
      <c r="J376" s="14"/>
      <c r="K376" s="14"/>
      <c r="L376" s="14"/>
      <c r="M376" s="14" t="str">
        <f t="shared" ref="M376:P376" si="377">text(I376,"Rp #,##0")</f>
        <v>Rp 0</v>
      </c>
      <c r="N376" s="14" t="str">
        <f t="shared" si="377"/>
        <v>Rp 0</v>
      </c>
      <c r="O376" s="14" t="str">
        <f t="shared" si="377"/>
        <v>Rp 0</v>
      </c>
      <c r="P376" s="14" t="str">
        <f t="shared" si="377"/>
        <v>Rp 0</v>
      </c>
      <c r="Q376" s="14" t="str">
        <f t="shared" si="4"/>
        <v>Syahriyah = Rp 0
Jariyah = Rp 0
Daftar Ulang = Rp 0
Total = Rp 0
______________________
ID : </v>
      </c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79" t="str">
        <f t="shared" si="2"/>
        <v/>
      </c>
      <c r="B377" s="14"/>
      <c r="C377" s="79"/>
      <c r="D377" s="79"/>
      <c r="E377" s="79"/>
      <c r="F377" s="79"/>
      <c r="G377" s="79"/>
      <c r="H377" s="14"/>
      <c r="I377" s="14"/>
      <c r="J377" s="14"/>
      <c r="K377" s="14"/>
      <c r="L377" s="14"/>
      <c r="M377" s="14" t="str">
        <f t="shared" ref="M377:P377" si="378">text(I377,"Rp #,##0")</f>
        <v>Rp 0</v>
      </c>
      <c r="N377" s="14" t="str">
        <f t="shared" si="378"/>
        <v>Rp 0</v>
      </c>
      <c r="O377" s="14" t="str">
        <f t="shared" si="378"/>
        <v>Rp 0</v>
      </c>
      <c r="P377" s="14" t="str">
        <f t="shared" si="378"/>
        <v>Rp 0</v>
      </c>
      <c r="Q377" s="14" t="str">
        <f t="shared" si="4"/>
        <v>Syahriyah = Rp 0
Jariyah = Rp 0
Daftar Ulang = Rp 0
Total = Rp 0
______________________
ID : </v>
      </c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79" t="str">
        <f t="shared" si="2"/>
        <v/>
      </c>
      <c r="B378" s="14"/>
      <c r="C378" s="79"/>
      <c r="D378" s="79"/>
      <c r="E378" s="79"/>
      <c r="F378" s="79"/>
      <c r="G378" s="79"/>
      <c r="H378" s="14"/>
      <c r="I378" s="14"/>
      <c r="J378" s="14"/>
      <c r="K378" s="14"/>
      <c r="L378" s="14"/>
      <c r="M378" s="14" t="str">
        <f t="shared" ref="M378:P378" si="379">text(I378,"Rp #,##0")</f>
        <v>Rp 0</v>
      </c>
      <c r="N378" s="14" t="str">
        <f t="shared" si="379"/>
        <v>Rp 0</v>
      </c>
      <c r="O378" s="14" t="str">
        <f t="shared" si="379"/>
        <v>Rp 0</v>
      </c>
      <c r="P378" s="14" t="str">
        <f t="shared" si="379"/>
        <v>Rp 0</v>
      </c>
      <c r="Q378" s="14" t="str">
        <f t="shared" si="4"/>
        <v>Syahriyah = Rp 0
Jariyah = Rp 0
Daftar Ulang = Rp 0
Total = Rp 0
______________________
ID : </v>
      </c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79" t="str">
        <f t="shared" si="2"/>
        <v/>
      </c>
      <c r="B379" s="14"/>
      <c r="C379" s="79"/>
      <c r="D379" s="79"/>
      <c r="E379" s="79"/>
      <c r="F379" s="79"/>
      <c r="G379" s="79"/>
      <c r="H379" s="14"/>
      <c r="I379" s="14"/>
      <c r="J379" s="14"/>
      <c r="K379" s="14"/>
      <c r="L379" s="14"/>
      <c r="M379" s="14" t="str">
        <f t="shared" ref="M379:P379" si="380">text(I379,"Rp #,##0")</f>
        <v>Rp 0</v>
      </c>
      <c r="N379" s="14" t="str">
        <f t="shared" si="380"/>
        <v>Rp 0</v>
      </c>
      <c r="O379" s="14" t="str">
        <f t="shared" si="380"/>
        <v>Rp 0</v>
      </c>
      <c r="P379" s="14" t="str">
        <f t="shared" si="380"/>
        <v>Rp 0</v>
      </c>
      <c r="Q379" s="14" t="str">
        <f t="shared" si="4"/>
        <v>Syahriyah = Rp 0
Jariyah = Rp 0
Daftar Ulang = Rp 0
Total = Rp 0
______________________
ID : </v>
      </c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79" t="str">
        <f t="shared" si="2"/>
        <v/>
      </c>
      <c r="B380" s="14"/>
      <c r="C380" s="79"/>
      <c r="D380" s="79"/>
      <c r="E380" s="79"/>
      <c r="F380" s="79"/>
      <c r="G380" s="79"/>
      <c r="H380" s="14"/>
      <c r="I380" s="14"/>
      <c r="J380" s="14"/>
      <c r="K380" s="14"/>
      <c r="L380" s="14"/>
      <c r="M380" s="14" t="str">
        <f t="shared" ref="M380:P380" si="381">text(I380,"Rp #,##0")</f>
        <v>Rp 0</v>
      </c>
      <c r="N380" s="14" t="str">
        <f t="shared" si="381"/>
        <v>Rp 0</v>
      </c>
      <c r="O380" s="14" t="str">
        <f t="shared" si="381"/>
        <v>Rp 0</v>
      </c>
      <c r="P380" s="14" t="str">
        <f t="shared" si="381"/>
        <v>Rp 0</v>
      </c>
      <c r="Q380" s="14" t="str">
        <f t="shared" si="4"/>
        <v>Syahriyah = Rp 0
Jariyah = Rp 0
Daftar Ulang = Rp 0
Total = Rp 0
______________________
ID : </v>
      </c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79" t="str">
        <f t="shared" si="2"/>
        <v/>
      </c>
      <c r="B381" s="14"/>
      <c r="C381" s="79"/>
      <c r="D381" s="79"/>
      <c r="E381" s="79"/>
      <c r="F381" s="79"/>
      <c r="G381" s="79"/>
      <c r="H381" s="14"/>
      <c r="I381" s="14"/>
      <c r="J381" s="14"/>
      <c r="K381" s="14"/>
      <c r="L381" s="14"/>
      <c r="M381" s="14" t="str">
        <f t="shared" ref="M381:P381" si="382">text(I381,"Rp #,##0")</f>
        <v>Rp 0</v>
      </c>
      <c r="N381" s="14" t="str">
        <f t="shared" si="382"/>
        <v>Rp 0</v>
      </c>
      <c r="O381" s="14" t="str">
        <f t="shared" si="382"/>
        <v>Rp 0</v>
      </c>
      <c r="P381" s="14" t="str">
        <f t="shared" si="382"/>
        <v>Rp 0</v>
      </c>
      <c r="Q381" s="14" t="str">
        <f t="shared" si="4"/>
        <v>Syahriyah = Rp 0
Jariyah = Rp 0
Daftar Ulang = Rp 0
Total = Rp 0
______________________
ID : </v>
      </c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79" t="str">
        <f t="shared" si="2"/>
        <v/>
      </c>
      <c r="B382" s="14"/>
      <c r="C382" s="79"/>
      <c r="D382" s="79"/>
      <c r="E382" s="79"/>
      <c r="F382" s="79"/>
      <c r="G382" s="79"/>
      <c r="H382" s="14"/>
      <c r="I382" s="14"/>
      <c r="J382" s="14"/>
      <c r="K382" s="14"/>
      <c r="L382" s="14"/>
      <c r="M382" s="14" t="str">
        <f t="shared" ref="M382:P382" si="383">text(I382,"Rp #,##0")</f>
        <v>Rp 0</v>
      </c>
      <c r="N382" s="14" t="str">
        <f t="shared" si="383"/>
        <v>Rp 0</v>
      </c>
      <c r="O382" s="14" t="str">
        <f t="shared" si="383"/>
        <v>Rp 0</v>
      </c>
      <c r="P382" s="14" t="str">
        <f t="shared" si="383"/>
        <v>Rp 0</v>
      </c>
      <c r="Q382" s="14" t="str">
        <f t="shared" si="4"/>
        <v>Syahriyah = Rp 0
Jariyah = Rp 0
Daftar Ulang = Rp 0
Total = Rp 0
______________________
ID : </v>
      </c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79" t="str">
        <f t="shared" si="2"/>
        <v/>
      </c>
      <c r="B383" s="14"/>
      <c r="C383" s="79"/>
      <c r="D383" s="79"/>
      <c r="E383" s="79"/>
      <c r="F383" s="79"/>
      <c r="G383" s="79"/>
      <c r="H383" s="14"/>
      <c r="I383" s="14"/>
      <c r="J383" s="14"/>
      <c r="K383" s="14"/>
      <c r="L383" s="14"/>
      <c r="M383" s="14" t="str">
        <f t="shared" ref="M383:P383" si="384">text(I383,"Rp #,##0")</f>
        <v>Rp 0</v>
      </c>
      <c r="N383" s="14" t="str">
        <f t="shared" si="384"/>
        <v>Rp 0</v>
      </c>
      <c r="O383" s="14" t="str">
        <f t="shared" si="384"/>
        <v>Rp 0</v>
      </c>
      <c r="P383" s="14" t="str">
        <f t="shared" si="384"/>
        <v>Rp 0</v>
      </c>
      <c r="Q383" s="14" t="str">
        <f t="shared" si="4"/>
        <v>Syahriyah = Rp 0
Jariyah = Rp 0
Daftar Ulang = Rp 0
Total = Rp 0
______________________
ID : </v>
      </c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79" t="str">
        <f t="shared" si="2"/>
        <v/>
      </c>
      <c r="B384" s="14"/>
      <c r="C384" s="79"/>
      <c r="D384" s="79"/>
      <c r="E384" s="79"/>
      <c r="F384" s="79"/>
      <c r="G384" s="79"/>
      <c r="H384" s="14"/>
      <c r="I384" s="14"/>
      <c r="J384" s="14"/>
      <c r="K384" s="14"/>
      <c r="L384" s="14"/>
      <c r="M384" s="14" t="str">
        <f t="shared" ref="M384:P384" si="385">text(I384,"Rp #,##0")</f>
        <v>Rp 0</v>
      </c>
      <c r="N384" s="14" t="str">
        <f t="shared" si="385"/>
        <v>Rp 0</v>
      </c>
      <c r="O384" s="14" t="str">
        <f t="shared" si="385"/>
        <v>Rp 0</v>
      </c>
      <c r="P384" s="14" t="str">
        <f t="shared" si="385"/>
        <v>Rp 0</v>
      </c>
      <c r="Q384" s="14" t="str">
        <f t="shared" si="4"/>
        <v>Syahriyah = Rp 0
Jariyah = Rp 0
Daftar Ulang = Rp 0
Total = Rp 0
______________________
ID : </v>
      </c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79" t="str">
        <f t="shared" si="2"/>
        <v/>
      </c>
      <c r="B385" s="14"/>
      <c r="C385" s="79"/>
      <c r="D385" s="79"/>
      <c r="E385" s="79"/>
      <c r="F385" s="79"/>
      <c r="G385" s="79"/>
      <c r="H385" s="14"/>
      <c r="I385" s="14"/>
      <c r="J385" s="14"/>
      <c r="K385" s="14"/>
      <c r="L385" s="14"/>
      <c r="M385" s="14" t="str">
        <f t="shared" ref="M385:P385" si="386">text(I385,"Rp #,##0")</f>
        <v>Rp 0</v>
      </c>
      <c r="N385" s="14" t="str">
        <f t="shared" si="386"/>
        <v>Rp 0</v>
      </c>
      <c r="O385" s="14" t="str">
        <f t="shared" si="386"/>
        <v>Rp 0</v>
      </c>
      <c r="P385" s="14" t="str">
        <f t="shared" si="386"/>
        <v>Rp 0</v>
      </c>
      <c r="Q385" s="14" t="str">
        <f t="shared" si="4"/>
        <v>Syahriyah = Rp 0
Jariyah = Rp 0
Daftar Ulang = Rp 0
Total = Rp 0
______________________
ID : </v>
      </c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79" t="str">
        <f t="shared" si="2"/>
        <v/>
      </c>
      <c r="B386" s="14"/>
      <c r="C386" s="79"/>
      <c r="D386" s="79"/>
      <c r="E386" s="79"/>
      <c r="F386" s="79"/>
      <c r="G386" s="79"/>
      <c r="H386" s="14"/>
      <c r="I386" s="14"/>
      <c r="J386" s="14"/>
      <c r="K386" s="14"/>
      <c r="L386" s="14"/>
      <c r="M386" s="14" t="str">
        <f t="shared" ref="M386:P386" si="387">text(I386,"Rp #,##0")</f>
        <v>Rp 0</v>
      </c>
      <c r="N386" s="14" t="str">
        <f t="shared" si="387"/>
        <v>Rp 0</v>
      </c>
      <c r="O386" s="14" t="str">
        <f t="shared" si="387"/>
        <v>Rp 0</v>
      </c>
      <c r="P386" s="14" t="str">
        <f t="shared" si="387"/>
        <v>Rp 0</v>
      </c>
      <c r="Q386" s="14" t="str">
        <f t="shared" si="4"/>
        <v>Syahriyah = Rp 0
Jariyah = Rp 0
Daftar Ulang = Rp 0
Total = Rp 0
______________________
ID : </v>
      </c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79" t="str">
        <f t="shared" si="2"/>
        <v/>
      </c>
      <c r="B387" s="14"/>
      <c r="C387" s="79"/>
      <c r="D387" s="79"/>
      <c r="E387" s="79"/>
      <c r="F387" s="79"/>
      <c r="G387" s="79"/>
      <c r="H387" s="14"/>
      <c r="I387" s="14"/>
      <c r="J387" s="14"/>
      <c r="K387" s="14"/>
      <c r="L387" s="14"/>
      <c r="M387" s="14" t="str">
        <f t="shared" ref="M387:P387" si="388">text(I387,"Rp #,##0")</f>
        <v>Rp 0</v>
      </c>
      <c r="N387" s="14" t="str">
        <f t="shared" si="388"/>
        <v>Rp 0</v>
      </c>
      <c r="O387" s="14" t="str">
        <f t="shared" si="388"/>
        <v>Rp 0</v>
      </c>
      <c r="P387" s="14" t="str">
        <f t="shared" si="388"/>
        <v>Rp 0</v>
      </c>
      <c r="Q387" s="14" t="str">
        <f t="shared" si="4"/>
        <v>Syahriyah = Rp 0
Jariyah = Rp 0
Daftar Ulang = Rp 0
Total = Rp 0
______________________
ID : </v>
      </c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79" t="str">
        <f t="shared" si="2"/>
        <v/>
      </c>
      <c r="B388" s="14"/>
      <c r="C388" s="79"/>
      <c r="D388" s="79"/>
      <c r="E388" s="79"/>
      <c r="F388" s="79"/>
      <c r="G388" s="79"/>
      <c r="H388" s="14"/>
      <c r="I388" s="14"/>
      <c r="J388" s="14"/>
      <c r="K388" s="14"/>
      <c r="L388" s="14"/>
      <c r="M388" s="14" t="str">
        <f t="shared" ref="M388:P388" si="389">text(I388,"Rp #,##0")</f>
        <v>Rp 0</v>
      </c>
      <c r="N388" s="14" t="str">
        <f t="shared" si="389"/>
        <v>Rp 0</v>
      </c>
      <c r="O388" s="14" t="str">
        <f t="shared" si="389"/>
        <v>Rp 0</v>
      </c>
      <c r="P388" s="14" t="str">
        <f t="shared" si="389"/>
        <v>Rp 0</v>
      </c>
      <c r="Q388" s="14" t="str">
        <f t="shared" si="4"/>
        <v>Syahriyah = Rp 0
Jariyah = Rp 0
Daftar Ulang = Rp 0
Total = Rp 0
______________________
ID : </v>
      </c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79" t="str">
        <f t="shared" si="2"/>
        <v/>
      </c>
      <c r="B389" s="14"/>
      <c r="C389" s="79"/>
      <c r="D389" s="79"/>
      <c r="E389" s="79"/>
      <c r="F389" s="79"/>
      <c r="G389" s="79"/>
      <c r="H389" s="14"/>
      <c r="I389" s="14"/>
      <c r="J389" s="14"/>
      <c r="K389" s="14"/>
      <c r="L389" s="14"/>
      <c r="M389" s="14" t="str">
        <f t="shared" ref="M389:P389" si="390">text(I389,"Rp #,##0")</f>
        <v>Rp 0</v>
      </c>
      <c r="N389" s="14" t="str">
        <f t="shared" si="390"/>
        <v>Rp 0</v>
      </c>
      <c r="O389" s="14" t="str">
        <f t="shared" si="390"/>
        <v>Rp 0</v>
      </c>
      <c r="P389" s="14" t="str">
        <f t="shared" si="390"/>
        <v>Rp 0</v>
      </c>
      <c r="Q389" s="14" t="str">
        <f t="shared" si="4"/>
        <v>Syahriyah = Rp 0
Jariyah = Rp 0
Daftar Ulang = Rp 0
Total = Rp 0
______________________
ID : </v>
      </c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79" t="str">
        <f t="shared" si="2"/>
        <v/>
      </c>
      <c r="B390" s="14"/>
      <c r="C390" s="79"/>
      <c r="D390" s="79"/>
      <c r="E390" s="79"/>
      <c r="F390" s="79"/>
      <c r="G390" s="79"/>
      <c r="H390" s="14"/>
      <c r="I390" s="14"/>
      <c r="J390" s="14"/>
      <c r="K390" s="14"/>
      <c r="L390" s="14"/>
      <c r="M390" s="14" t="str">
        <f t="shared" ref="M390:P390" si="391">text(I390,"Rp #,##0")</f>
        <v>Rp 0</v>
      </c>
      <c r="N390" s="14" t="str">
        <f t="shared" si="391"/>
        <v>Rp 0</v>
      </c>
      <c r="O390" s="14" t="str">
        <f t="shared" si="391"/>
        <v>Rp 0</v>
      </c>
      <c r="P390" s="14" t="str">
        <f t="shared" si="391"/>
        <v>Rp 0</v>
      </c>
      <c r="Q390" s="14" t="str">
        <f t="shared" si="4"/>
        <v>Syahriyah = Rp 0
Jariyah = Rp 0
Daftar Ulang = Rp 0
Total = Rp 0
______________________
ID : </v>
      </c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79" t="str">
        <f t="shared" si="2"/>
        <v/>
      </c>
      <c r="B391" s="14"/>
      <c r="C391" s="79"/>
      <c r="D391" s="79"/>
      <c r="E391" s="79"/>
      <c r="F391" s="79"/>
      <c r="G391" s="79"/>
      <c r="H391" s="14"/>
      <c r="I391" s="14"/>
      <c r="J391" s="14"/>
      <c r="K391" s="14"/>
      <c r="L391" s="14"/>
      <c r="M391" s="14" t="str">
        <f t="shared" ref="M391:P391" si="392">text(I391,"Rp #,##0")</f>
        <v>Rp 0</v>
      </c>
      <c r="N391" s="14" t="str">
        <f t="shared" si="392"/>
        <v>Rp 0</v>
      </c>
      <c r="O391" s="14" t="str">
        <f t="shared" si="392"/>
        <v>Rp 0</v>
      </c>
      <c r="P391" s="14" t="str">
        <f t="shared" si="392"/>
        <v>Rp 0</v>
      </c>
      <c r="Q391" s="14" t="str">
        <f t="shared" si="4"/>
        <v>Syahriyah = Rp 0
Jariyah = Rp 0
Daftar Ulang = Rp 0
Total = Rp 0
______________________
ID : </v>
      </c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79" t="str">
        <f t="shared" si="2"/>
        <v/>
      </c>
      <c r="B392" s="14"/>
      <c r="C392" s="79"/>
      <c r="D392" s="79"/>
      <c r="E392" s="79"/>
      <c r="F392" s="79"/>
      <c r="G392" s="79"/>
      <c r="H392" s="14"/>
      <c r="I392" s="14"/>
      <c r="J392" s="14"/>
      <c r="K392" s="14"/>
      <c r="L392" s="14"/>
      <c r="M392" s="14" t="str">
        <f t="shared" ref="M392:P392" si="393">text(I392,"Rp #,##0")</f>
        <v>Rp 0</v>
      </c>
      <c r="N392" s="14" t="str">
        <f t="shared" si="393"/>
        <v>Rp 0</v>
      </c>
      <c r="O392" s="14" t="str">
        <f t="shared" si="393"/>
        <v>Rp 0</v>
      </c>
      <c r="P392" s="14" t="str">
        <f t="shared" si="393"/>
        <v>Rp 0</v>
      </c>
      <c r="Q392" s="14" t="str">
        <f t="shared" si="4"/>
        <v>Syahriyah = Rp 0
Jariyah = Rp 0
Daftar Ulang = Rp 0
Total = Rp 0
______________________
ID : </v>
      </c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79" t="str">
        <f t="shared" si="2"/>
        <v/>
      </c>
      <c r="B393" s="14"/>
      <c r="C393" s="79"/>
      <c r="D393" s="79"/>
      <c r="E393" s="79"/>
      <c r="F393" s="79"/>
      <c r="G393" s="79"/>
      <c r="H393" s="14"/>
      <c r="I393" s="14"/>
      <c r="J393" s="14"/>
      <c r="K393" s="14"/>
      <c r="L393" s="14"/>
      <c r="M393" s="14" t="str">
        <f t="shared" ref="M393:P393" si="394">text(I393,"Rp #,##0")</f>
        <v>Rp 0</v>
      </c>
      <c r="N393" s="14" t="str">
        <f t="shared" si="394"/>
        <v>Rp 0</v>
      </c>
      <c r="O393" s="14" t="str">
        <f t="shared" si="394"/>
        <v>Rp 0</v>
      </c>
      <c r="P393" s="14" t="str">
        <f t="shared" si="394"/>
        <v>Rp 0</v>
      </c>
      <c r="Q393" s="14" t="str">
        <f t="shared" si="4"/>
        <v>Syahriyah = Rp 0
Jariyah = Rp 0
Daftar Ulang = Rp 0
Total = Rp 0
______________________
ID : 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79" t="str">
        <f t="shared" si="2"/>
        <v/>
      </c>
      <c r="B394" s="14"/>
      <c r="C394" s="79"/>
      <c r="D394" s="79"/>
      <c r="E394" s="79"/>
      <c r="F394" s="79"/>
      <c r="G394" s="79"/>
      <c r="H394" s="14"/>
      <c r="I394" s="14"/>
      <c r="J394" s="14"/>
      <c r="K394" s="14"/>
      <c r="L394" s="14"/>
      <c r="M394" s="14" t="str">
        <f t="shared" ref="M394:P394" si="395">text(I394,"Rp #,##0")</f>
        <v>Rp 0</v>
      </c>
      <c r="N394" s="14" t="str">
        <f t="shared" si="395"/>
        <v>Rp 0</v>
      </c>
      <c r="O394" s="14" t="str">
        <f t="shared" si="395"/>
        <v>Rp 0</v>
      </c>
      <c r="P394" s="14" t="str">
        <f t="shared" si="395"/>
        <v>Rp 0</v>
      </c>
      <c r="Q394" s="14" t="str">
        <f t="shared" si="4"/>
        <v>Syahriyah = Rp 0
Jariyah = Rp 0
Daftar Ulang = Rp 0
Total = Rp 0
______________________
ID : 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79" t="str">
        <f t="shared" si="2"/>
        <v/>
      </c>
      <c r="B395" s="14"/>
      <c r="C395" s="79"/>
      <c r="D395" s="79"/>
      <c r="E395" s="79"/>
      <c r="F395" s="79"/>
      <c r="G395" s="79"/>
      <c r="H395" s="14"/>
      <c r="I395" s="14"/>
      <c r="J395" s="14"/>
      <c r="K395" s="14"/>
      <c r="L395" s="14"/>
      <c r="M395" s="14" t="str">
        <f t="shared" ref="M395:P395" si="396">text(I395,"Rp #,##0")</f>
        <v>Rp 0</v>
      </c>
      <c r="N395" s="14" t="str">
        <f t="shared" si="396"/>
        <v>Rp 0</v>
      </c>
      <c r="O395" s="14" t="str">
        <f t="shared" si="396"/>
        <v>Rp 0</v>
      </c>
      <c r="P395" s="14" t="str">
        <f t="shared" si="396"/>
        <v>Rp 0</v>
      </c>
      <c r="Q395" s="14" t="str">
        <f t="shared" si="4"/>
        <v>Syahriyah = Rp 0
Jariyah = Rp 0
Daftar Ulang = Rp 0
Total = Rp 0
______________________
ID : 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79" t="str">
        <f t="shared" si="2"/>
        <v/>
      </c>
      <c r="B396" s="14"/>
      <c r="C396" s="79"/>
      <c r="D396" s="79"/>
      <c r="E396" s="79"/>
      <c r="F396" s="79"/>
      <c r="G396" s="79"/>
      <c r="H396" s="14"/>
      <c r="I396" s="14"/>
      <c r="J396" s="14"/>
      <c r="K396" s="14"/>
      <c r="L396" s="14"/>
      <c r="M396" s="14" t="str">
        <f t="shared" ref="M396:P396" si="397">text(I396,"Rp #,##0")</f>
        <v>Rp 0</v>
      </c>
      <c r="N396" s="14" t="str">
        <f t="shared" si="397"/>
        <v>Rp 0</v>
      </c>
      <c r="O396" s="14" t="str">
        <f t="shared" si="397"/>
        <v>Rp 0</v>
      </c>
      <c r="P396" s="14" t="str">
        <f t="shared" si="397"/>
        <v>Rp 0</v>
      </c>
      <c r="Q396" s="14" t="str">
        <f t="shared" si="4"/>
        <v>Syahriyah = Rp 0
Jariyah = Rp 0
Daftar Ulang = Rp 0
Total = Rp 0
______________________
ID : 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79" t="str">
        <f t="shared" si="2"/>
        <v/>
      </c>
      <c r="B397" s="14"/>
      <c r="C397" s="79"/>
      <c r="D397" s="79"/>
      <c r="E397" s="79"/>
      <c r="F397" s="79"/>
      <c r="G397" s="79"/>
      <c r="H397" s="14"/>
      <c r="I397" s="14"/>
      <c r="J397" s="14"/>
      <c r="K397" s="14"/>
      <c r="L397" s="14"/>
      <c r="M397" s="14" t="str">
        <f t="shared" ref="M397:P397" si="398">text(I397,"Rp #,##0")</f>
        <v>Rp 0</v>
      </c>
      <c r="N397" s="14" t="str">
        <f t="shared" si="398"/>
        <v>Rp 0</v>
      </c>
      <c r="O397" s="14" t="str">
        <f t="shared" si="398"/>
        <v>Rp 0</v>
      </c>
      <c r="P397" s="14" t="str">
        <f t="shared" si="398"/>
        <v>Rp 0</v>
      </c>
      <c r="Q397" s="14" t="str">
        <f t="shared" si="4"/>
        <v>Syahriyah = Rp 0
Jariyah = Rp 0
Daftar Ulang = Rp 0
Total = Rp 0
______________________
ID : </v>
      </c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79" t="str">
        <f t="shared" si="2"/>
        <v/>
      </c>
      <c r="B398" s="14"/>
      <c r="C398" s="79"/>
      <c r="D398" s="79"/>
      <c r="E398" s="79"/>
      <c r="F398" s="79"/>
      <c r="G398" s="79"/>
      <c r="H398" s="14"/>
      <c r="I398" s="14"/>
      <c r="J398" s="14"/>
      <c r="K398" s="14"/>
      <c r="L398" s="14"/>
      <c r="M398" s="14" t="str">
        <f t="shared" ref="M398:P398" si="399">text(I398,"Rp #,##0")</f>
        <v>Rp 0</v>
      </c>
      <c r="N398" s="14" t="str">
        <f t="shared" si="399"/>
        <v>Rp 0</v>
      </c>
      <c r="O398" s="14" t="str">
        <f t="shared" si="399"/>
        <v>Rp 0</v>
      </c>
      <c r="P398" s="14" t="str">
        <f t="shared" si="399"/>
        <v>Rp 0</v>
      </c>
      <c r="Q398" s="14" t="str">
        <f t="shared" si="4"/>
        <v>Syahriyah = Rp 0
Jariyah = Rp 0
Daftar Ulang = Rp 0
Total = Rp 0
______________________
ID : </v>
      </c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79" t="str">
        <f t="shared" si="2"/>
        <v/>
      </c>
      <c r="B399" s="14"/>
      <c r="C399" s="79"/>
      <c r="D399" s="79"/>
      <c r="E399" s="79"/>
      <c r="F399" s="79"/>
      <c r="G399" s="79"/>
      <c r="H399" s="14"/>
      <c r="I399" s="14"/>
      <c r="J399" s="14"/>
      <c r="K399" s="14"/>
      <c r="L399" s="14"/>
      <c r="M399" s="14" t="str">
        <f t="shared" ref="M399:P399" si="400">text(I399,"Rp #,##0")</f>
        <v>Rp 0</v>
      </c>
      <c r="N399" s="14" t="str">
        <f t="shared" si="400"/>
        <v>Rp 0</v>
      </c>
      <c r="O399" s="14" t="str">
        <f t="shared" si="400"/>
        <v>Rp 0</v>
      </c>
      <c r="P399" s="14" t="str">
        <f t="shared" si="400"/>
        <v>Rp 0</v>
      </c>
      <c r="Q399" s="14" t="str">
        <f t="shared" si="4"/>
        <v>Syahriyah = Rp 0
Jariyah = Rp 0
Daftar Ulang = Rp 0
Total = Rp 0
______________________
ID : </v>
      </c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79" t="str">
        <f t="shared" si="2"/>
        <v/>
      </c>
      <c r="B400" s="14"/>
      <c r="C400" s="79"/>
      <c r="D400" s="79"/>
      <c r="E400" s="79"/>
      <c r="F400" s="79"/>
      <c r="G400" s="79"/>
      <c r="H400" s="14"/>
      <c r="I400" s="14"/>
      <c r="J400" s="14"/>
      <c r="K400" s="14"/>
      <c r="L400" s="14"/>
      <c r="M400" s="14" t="str">
        <f t="shared" ref="M400:P400" si="401">text(I400,"Rp #,##0")</f>
        <v>Rp 0</v>
      </c>
      <c r="N400" s="14" t="str">
        <f t="shared" si="401"/>
        <v>Rp 0</v>
      </c>
      <c r="O400" s="14" t="str">
        <f t="shared" si="401"/>
        <v>Rp 0</v>
      </c>
      <c r="P400" s="14" t="str">
        <f t="shared" si="401"/>
        <v>Rp 0</v>
      </c>
      <c r="Q400" s="14" t="str">
        <f t="shared" si="4"/>
        <v>Syahriyah = Rp 0
Jariyah = Rp 0
Daftar Ulang = Rp 0
Total = Rp 0
______________________
ID : </v>
      </c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79" t="str">
        <f t="shared" si="2"/>
        <v/>
      </c>
      <c r="B401" s="14"/>
      <c r="C401" s="79"/>
      <c r="D401" s="79"/>
      <c r="E401" s="79"/>
      <c r="F401" s="79"/>
      <c r="G401" s="79"/>
      <c r="H401" s="14"/>
      <c r="I401" s="14"/>
      <c r="J401" s="14"/>
      <c r="K401" s="14"/>
      <c r="L401" s="14"/>
      <c r="M401" s="14" t="str">
        <f t="shared" ref="M401:P401" si="402">text(I401,"Rp #,##0")</f>
        <v>Rp 0</v>
      </c>
      <c r="N401" s="14" t="str">
        <f t="shared" si="402"/>
        <v>Rp 0</v>
      </c>
      <c r="O401" s="14" t="str">
        <f t="shared" si="402"/>
        <v>Rp 0</v>
      </c>
      <c r="P401" s="14" t="str">
        <f t="shared" si="402"/>
        <v>Rp 0</v>
      </c>
      <c r="Q401" s="14" t="str">
        <f t="shared" si="4"/>
        <v>Syahriyah = Rp 0
Jariyah = Rp 0
Daftar Ulang = Rp 0
Total = Rp 0
______________________
ID : </v>
      </c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79" t="str">
        <f t="shared" si="2"/>
        <v/>
      </c>
      <c r="B402" s="14"/>
      <c r="C402" s="79"/>
      <c r="D402" s="79"/>
      <c r="E402" s="79"/>
      <c r="F402" s="79"/>
      <c r="G402" s="79"/>
      <c r="H402" s="14"/>
      <c r="I402" s="14"/>
      <c r="J402" s="14"/>
      <c r="K402" s="14"/>
      <c r="L402" s="14"/>
      <c r="M402" s="14" t="str">
        <f t="shared" ref="M402:P402" si="403">text(I402,"Rp #,##0")</f>
        <v>Rp 0</v>
      </c>
      <c r="N402" s="14" t="str">
        <f t="shared" si="403"/>
        <v>Rp 0</v>
      </c>
      <c r="O402" s="14" t="str">
        <f t="shared" si="403"/>
        <v>Rp 0</v>
      </c>
      <c r="P402" s="14" t="str">
        <f t="shared" si="403"/>
        <v>Rp 0</v>
      </c>
      <c r="Q402" s="14" t="str">
        <f t="shared" si="4"/>
        <v>Syahriyah = Rp 0
Jariyah = Rp 0
Daftar Ulang = Rp 0
Total = Rp 0
______________________
ID : </v>
      </c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79" t="str">
        <f t="shared" si="2"/>
        <v/>
      </c>
      <c r="B403" s="14"/>
      <c r="C403" s="79"/>
      <c r="D403" s="79"/>
      <c r="E403" s="79"/>
      <c r="F403" s="79"/>
      <c r="G403" s="79"/>
      <c r="H403" s="14"/>
      <c r="I403" s="14"/>
      <c r="J403" s="14"/>
      <c r="K403" s="14"/>
      <c r="L403" s="14"/>
      <c r="M403" s="14" t="str">
        <f t="shared" ref="M403:P403" si="404">text(I403,"Rp #,##0")</f>
        <v>Rp 0</v>
      </c>
      <c r="N403" s="14" t="str">
        <f t="shared" si="404"/>
        <v>Rp 0</v>
      </c>
      <c r="O403" s="14" t="str">
        <f t="shared" si="404"/>
        <v>Rp 0</v>
      </c>
      <c r="P403" s="14" t="str">
        <f t="shared" si="404"/>
        <v>Rp 0</v>
      </c>
      <c r="Q403" s="14" t="str">
        <f t="shared" si="4"/>
        <v>Syahriyah = Rp 0
Jariyah = Rp 0
Daftar Ulang = Rp 0
Total = Rp 0
______________________
ID : </v>
      </c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79" t="str">
        <f t="shared" si="2"/>
        <v/>
      </c>
      <c r="B404" s="14"/>
      <c r="C404" s="79"/>
      <c r="D404" s="79"/>
      <c r="E404" s="79"/>
      <c r="F404" s="79"/>
      <c r="G404" s="79"/>
      <c r="H404" s="14"/>
      <c r="I404" s="14"/>
      <c r="J404" s="14"/>
      <c r="K404" s="14"/>
      <c r="L404" s="14"/>
      <c r="M404" s="14" t="str">
        <f t="shared" ref="M404:P404" si="405">text(I404,"Rp #,##0")</f>
        <v>Rp 0</v>
      </c>
      <c r="N404" s="14" t="str">
        <f t="shared" si="405"/>
        <v>Rp 0</v>
      </c>
      <c r="O404" s="14" t="str">
        <f t="shared" si="405"/>
        <v>Rp 0</v>
      </c>
      <c r="P404" s="14" t="str">
        <f t="shared" si="405"/>
        <v>Rp 0</v>
      </c>
      <c r="Q404" s="14" t="str">
        <f t="shared" si="4"/>
        <v>Syahriyah = Rp 0
Jariyah = Rp 0
Daftar Ulang = Rp 0
Total = Rp 0
______________________
ID : </v>
      </c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79" t="str">
        <f t="shared" si="2"/>
        <v/>
      </c>
      <c r="B405" s="14"/>
      <c r="C405" s="79"/>
      <c r="D405" s="79"/>
      <c r="E405" s="79"/>
      <c r="F405" s="79"/>
      <c r="G405" s="79"/>
      <c r="H405" s="14"/>
      <c r="I405" s="14"/>
      <c r="J405" s="14"/>
      <c r="K405" s="14"/>
      <c r="L405" s="14"/>
      <c r="M405" s="14" t="str">
        <f t="shared" ref="M405:P405" si="406">text(I405,"Rp #,##0")</f>
        <v>Rp 0</v>
      </c>
      <c r="N405" s="14" t="str">
        <f t="shared" si="406"/>
        <v>Rp 0</v>
      </c>
      <c r="O405" s="14" t="str">
        <f t="shared" si="406"/>
        <v>Rp 0</v>
      </c>
      <c r="P405" s="14" t="str">
        <f t="shared" si="406"/>
        <v>Rp 0</v>
      </c>
      <c r="Q405" s="14" t="str">
        <f t="shared" si="4"/>
        <v>Syahriyah = Rp 0
Jariyah = Rp 0
Daftar Ulang = Rp 0
Total = Rp 0
______________________
ID : </v>
      </c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79" t="str">
        <f t="shared" si="2"/>
        <v/>
      </c>
      <c r="B406" s="14"/>
      <c r="C406" s="79"/>
      <c r="D406" s="79"/>
      <c r="E406" s="79"/>
      <c r="F406" s="79"/>
      <c r="G406" s="79"/>
      <c r="H406" s="14"/>
      <c r="I406" s="14"/>
      <c r="J406" s="14"/>
      <c r="K406" s="14"/>
      <c r="L406" s="14"/>
      <c r="M406" s="14" t="str">
        <f t="shared" ref="M406:P406" si="407">text(I406,"Rp #,##0")</f>
        <v>Rp 0</v>
      </c>
      <c r="N406" s="14" t="str">
        <f t="shared" si="407"/>
        <v>Rp 0</v>
      </c>
      <c r="O406" s="14" t="str">
        <f t="shared" si="407"/>
        <v>Rp 0</v>
      </c>
      <c r="P406" s="14" t="str">
        <f t="shared" si="407"/>
        <v>Rp 0</v>
      </c>
      <c r="Q406" s="14" t="str">
        <f t="shared" si="4"/>
        <v>Syahriyah = Rp 0
Jariyah = Rp 0
Daftar Ulang = Rp 0
Total = Rp 0
______________________
ID : </v>
      </c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79" t="str">
        <f t="shared" si="2"/>
        <v/>
      </c>
      <c r="B407" s="14"/>
      <c r="C407" s="79"/>
      <c r="D407" s="79"/>
      <c r="E407" s="79"/>
      <c r="F407" s="79"/>
      <c r="G407" s="79"/>
      <c r="H407" s="14"/>
      <c r="I407" s="14"/>
      <c r="J407" s="14"/>
      <c r="K407" s="14"/>
      <c r="L407" s="14"/>
      <c r="M407" s="14" t="str">
        <f t="shared" ref="M407:P407" si="408">text(I407,"Rp #,##0")</f>
        <v>Rp 0</v>
      </c>
      <c r="N407" s="14" t="str">
        <f t="shared" si="408"/>
        <v>Rp 0</v>
      </c>
      <c r="O407" s="14" t="str">
        <f t="shared" si="408"/>
        <v>Rp 0</v>
      </c>
      <c r="P407" s="14" t="str">
        <f t="shared" si="408"/>
        <v>Rp 0</v>
      </c>
      <c r="Q407" s="14" t="str">
        <f t="shared" si="4"/>
        <v>Syahriyah = Rp 0
Jariyah = Rp 0
Daftar Ulang = Rp 0
Total = Rp 0
______________________
ID : </v>
      </c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79" t="str">
        <f t="shared" si="2"/>
        <v/>
      </c>
      <c r="B408" s="14"/>
      <c r="C408" s="79"/>
      <c r="D408" s="79"/>
      <c r="E408" s="79"/>
      <c r="F408" s="79"/>
      <c r="G408" s="79"/>
      <c r="H408" s="14"/>
      <c r="I408" s="14"/>
      <c r="J408" s="14"/>
      <c r="K408" s="14"/>
      <c r="L408" s="14"/>
      <c r="M408" s="14" t="str">
        <f t="shared" ref="M408:P408" si="409">text(I408,"Rp #,##0")</f>
        <v>Rp 0</v>
      </c>
      <c r="N408" s="14" t="str">
        <f t="shared" si="409"/>
        <v>Rp 0</v>
      </c>
      <c r="O408" s="14" t="str">
        <f t="shared" si="409"/>
        <v>Rp 0</v>
      </c>
      <c r="P408" s="14" t="str">
        <f t="shared" si="409"/>
        <v>Rp 0</v>
      </c>
      <c r="Q408" s="14" t="str">
        <f t="shared" si="4"/>
        <v>Syahriyah = Rp 0
Jariyah = Rp 0
Daftar Ulang = Rp 0
Total = Rp 0
______________________
ID : </v>
      </c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79" t="str">
        <f t="shared" si="2"/>
        <v/>
      </c>
      <c r="B409" s="14"/>
      <c r="C409" s="79"/>
      <c r="D409" s="79"/>
      <c r="E409" s="79"/>
      <c r="F409" s="79"/>
      <c r="G409" s="79"/>
      <c r="H409" s="14"/>
      <c r="I409" s="14"/>
      <c r="J409" s="14"/>
      <c r="K409" s="14"/>
      <c r="L409" s="14"/>
      <c r="M409" s="14" t="str">
        <f t="shared" ref="M409:P409" si="410">text(I409,"Rp #,##0")</f>
        <v>Rp 0</v>
      </c>
      <c r="N409" s="14" t="str">
        <f t="shared" si="410"/>
        <v>Rp 0</v>
      </c>
      <c r="O409" s="14" t="str">
        <f t="shared" si="410"/>
        <v>Rp 0</v>
      </c>
      <c r="P409" s="14" t="str">
        <f t="shared" si="410"/>
        <v>Rp 0</v>
      </c>
      <c r="Q409" s="14" t="str">
        <f t="shared" si="4"/>
        <v>Syahriyah = Rp 0
Jariyah = Rp 0
Daftar Ulang = Rp 0
Total = Rp 0
______________________
ID : </v>
      </c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79" t="str">
        <f t="shared" si="2"/>
        <v/>
      </c>
      <c r="B410" s="14"/>
      <c r="C410" s="79"/>
      <c r="D410" s="79"/>
      <c r="E410" s="79"/>
      <c r="F410" s="79"/>
      <c r="G410" s="79"/>
      <c r="H410" s="14"/>
      <c r="I410" s="14"/>
      <c r="J410" s="14"/>
      <c r="K410" s="14"/>
      <c r="L410" s="14"/>
      <c r="M410" s="14" t="str">
        <f t="shared" ref="M410:P410" si="411">text(I410,"Rp #,##0")</f>
        <v>Rp 0</v>
      </c>
      <c r="N410" s="14" t="str">
        <f t="shared" si="411"/>
        <v>Rp 0</v>
      </c>
      <c r="O410" s="14" t="str">
        <f t="shared" si="411"/>
        <v>Rp 0</v>
      </c>
      <c r="P410" s="14" t="str">
        <f t="shared" si="411"/>
        <v>Rp 0</v>
      </c>
      <c r="Q410" s="14" t="str">
        <f t="shared" si="4"/>
        <v>Syahriyah = Rp 0
Jariyah = Rp 0
Daftar Ulang = Rp 0
Total = Rp 0
______________________
ID : </v>
      </c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79" t="str">
        <f t="shared" si="2"/>
        <v/>
      </c>
      <c r="B411" s="14"/>
      <c r="C411" s="79"/>
      <c r="D411" s="79"/>
      <c r="E411" s="79"/>
      <c r="F411" s="79"/>
      <c r="G411" s="79"/>
      <c r="H411" s="14"/>
      <c r="I411" s="14"/>
      <c r="J411" s="14"/>
      <c r="K411" s="14"/>
      <c r="L411" s="14"/>
      <c r="M411" s="14" t="str">
        <f t="shared" ref="M411:P411" si="412">text(I411,"Rp #,##0")</f>
        <v>Rp 0</v>
      </c>
      <c r="N411" s="14" t="str">
        <f t="shared" si="412"/>
        <v>Rp 0</v>
      </c>
      <c r="O411" s="14" t="str">
        <f t="shared" si="412"/>
        <v>Rp 0</v>
      </c>
      <c r="P411" s="14" t="str">
        <f t="shared" si="412"/>
        <v>Rp 0</v>
      </c>
      <c r="Q411" s="14" t="str">
        <f t="shared" si="4"/>
        <v>Syahriyah = Rp 0
Jariyah = Rp 0
Daftar Ulang = Rp 0
Total = Rp 0
______________________
ID : </v>
      </c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79" t="str">
        <f t="shared" si="2"/>
        <v/>
      </c>
      <c r="B412" s="14"/>
      <c r="C412" s="79"/>
      <c r="D412" s="79"/>
      <c r="E412" s="79"/>
      <c r="F412" s="79"/>
      <c r="G412" s="79"/>
      <c r="H412" s="14"/>
      <c r="I412" s="14"/>
      <c r="J412" s="14"/>
      <c r="K412" s="14"/>
      <c r="L412" s="14"/>
      <c r="M412" s="14" t="str">
        <f t="shared" ref="M412:P412" si="413">text(I412,"Rp #,##0")</f>
        <v>Rp 0</v>
      </c>
      <c r="N412" s="14" t="str">
        <f t="shared" si="413"/>
        <v>Rp 0</v>
      </c>
      <c r="O412" s="14" t="str">
        <f t="shared" si="413"/>
        <v>Rp 0</v>
      </c>
      <c r="P412" s="14" t="str">
        <f t="shared" si="413"/>
        <v>Rp 0</v>
      </c>
      <c r="Q412" s="14" t="str">
        <f t="shared" si="4"/>
        <v>Syahriyah = Rp 0
Jariyah = Rp 0
Daftar Ulang = Rp 0
Total = Rp 0
______________________
ID : </v>
      </c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79" t="str">
        <f t="shared" si="2"/>
        <v/>
      </c>
      <c r="B413" s="14"/>
      <c r="C413" s="79"/>
      <c r="D413" s="79"/>
      <c r="E413" s="79"/>
      <c r="F413" s="79"/>
      <c r="G413" s="79"/>
      <c r="H413" s="14"/>
      <c r="I413" s="14"/>
      <c r="J413" s="14"/>
      <c r="K413" s="14"/>
      <c r="L413" s="14"/>
      <c r="M413" s="14" t="str">
        <f t="shared" ref="M413:P413" si="414">text(I413,"Rp #,##0")</f>
        <v>Rp 0</v>
      </c>
      <c r="N413" s="14" t="str">
        <f t="shared" si="414"/>
        <v>Rp 0</v>
      </c>
      <c r="O413" s="14" t="str">
        <f t="shared" si="414"/>
        <v>Rp 0</v>
      </c>
      <c r="P413" s="14" t="str">
        <f t="shared" si="414"/>
        <v>Rp 0</v>
      </c>
      <c r="Q413" s="14" t="str">
        <f t="shared" si="4"/>
        <v>Syahriyah = Rp 0
Jariyah = Rp 0
Daftar Ulang = Rp 0
Total = Rp 0
______________________
ID : </v>
      </c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79" t="str">
        <f t="shared" si="2"/>
        <v/>
      </c>
      <c r="B414" s="14"/>
      <c r="C414" s="79"/>
      <c r="D414" s="79"/>
      <c r="E414" s="79"/>
      <c r="F414" s="79"/>
      <c r="G414" s="79"/>
      <c r="H414" s="14"/>
      <c r="I414" s="14"/>
      <c r="J414" s="14"/>
      <c r="K414" s="14"/>
      <c r="L414" s="14"/>
      <c r="M414" s="14" t="str">
        <f t="shared" ref="M414:P414" si="415">text(I414,"Rp #,##0")</f>
        <v>Rp 0</v>
      </c>
      <c r="N414" s="14" t="str">
        <f t="shared" si="415"/>
        <v>Rp 0</v>
      </c>
      <c r="O414" s="14" t="str">
        <f t="shared" si="415"/>
        <v>Rp 0</v>
      </c>
      <c r="P414" s="14" t="str">
        <f t="shared" si="415"/>
        <v>Rp 0</v>
      </c>
      <c r="Q414" s="14" t="str">
        <f t="shared" si="4"/>
        <v>Syahriyah = Rp 0
Jariyah = Rp 0
Daftar Ulang = Rp 0
Total = Rp 0
______________________
ID : </v>
      </c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79" t="str">
        <f t="shared" si="2"/>
        <v/>
      </c>
      <c r="B415" s="14"/>
      <c r="C415" s="79"/>
      <c r="D415" s="79"/>
      <c r="E415" s="79"/>
      <c r="F415" s="79"/>
      <c r="G415" s="79"/>
      <c r="H415" s="14"/>
      <c r="I415" s="14"/>
      <c r="J415" s="14"/>
      <c r="K415" s="14"/>
      <c r="L415" s="14"/>
      <c r="M415" s="14" t="str">
        <f t="shared" ref="M415:P415" si="416">text(I415,"Rp #,##0")</f>
        <v>Rp 0</v>
      </c>
      <c r="N415" s="14" t="str">
        <f t="shared" si="416"/>
        <v>Rp 0</v>
      </c>
      <c r="O415" s="14" t="str">
        <f t="shared" si="416"/>
        <v>Rp 0</v>
      </c>
      <c r="P415" s="14" t="str">
        <f t="shared" si="416"/>
        <v>Rp 0</v>
      </c>
      <c r="Q415" s="14" t="str">
        <f t="shared" si="4"/>
        <v>Syahriyah = Rp 0
Jariyah = Rp 0
Daftar Ulang = Rp 0
Total = Rp 0
______________________
ID : </v>
      </c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79" t="str">
        <f t="shared" si="2"/>
        <v/>
      </c>
      <c r="B416" s="14"/>
      <c r="C416" s="79"/>
      <c r="D416" s="79"/>
      <c r="E416" s="79"/>
      <c r="F416" s="79"/>
      <c r="G416" s="79"/>
      <c r="H416" s="14"/>
      <c r="I416" s="14"/>
      <c r="J416" s="14"/>
      <c r="K416" s="14"/>
      <c r="L416" s="14"/>
      <c r="M416" s="14" t="str">
        <f t="shared" ref="M416:P416" si="417">text(I416,"Rp #,##0")</f>
        <v>Rp 0</v>
      </c>
      <c r="N416" s="14" t="str">
        <f t="shared" si="417"/>
        <v>Rp 0</v>
      </c>
      <c r="O416" s="14" t="str">
        <f t="shared" si="417"/>
        <v>Rp 0</v>
      </c>
      <c r="P416" s="14" t="str">
        <f t="shared" si="417"/>
        <v>Rp 0</v>
      </c>
      <c r="Q416" s="14" t="str">
        <f t="shared" si="4"/>
        <v>Syahriyah = Rp 0
Jariyah = Rp 0
Daftar Ulang = Rp 0
Total = Rp 0
______________________
ID : </v>
      </c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79" t="str">
        <f t="shared" si="2"/>
        <v/>
      </c>
      <c r="B417" s="14"/>
      <c r="C417" s="79"/>
      <c r="D417" s="79"/>
      <c r="E417" s="79"/>
      <c r="F417" s="79"/>
      <c r="G417" s="79"/>
      <c r="H417" s="14"/>
      <c r="I417" s="14"/>
      <c r="J417" s="14"/>
      <c r="K417" s="14"/>
      <c r="L417" s="14"/>
      <c r="M417" s="14" t="str">
        <f t="shared" ref="M417:P417" si="418">text(I417,"Rp #,##0")</f>
        <v>Rp 0</v>
      </c>
      <c r="N417" s="14" t="str">
        <f t="shared" si="418"/>
        <v>Rp 0</v>
      </c>
      <c r="O417" s="14" t="str">
        <f t="shared" si="418"/>
        <v>Rp 0</v>
      </c>
      <c r="P417" s="14" t="str">
        <f t="shared" si="418"/>
        <v>Rp 0</v>
      </c>
      <c r="Q417" s="14" t="str">
        <f t="shared" si="4"/>
        <v>Syahriyah = Rp 0
Jariyah = Rp 0
Daftar Ulang = Rp 0
Total = Rp 0
______________________
ID : </v>
      </c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79" t="str">
        <f t="shared" si="2"/>
        <v/>
      </c>
      <c r="B418" s="14"/>
      <c r="C418" s="79"/>
      <c r="D418" s="79"/>
      <c r="E418" s="79"/>
      <c r="F418" s="79"/>
      <c r="G418" s="79"/>
      <c r="H418" s="14"/>
      <c r="I418" s="14"/>
      <c r="J418" s="14"/>
      <c r="K418" s="14"/>
      <c r="L418" s="14"/>
      <c r="M418" s="14" t="str">
        <f t="shared" ref="M418:P418" si="419">text(I418,"Rp #,##0")</f>
        <v>Rp 0</v>
      </c>
      <c r="N418" s="14" t="str">
        <f t="shared" si="419"/>
        <v>Rp 0</v>
      </c>
      <c r="O418" s="14" t="str">
        <f t="shared" si="419"/>
        <v>Rp 0</v>
      </c>
      <c r="P418" s="14" t="str">
        <f t="shared" si="419"/>
        <v>Rp 0</v>
      </c>
      <c r="Q418" s="14" t="str">
        <f t="shared" si="4"/>
        <v>Syahriyah = Rp 0
Jariyah = Rp 0
Daftar Ulang = Rp 0
Total = Rp 0
______________________
ID : </v>
      </c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79" t="str">
        <f t="shared" si="2"/>
        <v/>
      </c>
      <c r="B419" s="14"/>
      <c r="C419" s="79"/>
      <c r="D419" s="79"/>
      <c r="E419" s="79"/>
      <c r="F419" s="79"/>
      <c r="G419" s="79"/>
      <c r="H419" s="14"/>
      <c r="I419" s="14"/>
      <c r="J419" s="14"/>
      <c r="K419" s="14"/>
      <c r="L419" s="14"/>
      <c r="M419" s="14" t="str">
        <f t="shared" ref="M419:P419" si="420">text(I419,"Rp #,##0")</f>
        <v>Rp 0</v>
      </c>
      <c r="N419" s="14" t="str">
        <f t="shared" si="420"/>
        <v>Rp 0</v>
      </c>
      <c r="O419" s="14" t="str">
        <f t="shared" si="420"/>
        <v>Rp 0</v>
      </c>
      <c r="P419" s="14" t="str">
        <f t="shared" si="420"/>
        <v>Rp 0</v>
      </c>
      <c r="Q419" s="14" t="str">
        <f t="shared" si="4"/>
        <v>Syahriyah = Rp 0
Jariyah = Rp 0
Daftar Ulang = Rp 0
Total = Rp 0
______________________
ID : </v>
      </c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79" t="str">
        <f t="shared" si="2"/>
        <v/>
      </c>
      <c r="B420" s="14"/>
      <c r="C420" s="79"/>
      <c r="D420" s="79"/>
      <c r="E420" s="79"/>
      <c r="F420" s="79"/>
      <c r="G420" s="79"/>
      <c r="H420" s="14"/>
      <c r="I420" s="14"/>
      <c r="J420" s="14"/>
      <c r="K420" s="14"/>
      <c r="L420" s="14"/>
      <c r="M420" s="14" t="str">
        <f t="shared" ref="M420:P420" si="421">text(I420,"Rp #,##0")</f>
        <v>Rp 0</v>
      </c>
      <c r="N420" s="14" t="str">
        <f t="shared" si="421"/>
        <v>Rp 0</v>
      </c>
      <c r="O420" s="14" t="str">
        <f t="shared" si="421"/>
        <v>Rp 0</v>
      </c>
      <c r="P420" s="14" t="str">
        <f t="shared" si="421"/>
        <v>Rp 0</v>
      </c>
      <c r="Q420" s="14" t="str">
        <f t="shared" si="4"/>
        <v>Syahriyah = Rp 0
Jariyah = Rp 0
Daftar Ulang = Rp 0
Total = Rp 0
______________________
ID : </v>
      </c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79" t="str">
        <f t="shared" si="2"/>
        <v/>
      </c>
      <c r="B421" s="14"/>
      <c r="C421" s="79"/>
      <c r="D421" s="79"/>
      <c r="E421" s="79"/>
      <c r="F421" s="79"/>
      <c r="G421" s="79"/>
      <c r="H421" s="14"/>
      <c r="I421" s="14"/>
      <c r="J421" s="14"/>
      <c r="K421" s="14"/>
      <c r="L421" s="14"/>
      <c r="M421" s="14" t="str">
        <f t="shared" ref="M421:P421" si="422">text(I421,"Rp #,##0")</f>
        <v>Rp 0</v>
      </c>
      <c r="N421" s="14" t="str">
        <f t="shared" si="422"/>
        <v>Rp 0</v>
      </c>
      <c r="O421" s="14" t="str">
        <f t="shared" si="422"/>
        <v>Rp 0</v>
      </c>
      <c r="P421" s="14" t="str">
        <f t="shared" si="422"/>
        <v>Rp 0</v>
      </c>
      <c r="Q421" s="14" t="str">
        <f t="shared" si="4"/>
        <v>Syahriyah = Rp 0
Jariyah = Rp 0
Daftar Ulang = Rp 0
Total = Rp 0
______________________
ID : </v>
      </c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79" t="str">
        <f t="shared" si="2"/>
        <v/>
      </c>
      <c r="B422" s="14"/>
      <c r="C422" s="79"/>
      <c r="D422" s="79"/>
      <c r="E422" s="79"/>
      <c r="F422" s="79"/>
      <c r="G422" s="79"/>
      <c r="H422" s="14"/>
      <c r="I422" s="14"/>
      <c r="J422" s="14"/>
      <c r="K422" s="14"/>
      <c r="L422" s="14"/>
      <c r="M422" s="14" t="str">
        <f t="shared" ref="M422:P422" si="423">text(I422,"Rp #,##0")</f>
        <v>Rp 0</v>
      </c>
      <c r="N422" s="14" t="str">
        <f t="shared" si="423"/>
        <v>Rp 0</v>
      </c>
      <c r="O422" s="14" t="str">
        <f t="shared" si="423"/>
        <v>Rp 0</v>
      </c>
      <c r="P422" s="14" t="str">
        <f t="shared" si="423"/>
        <v>Rp 0</v>
      </c>
      <c r="Q422" s="14" t="str">
        <f t="shared" si="4"/>
        <v>Syahriyah = Rp 0
Jariyah = Rp 0
Daftar Ulang = Rp 0
Total = Rp 0
______________________
ID : </v>
      </c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79" t="str">
        <f t="shared" si="2"/>
        <v/>
      </c>
      <c r="B423" s="14"/>
      <c r="C423" s="79"/>
      <c r="D423" s="79"/>
      <c r="E423" s="79"/>
      <c r="F423" s="79"/>
      <c r="G423" s="79"/>
      <c r="H423" s="14"/>
      <c r="I423" s="14"/>
      <c r="J423" s="14"/>
      <c r="K423" s="14"/>
      <c r="L423" s="14"/>
      <c r="M423" s="14" t="str">
        <f t="shared" ref="M423:P423" si="424">text(I423,"Rp #,##0")</f>
        <v>Rp 0</v>
      </c>
      <c r="N423" s="14" t="str">
        <f t="shared" si="424"/>
        <v>Rp 0</v>
      </c>
      <c r="O423" s="14" t="str">
        <f t="shared" si="424"/>
        <v>Rp 0</v>
      </c>
      <c r="P423" s="14" t="str">
        <f t="shared" si="424"/>
        <v>Rp 0</v>
      </c>
      <c r="Q423" s="14" t="str">
        <f t="shared" si="4"/>
        <v>Syahriyah = Rp 0
Jariyah = Rp 0
Daftar Ulang = Rp 0
Total = Rp 0
______________________
ID : </v>
      </c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79" t="str">
        <f t="shared" si="2"/>
        <v/>
      </c>
      <c r="B424" s="14"/>
      <c r="C424" s="79"/>
      <c r="D424" s="79"/>
      <c r="E424" s="79"/>
      <c r="F424" s="79"/>
      <c r="G424" s="79"/>
      <c r="H424" s="14"/>
      <c r="I424" s="14"/>
      <c r="J424" s="14"/>
      <c r="K424" s="14"/>
      <c r="L424" s="14"/>
      <c r="M424" s="14" t="str">
        <f t="shared" ref="M424:P424" si="425">text(I424,"Rp #,##0")</f>
        <v>Rp 0</v>
      </c>
      <c r="N424" s="14" t="str">
        <f t="shared" si="425"/>
        <v>Rp 0</v>
      </c>
      <c r="O424" s="14" t="str">
        <f t="shared" si="425"/>
        <v>Rp 0</v>
      </c>
      <c r="P424" s="14" t="str">
        <f t="shared" si="425"/>
        <v>Rp 0</v>
      </c>
      <c r="Q424" s="14" t="str">
        <f t="shared" si="4"/>
        <v>Syahriyah = Rp 0
Jariyah = Rp 0
Daftar Ulang = Rp 0
Total = Rp 0
______________________
ID : </v>
      </c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79" t="str">
        <f t="shared" si="2"/>
        <v/>
      </c>
      <c r="B425" s="14"/>
      <c r="C425" s="79"/>
      <c r="D425" s="79"/>
      <c r="E425" s="79"/>
      <c r="F425" s="79"/>
      <c r="G425" s="79"/>
      <c r="H425" s="14"/>
      <c r="I425" s="14"/>
      <c r="J425" s="14"/>
      <c r="K425" s="14"/>
      <c r="L425" s="14"/>
      <c r="M425" s="14" t="str">
        <f t="shared" ref="M425:P425" si="426">text(I425,"Rp #,##0")</f>
        <v>Rp 0</v>
      </c>
      <c r="N425" s="14" t="str">
        <f t="shared" si="426"/>
        <v>Rp 0</v>
      </c>
      <c r="O425" s="14" t="str">
        <f t="shared" si="426"/>
        <v>Rp 0</v>
      </c>
      <c r="P425" s="14" t="str">
        <f t="shared" si="426"/>
        <v>Rp 0</v>
      </c>
      <c r="Q425" s="14" t="str">
        <f t="shared" si="4"/>
        <v>Syahriyah = Rp 0
Jariyah = Rp 0
Daftar Ulang = Rp 0
Total = Rp 0
______________________
ID : </v>
      </c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79" t="str">
        <f t="shared" si="2"/>
        <v/>
      </c>
      <c r="B426" s="14"/>
      <c r="C426" s="79"/>
      <c r="D426" s="79"/>
      <c r="E426" s="79"/>
      <c r="F426" s="79"/>
      <c r="G426" s="79"/>
      <c r="H426" s="14"/>
      <c r="I426" s="14"/>
      <c r="J426" s="14"/>
      <c r="K426" s="14"/>
      <c r="L426" s="14"/>
      <c r="M426" s="14" t="str">
        <f t="shared" ref="M426:P426" si="427">text(I426,"Rp #,##0")</f>
        <v>Rp 0</v>
      </c>
      <c r="N426" s="14" t="str">
        <f t="shared" si="427"/>
        <v>Rp 0</v>
      </c>
      <c r="O426" s="14" t="str">
        <f t="shared" si="427"/>
        <v>Rp 0</v>
      </c>
      <c r="P426" s="14" t="str">
        <f t="shared" si="427"/>
        <v>Rp 0</v>
      </c>
      <c r="Q426" s="14" t="str">
        <f t="shared" si="4"/>
        <v>Syahriyah = Rp 0
Jariyah = Rp 0
Daftar Ulang = Rp 0
Total = Rp 0
______________________
ID : </v>
      </c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79" t="str">
        <f t="shared" si="2"/>
        <v/>
      </c>
      <c r="B427" s="14"/>
      <c r="C427" s="79"/>
      <c r="D427" s="79"/>
      <c r="E427" s="79"/>
      <c r="F427" s="79"/>
      <c r="G427" s="79"/>
      <c r="H427" s="14"/>
      <c r="I427" s="14"/>
      <c r="J427" s="14"/>
      <c r="K427" s="14"/>
      <c r="L427" s="14"/>
      <c r="M427" s="14" t="str">
        <f t="shared" ref="M427:P427" si="428">text(I427,"Rp #,##0")</f>
        <v>Rp 0</v>
      </c>
      <c r="N427" s="14" t="str">
        <f t="shared" si="428"/>
        <v>Rp 0</v>
      </c>
      <c r="O427" s="14" t="str">
        <f t="shared" si="428"/>
        <v>Rp 0</v>
      </c>
      <c r="P427" s="14" t="str">
        <f t="shared" si="428"/>
        <v>Rp 0</v>
      </c>
      <c r="Q427" s="14" t="str">
        <f t="shared" si="4"/>
        <v>Syahriyah = Rp 0
Jariyah = Rp 0
Daftar Ulang = Rp 0
Total = Rp 0
______________________
ID : </v>
      </c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79" t="str">
        <f t="shared" si="2"/>
        <v/>
      </c>
      <c r="B428" s="14"/>
      <c r="C428" s="79"/>
      <c r="D428" s="79"/>
      <c r="E428" s="79"/>
      <c r="F428" s="79"/>
      <c r="G428" s="79"/>
      <c r="H428" s="14"/>
      <c r="I428" s="14"/>
      <c r="J428" s="14"/>
      <c r="K428" s="14"/>
      <c r="L428" s="14"/>
      <c r="M428" s="14" t="str">
        <f t="shared" ref="M428:P428" si="429">text(I428,"Rp #,##0")</f>
        <v>Rp 0</v>
      </c>
      <c r="N428" s="14" t="str">
        <f t="shared" si="429"/>
        <v>Rp 0</v>
      </c>
      <c r="O428" s="14" t="str">
        <f t="shared" si="429"/>
        <v>Rp 0</v>
      </c>
      <c r="P428" s="14" t="str">
        <f t="shared" si="429"/>
        <v>Rp 0</v>
      </c>
      <c r="Q428" s="14" t="str">
        <f t="shared" si="4"/>
        <v>Syahriyah = Rp 0
Jariyah = Rp 0
Daftar Ulang = Rp 0
Total = Rp 0
______________________
ID : </v>
      </c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79" t="str">
        <f t="shared" si="2"/>
        <v/>
      </c>
      <c r="B429" s="14"/>
      <c r="C429" s="79"/>
      <c r="D429" s="79"/>
      <c r="E429" s="79"/>
      <c r="F429" s="79"/>
      <c r="G429" s="79"/>
      <c r="H429" s="14"/>
      <c r="I429" s="14"/>
      <c r="J429" s="14"/>
      <c r="K429" s="14"/>
      <c r="L429" s="14"/>
      <c r="M429" s="14" t="str">
        <f t="shared" ref="M429:P429" si="430">text(I429,"Rp #,##0")</f>
        <v>Rp 0</v>
      </c>
      <c r="N429" s="14" t="str">
        <f t="shared" si="430"/>
        <v>Rp 0</v>
      </c>
      <c r="O429" s="14" t="str">
        <f t="shared" si="430"/>
        <v>Rp 0</v>
      </c>
      <c r="P429" s="14" t="str">
        <f t="shared" si="430"/>
        <v>Rp 0</v>
      </c>
      <c r="Q429" s="14" t="str">
        <f t="shared" si="4"/>
        <v>Syahriyah = Rp 0
Jariyah = Rp 0
Daftar Ulang = Rp 0
Total = Rp 0
______________________
ID : </v>
      </c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79" t="str">
        <f t="shared" si="2"/>
        <v/>
      </c>
      <c r="B430" s="14"/>
      <c r="C430" s="79"/>
      <c r="D430" s="79"/>
      <c r="E430" s="79"/>
      <c r="F430" s="79"/>
      <c r="G430" s="79"/>
      <c r="H430" s="14"/>
      <c r="I430" s="14"/>
      <c r="J430" s="14"/>
      <c r="K430" s="14"/>
      <c r="L430" s="14"/>
      <c r="M430" s="14" t="str">
        <f t="shared" ref="M430:P430" si="431">text(I430,"Rp #,##0")</f>
        <v>Rp 0</v>
      </c>
      <c r="N430" s="14" t="str">
        <f t="shared" si="431"/>
        <v>Rp 0</v>
      </c>
      <c r="O430" s="14" t="str">
        <f t="shared" si="431"/>
        <v>Rp 0</v>
      </c>
      <c r="P430" s="14" t="str">
        <f t="shared" si="431"/>
        <v>Rp 0</v>
      </c>
      <c r="Q430" s="14" t="str">
        <f t="shared" si="4"/>
        <v>Syahriyah = Rp 0
Jariyah = Rp 0
Daftar Ulang = Rp 0
Total = Rp 0
______________________
ID : </v>
      </c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79" t="str">
        <f t="shared" si="2"/>
        <v/>
      </c>
      <c r="B431" s="14"/>
      <c r="C431" s="79"/>
      <c r="D431" s="79"/>
      <c r="E431" s="79"/>
      <c r="F431" s="79"/>
      <c r="G431" s="79"/>
      <c r="H431" s="14"/>
      <c r="I431" s="14"/>
      <c r="J431" s="14"/>
      <c r="K431" s="14"/>
      <c r="L431" s="14"/>
      <c r="M431" s="14" t="str">
        <f t="shared" ref="M431:P431" si="432">text(I431,"Rp #,##0")</f>
        <v>Rp 0</v>
      </c>
      <c r="N431" s="14" t="str">
        <f t="shared" si="432"/>
        <v>Rp 0</v>
      </c>
      <c r="O431" s="14" t="str">
        <f t="shared" si="432"/>
        <v>Rp 0</v>
      </c>
      <c r="P431" s="14" t="str">
        <f t="shared" si="432"/>
        <v>Rp 0</v>
      </c>
      <c r="Q431" s="14" t="str">
        <f t="shared" si="4"/>
        <v>Syahriyah = Rp 0
Jariyah = Rp 0
Daftar Ulang = Rp 0
Total = Rp 0
______________________
ID : </v>
      </c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79" t="str">
        <f t="shared" si="2"/>
        <v/>
      </c>
      <c r="B432" s="14"/>
      <c r="C432" s="79"/>
      <c r="D432" s="79"/>
      <c r="E432" s="79"/>
      <c r="F432" s="79"/>
      <c r="G432" s="79"/>
      <c r="H432" s="14"/>
      <c r="I432" s="14"/>
      <c r="J432" s="14"/>
      <c r="K432" s="14"/>
      <c r="L432" s="14"/>
      <c r="M432" s="14" t="str">
        <f t="shared" ref="M432:P432" si="433">text(I432,"Rp #,##0")</f>
        <v>Rp 0</v>
      </c>
      <c r="N432" s="14" t="str">
        <f t="shared" si="433"/>
        <v>Rp 0</v>
      </c>
      <c r="O432" s="14" t="str">
        <f t="shared" si="433"/>
        <v>Rp 0</v>
      </c>
      <c r="P432" s="14" t="str">
        <f t="shared" si="433"/>
        <v>Rp 0</v>
      </c>
      <c r="Q432" s="14" t="str">
        <f t="shared" si="4"/>
        <v>Syahriyah = Rp 0
Jariyah = Rp 0
Daftar Ulang = Rp 0
Total = Rp 0
______________________
ID : </v>
      </c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79" t="str">
        <f t="shared" si="2"/>
        <v/>
      </c>
      <c r="B433" s="14"/>
      <c r="C433" s="79"/>
      <c r="D433" s="79"/>
      <c r="E433" s="79"/>
      <c r="F433" s="79"/>
      <c r="G433" s="79"/>
      <c r="H433" s="14"/>
      <c r="I433" s="14"/>
      <c r="J433" s="14"/>
      <c r="K433" s="14"/>
      <c r="L433" s="14"/>
      <c r="M433" s="14" t="str">
        <f t="shared" ref="M433:P433" si="434">text(I433,"Rp #,##0")</f>
        <v>Rp 0</v>
      </c>
      <c r="N433" s="14" t="str">
        <f t="shared" si="434"/>
        <v>Rp 0</v>
      </c>
      <c r="O433" s="14" t="str">
        <f t="shared" si="434"/>
        <v>Rp 0</v>
      </c>
      <c r="P433" s="14" t="str">
        <f t="shared" si="434"/>
        <v>Rp 0</v>
      </c>
      <c r="Q433" s="14" t="str">
        <f t="shared" si="4"/>
        <v>Syahriyah = Rp 0
Jariyah = Rp 0
Daftar Ulang = Rp 0
Total = Rp 0
______________________
ID : </v>
      </c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79" t="str">
        <f t="shared" si="2"/>
        <v/>
      </c>
      <c r="B434" s="14"/>
      <c r="C434" s="79"/>
      <c r="D434" s="79"/>
      <c r="E434" s="79"/>
      <c r="F434" s="79"/>
      <c r="G434" s="79"/>
      <c r="H434" s="14"/>
      <c r="I434" s="14"/>
      <c r="J434" s="14"/>
      <c r="K434" s="14"/>
      <c r="L434" s="14"/>
      <c r="M434" s="14" t="str">
        <f t="shared" ref="M434:P434" si="435">text(I434,"Rp #,##0")</f>
        <v>Rp 0</v>
      </c>
      <c r="N434" s="14" t="str">
        <f t="shared" si="435"/>
        <v>Rp 0</v>
      </c>
      <c r="O434" s="14" t="str">
        <f t="shared" si="435"/>
        <v>Rp 0</v>
      </c>
      <c r="P434" s="14" t="str">
        <f t="shared" si="435"/>
        <v>Rp 0</v>
      </c>
      <c r="Q434" s="14" t="str">
        <f t="shared" si="4"/>
        <v>Syahriyah = Rp 0
Jariyah = Rp 0
Daftar Ulang = Rp 0
Total = Rp 0
______________________
ID : </v>
      </c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79" t="str">
        <f t="shared" si="2"/>
        <v/>
      </c>
      <c r="B435" s="14"/>
      <c r="C435" s="79"/>
      <c r="D435" s="79"/>
      <c r="E435" s="79"/>
      <c r="F435" s="79"/>
      <c r="G435" s="79"/>
      <c r="H435" s="14"/>
      <c r="I435" s="14"/>
      <c r="J435" s="14"/>
      <c r="K435" s="14"/>
      <c r="L435" s="14"/>
      <c r="M435" s="14" t="str">
        <f t="shared" ref="M435:P435" si="436">text(I435,"Rp #,##0")</f>
        <v>Rp 0</v>
      </c>
      <c r="N435" s="14" t="str">
        <f t="shared" si="436"/>
        <v>Rp 0</v>
      </c>
      <c r="O435" s="14" t="str">
        <f t="shared" si="436"/>
        <v>Rp 0</v>
      </c>
      <c r="P435" s="14" t="str">
        <f t="shared" si="436"/>
        <v>Rp 0</v>
      </c>
      <c r="Q435" s="14" t="str">
        <f t="shared" si="4"/>
        <v>Syahriyah = Rp 0
Jariyah = Rp 0
Daftar Ulang = Rp 0
Total = Rp 0
______________________
ID : 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79" t="str">
        <f t="shared" si="2"/>
        <v/>
      </c>
      <c r="B436" s="14"/>
      <c r="C436" s="79"/>
      <c r="D436" s="79"/>
      <c r="E436" s="79"/>
      <c r="F436" s="79"/>
      <c r="G436" s="79"/>
      <c r="H436" s="14"/>
      <c r="I436" s="14"/>
      <c r="J436" s="14"/>
      <c r="K436" s="14"/>
      <c r="L436" s="14"/>
      <c r="M436" s="14" t="str">
        <f t="shared" ref="M436:P436" si="437">text(I436,"Rp #,##0")</f>
        <v>Rp 0</v>
      </c>
      <c r="N436" s="14" t="str">
        <f t="shared" si="437"/>
        <v>Rp 0</v>
      </c>
      <c r="O436" s="14" t="str">
        <f t="shared" si="437"/>
        <v>Rp 0</v>
      </c>
      <c r="P436" s="14" t="str">
        <f t="shared" si="437"/>
        <v>Rp 0</v>
      </c>
      <c r="Q436" s="14" t="str">
        <f t="shared" si="4"/>
        <v>Syahriyah = Rp 0
Jariyah = Rp 0
Daftar Ulang = Rp 0
Total = Rp 0
______________________
ID : 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79" t="str">
        <f t="shared" si="2"/>
        <v/>
      </c>
      <c r="B437" s="14"/>
      <c r="C437" s="79"/>
      <c r="D437" s="79"/>
      <c r="E437" s="79"/>
      <c r="F437" s="79"/>
      <c r="G437" s="79"/>
      <c r="H437" s="14"/>
      <c r="I437" s="14"/>
      <c r="J437" s="14"/>
      <c r="K437" s="14"/>
      <c r="L437" s="14"/>
      <c r="M437" s="14" t="str">
        <f t="shared" ref="M437:P437" si="438">text(I437,"Rp #,##0")</f>
        <v>Rp 0</v>
      </c>
      <c r="N437" s="14" t="str">
        <f t="shared" si="438"/>
        <v>Rp 0</v>
      </c>
      <c r="O437" s="14" t="str">
        <f t="shared" si="438"/>
        <v>Rp 0</v>
      </c>
      <c r="P437" s="14" t="str">
        <f t="shared" si="438"/>
        <v>Rp 0</v>
      </c>
      <c r="Q437" s="14" t="str">
        <f t="shared" si="4"/>
        <v>Syahriyah = Rp 0
Jariyah = Rp 0
Daftar Ulang = Rp 0
Total = Rp 0
______________________
ID : 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79" t="str">
        <f t="shared" si="2"/>
        <v/>
      </c>
      <c r="B438" s="14"/>
      <c r="C438" s="79"/>
      <c r="D438" s="79"/>
      <c r="E438" s="79"/>
      <c r="F438" s="79"/>
      <c r="G438" s="79"/>
      <c r="H438" s="14"/>
      <c r="I438" s="14"/>
      <c r="J438" s="14"/>
      <c r="K438" s="14"/>
      <c r="L438" s="14"/>
      <c r="M438" s="14" t="str">
        <f t="shared" ref="M438:P438" si="439">text(I438,"Rp #,##0")</f>
        <v>Rp 0</v>
      </c>
      <c r="N438" s="14" t="str">
        <f t="shared" si="439"/>
        <v>Rp 0</v>
      </c>
      <c r="O438" s="14" t="str">
        <f t="shared" si="439"/>
        <v>Rp 0</v>
      </c>
      <c r="P438" s="14" t="str">
        <f t="shared" si="439"/>
        <v>Rp 0</v>
      </c>
      <c r="Q438" s="14" t="str">
        <f t="shared" si="4"/>
        <v>Syahriyah = Rp 0
Jariyah = Rp 0
Daftar Ulang = Rp 0
Total = Rp 0
______________________
ID : 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79" t="str">
        <f t="shared" si="2"/>
        <v/>
      </c>
      <c r="B439" s="14"/>
      <c r="C439" s="79"/>
      <c r="D439" s="79"/>
      <c r="E439" s="79"/>
      <c r="F439" s="79"/>
      <c r="G439" s="79"/>
      <c r="H439" s="14"/>
      <c r="I439" s="14"/>
      <c r="J439" s="14"/>
      <c r="K439" s="14"/>
      <c r="L439" s="14"/>
      <c r="M439" s="14" t="str">
        <f t="shared" ref="M439:P439" si="440">text(I439,"Rp #,##0")</f>
        <v>Rp 0</v>
      </c>
      <c r="N439" s="14" t="str">
        <f t="shared" si="440"/>
        <v>Rp 0</v>
      </c>
      <c r="O439" s="14" t="str">
        <f t="shared" si="440"/>
        <v>Rp 0</v>
      </c>
      <c r="P439" s="14" t="str">
        <f t="shared" si="440"/>
        <v>Rp 0</v>
      </c>
      <c r="Q439" s="14" t="str">
        <f t="shared" si="4"/>
        <v>Syahriyah = Rp 0
Jariyah = Rp 0
Daftar Ulang = Rp 0
Total = Rp 0
______________________
ID : 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79" t="str">
        <f t="shared" si="2"/>
        <v/>
      </c>
      <c r="B440" s="14"/>
      <c r="C440" s="79"/>
      <c r="D440" s="79"/>
      <c r="E440" s="79"/>
      <c r="F440" s="79"/>
      <c r="G440" s="79"/>
      <c r="H440" s="14"/>
      <c r="I440" s="14"/>
      <c r="J440" s="14"/>
      <c r="K440" s="14"/>
      <c r="L440" s="14"/>
      <c r="M440" s="14" t="str">
        <f t="shared" ref="M440:P440" si="441">text(I440,"Rp #,##0")</f>
        <v>Rp 0</v>
      </c>
      <c r="N440" s="14" t="str">
        <f t="shared" si="441"/>
        <v>Rp 0</v>
      </c>
      <c r="O440" s="14" t="str">
        <f t="shared" si="441"/>
        <v>Rp 0</v>
      </c>
      <c r="P440" s="14" t="str">
        <f t="shared" si="441"/>
        <v>Rp 0</v>
      </c>
      <c r="Q440" s="14" t="str">
        <f t="shared" si="4"/>
        <v>Syahriyah = Rp 0
Jariyah = Rp 0
Daftar Ulang = Rp 0
Total = Rp 0
______________________
ID : 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79" t="str">
        <f t="shared" si="2"/>
        <v/>
      </c>
      <c r="B441" s="14"/>
      <c r="C441" s="79"/>
      <c r="D441" s="79"/>
      <c r="E441" s="79"/>
      <c r="F441" s="79"/>
      <c r="G441" s="79"/>
      <c r="H441" s="14"/>
      <c r="I441" s="14"/>
      <c r="J441" s="14"/>
      <c r="K441" s="14"/>
      <c r="L441" s="14"/>
      <c r="M441" s="14" t="str">
        <f t="shared" ref="M441:P441" si="442">text(I441,"Rp #,##0")</f>
        <v>Rp 0</v>
      </c>
      <c r="N441" s="14" t="str">
        <f t="shared" si="442"/>
        <v>Rp 0</v>
      </c>
      <c r="O441" s="14" t="str">
        <f t="shared" si="442"/>
        <v>Rp 0</v>
      </c>
      <c r="P441" s="14" t="str">
        <f t="shared" si="442"/>
        <v>Rp 0</v>
      </c>
      <c r="Q441" s="14" t="str">
        <f t="shared" si="4"/>
        <v>Syahriyah = Rp 0
Jariyah = Rp 0
Daftar Ulang = Rp 0
Total = Rp 0
______________________
ID : </v>
      </c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79" t="str">
        <f t="shared" si="2"/>
        <v/>
      </c>
      <c r="B442" s="14"/>
      <c r="C442" s="79"/>
      <c r="D442" s="79"/>
      <c r="E442" s="79"/>
      <c r="F442" s="79"/>
      <c r="G442" s="79"/>
      <c r="H442" s="14"/>
      <c r="I442" s="14"/>
      <c r="J442" s="14"/>
      <c r="K442" s="14"/>
      <c r="L442" s="14"/>
      <c r="M442" s="14" t="str">
        <f t="shared" ref="M442:P442" si="443">text(I442,"Rp #,##0")</f>
        <v>Rp 0</v>
      </c>
      <c r="N442" s="14" t="str">
        <f t="shared" si="443"/>
        <v>Rp 0</v>
      </c>
      <c r="O442" s="14" t="str">
        <f t="shared" si="443"/>
        <v>Rp 0</v>
      </c>
      <c r="P442" s="14" t="str">
        <f t="shared" si="443"/>
        <v>Rp 0</v>
      </c>
      <c r="Q442" s="14" t="str">
        <f t="shared" si="4"/>
        <v>Syahriyah = Rp 0
Jariyah = Rp 0
Daftar Ulang = Rp 0
Total = Rp 0
______________________
ID : </v>
      </c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79" t="str">
        <f t="shared" si="2"/>
        <v/>
      </c>
      <c r="B443" s="14"/>
      <c r="C443" s="79"/>
      <c r="D443" s="79"/>
      <c r="E443" s="79"/>
      <c r="F443" s="79"/>
      <c r="G443" s="79"/>
      <c r="H443" s="14"/>
      <c r="I443" s="14"/>
      <c r="J443" s="14"/>
      <c r="K443" s="14"/>
      <c r="L443" s="14"/>
      <c r="M443" s="14" t="str">
        <f t="shared" ref="M443:P443" si="444">text(I443,"Rp #,##0")</f>
        <v>Rp 0</v>
      </c>
      <c r="N443" s="14" t="str">
        <f t="shared" si="444"/>
        <v>Rp 0</v>
      </c>
      <c r="O443" s="14" t="str">
        <f t="shared" si="444"/>
        <v>Rp 0</v>
      </c>
      <c r="P443" s="14" t="str">
        <f t="shared" si="444"/>
        <v>Rp 0</v>
      </c>
      <c r="Q443" s="14" t="str">
        <f t="shared" si="4"/>
        <v>Syahriyah = Rp 0
Jariyah = Rp 0
Daftar Ulang = Rp 0
Total = Rp 0
______________________
ID : </v>
      </c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79" t="str">
        <f t="shared" si="2"/>
        <v/>
      </c>
      <c r="B444" s="14"/>
      <c r="C444" s="79"/>
      <c r="D444" s="79"/>
      <c r="E444" s="79"/>
      <c r="F444" s="79"/>
      <c r="G444" s="79"/>
      <c r="H444" s="14"/>
      <c r="I444" s="14"/>
      <c r="J444" s="14"/>
      <c r="K444" s="14"/>
      <c r="L444" s="14"/>
      <c r="M444" s="14" t="str">
        <f t="shared" ref="M444:P444" si="445">text(I444,"Rp #,##0")</f>
        <v>Rp 0</v>
      </c>
      <c r="N444" s="14" t="str">
        <f t="shared" si="445"/>
        <v>Rp 0</v>
      </c>
      <c r="O444" s="14" t="str">
        <f t="shared" si="445"/>
        <v>Rp 0</v>
      </c>
      <c r="P444" s="14" t="str">
        <f t="shared" si="445"/>
        <v>Rp 0</v>
      </c>
      <c r="Q444" s="14" t="str">
        <f t="shared" si="4"/>
        <v>Syahriyah = Rp 0
Jariyah = Rp 0
Daftar Ulang = Rp 0
Total = Rp 0
______________________
ID : </v>
      </c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79" t="str">
        <f t="shared" si="2"/>
        <v/>
      </c>
      <c r="B445" s="14"/>
      <c r="C445" s="79"/>
      <c r="D445" s="79"/>
      <c r="E445" s="79"/>
      <c r="F445" s="79"/>
      <c r="G445" s="79"/>
      <c r="H445" s="14"/>
      <c r="I445" s="14"/>
      <c r="J445" s="14"/>
      <c r="K445" s="14"/>
      <c r="L445" s="14"/>
      <c r="M445" s="14" t="str">
        <f t="shared" ref="M445:P445" si="446">text(I445,"Rp #,##0")</f>
        <v>Rp 0</v>
      </c>
      <c r="N445" s="14" t="str">
        <f t="shared" si="446"/>
        <v>Rp 0</v>
      </c>
      <c r="O445" s="14" t="str">
        <f t="shared" si="446"/>
        <v>Rp 0</v>
      </c>
      <c r="P445" s="14" t="str">
        <f t="shared" si="446"/>
        <v>Rp 0</v>
      </c>
      <c r="Q445" s="14" t="str">
        <f t="shared" si="4"/>
        <v>Syahriyah = Rp 0
Jariyah = Rp 0
Daftar Ulang = Rp 0
Total = Rp 0
______________________
ID : </v>
      </c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79" t="str">
        <f t="shared" si="2"/>
        <v/>
      </c>
      <c r="B446" s="14"/>
      <c r="C446" s="79"/>
      <c r="D446" s="79"/>
      <c r="E446" s="79"/>
      <c r="F446" s="79"/>
      <c r="G446" s="79"/>
      <c r="H446" s="14"/>
      <c r="I446" s="14"/>
      <c r="J446" s="14"/>
      <c r="K446" s="14"/>
      <c r="L446" s="14"/>
      <c r="M446" s="14" t="str">
        <f t="shared" ref="M446:P446" si="447">text(I446,"Rp #,##0")</f>
        <v>Rp 0</v>
      </c>
      <c r="N446" s="14" t="str">
        <f t="shared" si="447"/>
        <v>Rp 0</v>
      </c>
      <c r="O446" s="14" t="str">
        <f t="shared" si="447"/>
        <v>Rp 0</v>
      </c>
      <c r="P446" s="14" t="str">
        <f t="shared" si="447"/>
        <v>Rp 0</v>
      </c>
      <c r="Q446" s="14" t="str">
        <f t="shared" si="4"/>
        <v>Syahriyah = Rp 0
Jariyah = Rp 0
Daftar Ulang = Rp 0
Total = Rp 0
______________________
ID : </v>
      </c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79" t="str">
        <f t="shared" si="2"/>
        <v/>
      </c>
      <c r="B447" s="14"/>
      <c r="C447" s="79"/>
      <c r="D447" s="79"/>
      <c r="E447" s="79"/>
      <c r="F447" s="79"/>
      <c r="G447" s="79"/>
      <c r="H447" s="14"/>
      <c r="I447" s="14"/>
      <c r="J447" s="14"/>
      <c r="K447" s="14"/>
      <c r="L447" s="14"/>
      <c r="M447" s="14" t="str">
        <f t="shared" ref="M447:P447" si="448">text(I447,"Rp #,##0")</f>
        <v>Rp 0</v>
      </c>
      <c r="N447" s="14" t="str">
        <f t="shared" si="448"/>
        <v>Rp 0</v>
      </c>
      <c r="O447" s="14" t="str">
        <f t="shared" si="448"/>
        <v>Rp 0</v>
      </c>
      <c r="P447" s="14" t="str">
        <f t="shared" si="448"/>
        <v>Rp 0</v>
      </c>
      <c r="Q447" s="14" t="str">
        <f t="shared" si="4"/>
        <v>Syahriyah = Rp 0
Jariyah = Rp 0
Daftar Ulang = Rp 0
Total = Rp 0
______________________
ID : 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79" t="str">
        <f t="shared" si="2"/>
        <v/>
      </c>
      <c r="B448" s="14"/>
      <c r="C448" s="79"/>
      <c r="D448" s="79"/>
      <c r="E448" s="79"/>
      <c r="F448" s="79"/>
      <c r="G448" s="79"/>
      <c r="H448" s="14"/>
      <c r="I448" s="14"/>
      <c r="J448" s="14"/>
      <c r="K448" s="14"/>
      <c r="L448" s="14"/>
      <c r="M448" s="14" t="str">
        <f t="shared" ref="M448:P448" si="449">text(I448,"Rp #,##0")</f>
        <v>Rp 0</v>
      </c>
      <c r="N448" s="14" t="str">
        <f t="shared" si="449"/>
        <v>Rp 0</v>
      </c>
      <c r="O448" s="14" t="str">
        <f t="shared" si="449"/>
        <v>Rp 0</v>
      </c>
      <c r="P448" s="14" t="str">
        <f t="shared" si="449"/>
        <v>Rp 0</v>
      </c>
      <c r="Q448" s="14" t="str">
        <f t="shared" si="4"/>
        <v>Syahriyah = Rp 0
Jariyah = Rp 0
Daftar Ulang = Rp 0
Total = Rp 0
______________________
ID : 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79" t="str">
        <f t="shared" si="2"/>
        <v/>
      </c>
      <c r="B449" s="14"/>
      <c r="C449" s="79"/>
      <c r="D449" s="79"/>
      <c r="E449" s="79"/>
      <c r="F449" s="79"/>
      <c r="G449" s="79"/>
      <c r="H449" s="14"/>
      <c r="I449" s="14"/>
      <c r="J449" s="14"/>
      <c r="K449" s="14"/>
      <c r="L449" s="14"/>
      <c r="M449" s="14" t="str">
        <f t="shared" ref="M449:P449" si="450">text(I449,"Rp #,##0")</f>
        <v>Rp 0</v>
      </c>
      <c r="N449" s="14" t="str">
        <f t="shared" si="450"/>
        <v>Rp 0</v>
      </c>
      <c r="O449" s="14" t="str">
        <f t="shared" si="450"/>
        <v>Rp 0</v>
      </c>
      <c r="P449" s="14" t="str">
        <f t="shared" si="450"/>
        <v>Rp 0</v>
      </c>
      <c r="Q449" s="14" t="str">
        <f t="shared" si="4"/>
        <v>Syahriyah = Rp 0
Jariyah = Rp 0
Daftar Ulang = Rp 0
Total = Rp 0
______________________
ID : 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79" t="str">
        <f t="shared" si="2"/>
        <v/>
      </c>
      <c r="B450" s="14"/>
      <c r="C450" s="79"/>
      <c r="D450" s="79"/>
      <c r="E450" s="79"/>
      <c r="F450" s="79"/>
      <c r="G450" s="79"/>
      <c r="H450" s="14"/>
      <c r="I450" s="14"/>
      <c r="J450" s="14"/>
      <c r="K450" s="14"/>
      <c r="L450" s="14"/>
      <c r="M450" s="14" t="str">
        <f t="shared" ref="M450:P450" si="451">text(I450,"Rp #,##0")</f>
        <v>Rp 0</v>
      </c>
      <c r="N450" s="14" t="str">
        <f t="shared" si="451"/>
        <v>Rp 0</v>
      </c>
      <c r="O450" s="14" t="str">
        <f t="shared" si="451"/>
        <v>Rp 0</v>
      </c>
      <c r="P450" s="14" t="str">
        <f t="shared" si="451"/>
        <v>Rp 0</v>
      </c>
      <c r="Q450" s="14" t="str">
        <f t="shared" si="4"/>
        <v>Syahriyah = Rp 0
Jariyah = Rp 0
Daftar Ulang = Rp 0
Total = Rp 0
______________________
ID : 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79" t="str">
        <f t="shared" si="2"/>
        <v/>
      </c>
      <c r="B451" s="14"/>
      <c r="C451" s="79"/>
      <c r="D451" s="79"/>
      <c r="E451" s="79"/>
      <c r="F451" s="79"/>
      <c r="G451" s="79"/>
      <c r="H451" s="14"/>
      <c r="I451" s="14"/>
      <c r="J451" s="14"/>
      <c r="K451" s="14"/>
      <c r="L451" s="14"/>
      <c r="M451" s="14" t="str">
        <f t="shared" ref="M451:P451" si="452">text(I451,"Rp #,##0")</f>
        <v>Rp 0</v>
      </c>
      <c r="N451" s="14" t="str">
        <f t="shared" si="452"/>
        <v>Rp 0</v>
      </c>
      <c r="O451" s="14" t="str">
        <f t="shared" si="452"/>
        <v>Rp 0</v>
      </c>
      <c r="P451" s="14" t="str">
        <f t="shared" si="452"/>
        <v>Rp 0</v>
      </c>
      <c r="Q451" s="14" t="str">
        <f t="shared" si="4"/>
        <v>Syahriyah = Rp 0
Jariyah = Rp 0
Daftar Ulang = Rp 0
Total = Rp 0
______________________
ID : 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79" t="str">
        <f t="shared" si="2"/>
        <v/>
      </c>
      <c r="B452" s="14"/>
      <c r="C452" s="79"/>
      <c r="D452" s="79"/>
      <c r="E452" s="79"/>
      <c r="F452" s="79"/>
      <c r="G452" s="79"/>
      <c r="H452" s="14"/>
      <c r="I452" s="14"/>
      <c r="J452" s="14"/>
      <c r="K452" s="14"/>
      <c r="L452" s="14"/>
      <c r="M452" s="14" t="str">
        <f t="shared" ref="M452:P452" si="453">text(I452,"Rp #,##0")</f>
        <v>Rp 0</v>
      </c>
      <c r="N452" s="14" t="str">
        <f t="shared" si="453"/>
        <v>Rp 0</v>
      </c>
      <c r="O452" s="14" t="str">
        <f t="shared" si="453"/>
        <v>Rp 0</v>
      </c>
      <c r="P452" s="14" t="str">
        <f t="shared" si="453"/>
        <v>Rp 0</v>
      </c>
      <c r="Q452" s="14" t="str">
        <f t="shared" si="4"/>
        <v>Syahriyah = Rp 0
Jariyah = Rp 0
Daftar Ulang = Rp 0
Total = Rp 0
______________________
ID : 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79" t="str">
        <f t="shared" si="2"/>
        <v/>
      </c>
      <c r="B453" s="14"/>
      <c r="C453" s="79"/>
      <c r="D453" s="79"/>
      <c r="E453" s="79"/>
      <c r="F453" s="79"/>
      <c r="G453" s="79"/>
      <c r="H453" s="14"/>
      <c r="I453" s="14"/>
      <c r="J453" s="14"/>
      <c r="K453" s="14"/>
      <c r="L453" s="14"/>
      <c r="M453" s="14" t="str">
        <f t="shared" ref="M453:P453" si="454">text(I453,"Rp #,##0")</f>
        <v>Rp 0</v>
      </c>
      <c r="N453" s="14" t="str">
        <f t="shared" si="454"/>
        <v>Rp 0</v>
      </c>
      <c r="O453" s="14" t="str">
        <f t="shared" si="454"/>
        <v>Rp 0</v>
      </c>
      <c r="P453" s="14" t="str">
        <f t="shared" si="454"/>
        <v>Rp 0</v>
      </c>
      <c r="Q453" s="14" t="str">
        <f t="shared" si="4"/>
        <v>Syahriyah = Rp 0
Jariyah = Rp 0
Daftar Ulang = Rp 0
Total = Rp 0
______________________
ID : </v>
      </c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79" t="str">
        <f t="shared" si="2"/>
        <v/>
      </c>
      <c r="B454" s="14"/>
      <c r="C454" s="79"/>
      <c r="D454" s="79"/>
      <c r="E454" s="79"/>
      <c r="F454" s="79"/>
      <c r="G454" s="79"/>
      <c r="H454" s="14"/>
      <c r="I454" s="14"/>
      <c r="J454" s="14"/>
      <c r="K454" s="14"/>
      <c r="L454" s="14"/>
      <c r="M454" s="14" t="str">
        <f t="shared" ref="M454:P454" si="455">text(I454,"Rp #,##0")</f>
        <v>Rp 0</v>
      </c>
      <c r="N454" s="14" t="str">
        <f t="shared" si="455"/>
        <v>Rp 0</v>
      </c>
      <c r="O454" s="14" t="str">
        <f t="shared" si="455"/>
        <v>Rp 0</v>
      </c>
      <c r="P454" s="14" t="str">
        <f t="shared" si="455"/>
        <v>Rp 0</v>
      </c>
      <c r="Q454" s="14" t="str">
        <f t="shared" si="4"/>
        <v>Syahriyah = Rp 0
Jariyah = Rp 0
Daftar Ulang = Rp 0
Total = Rp 0
______________________
ID : 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79" t="str">
        <f t="shared" si="2"/>
        <v/>
      </c>
      <c r="B455" s="14"/>
      <c r="C455" s="79"/>
      <c r="D455" s="79"/>
      <c r="E455" s="79"/>
      <c r="F455" s="79"/>
      <c r="G455" s="79"/>
      <c r="H455" s="14"/>
      <c r="I455" s="14"/>
      <c r="J455" s="14"/>
      <c r="K455" s="14"/>
      <c r="L455" s="14"/>
      <c r="M455" s="14" t="str">
        <f t="shared" ref="M455:P455" si="456">text(I455,"Rp #,##0")</f>
        <v>Rp 0</v>
      </c>
      <c r="N455" s="14" t="str">
        <f t="shared" si="456"/>
        <v>Rp 0</v>
      </c>
      <c r="O455" s="14" t="str">
        <f t="shared" si="456"/>
        <v>Rp 0</v>
      </c>
      <c r="P455" s="14" t="str">
        <f t="shared" si="456"/>
        <v>Rp 0</v>
      </c>
      <c r="Q455" s="14" t="str">
        <f t="shared" si="4"/>
        <v>Syahriyah = Rp 0
Jariyah = Rp 0
Daftar Ulang = Rp 0
Total = Rp 0
______________________
ID : </v>
      </c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79" t="str">
        <f t="shared" si="2"/>
        <v/>
      </c>
      <c r="B456" s="14"/>
      <c r="C456" s="79"/>
      <c r="D456" s="79"/>
      <c r="E456" s="79"/>
      <c r="F456" s="79"/>
      <c r="G456" s="79"/>
      <c r="H456" s="14"/>
      <c r="I456" s="14"/>
      <c r="J456" s="14"/>
      <c r="K456" s="14"/>
      <c r="L456" s="14"/>
      <c r="M456" s="14" t="str">
        <f t="shared" ref="M456:P456" si="457">text(I456,"Rp #,##0")</f>
        <v>Rp 0</v>
      </c>
      <c r="N456" s="14" t="str">
        <f t="shared" si="457"/>
        <v>Rp 0</v>
      </c>
      <c r="O456" s="14" t="str">
        <f t="shared" si="457"/>
        <v>Rp 0</v>
      </c>
      <c r="P456" s="14" t="str">
        <f t="shared" si="457"/>
        <v>Rp 0</v>
      </c>
      <c r="Q456" s="14" t="str">
        <f t="shared" si="4"/>
        <v>Syahriyah = Rp 0
Jariyah = Rp 0
Daftar Ulang = Rp 0
Total = Rp 0
______________________
ID : </v>
      </c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79" t="str">
        <f t="shared" si="2"/>
        <v/>
      </c>
      <c r="B457" s="14"/>
      <c r="C457" s="79"/>
      <c r="D457" s="79"/>
      <c r="E457" s="79"/>
      <c r="F457" s="79"/>
      <c r="G457" s="79"/>
      <c r="H457" s="14"/>
      <c r="I457" s="14"/>
      <c r="J457" s="14"/>
      <c r="K457" s="14"/>
      <c r="L457" s="14"/>
      <c r="M457" s="14" t="str">
        <f t="shared" ref="M457:P457" si="458">text(I457,"Rp #,##0")</f>
        <v>Rp 0</v>
      </c>
      <c r="N457" s="14" t="str">
        <f t="shared" si="458"/>
        <v>Rp 0</v>
      </c>
      <c r="O457" s="14" t="str">
        <f t="shared" si="458"/>
        <v>Rp 0</v>
      </c>
      <c r="P457" s="14" t="str">
        <f t="shared" si="458"/>
        <v>Rp 0</v>
      </c>
      <c r="Q457" s="14" t="str">
        <f t="shared" si="4"/>
        <v>Syahriyah = Rp 0
Jariyah = Rp 0
Daftar Ulang = Rp 0
Total = Rp 0
______________________
ID : </v>
      </c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79" t="str">
        <f t="shared" si="2"/>
        <v/>
      </c>
      <c r="B458" s="14"/>
      <c r="C458" s="79"/>
      <c r="D458" s="79"/>
      <c r="E458" s="79"/>
      <c r="F458" s="79"/>
      <c r="G458" s="79"/>
      <c r="H458" s="14"/>
      <c r="I458" s="14"/>
      <c r="J458" s="14"/>
      <c r="K458" s="14"/>
      <c r="L458" s="14"/>
      <c r="M458" s="14" t="str">
        <f t="shared" ref="M458:P458" si="459">text(I458,"Rp #,##0")</f>
        <v>Rp 0</v>
      </c>
      <c r="N458" s="14" t="str">
        <f t="shared" si="459"/>
        <v>Rp 0</v>
      </c>
      <c r="O458" s="14" t="str">
        <f t="shared" si="459"/>
        <v>Rp 0</v>
      </c>
      <c r="P458" s="14" t="str">
        <f t="shared" si="459"/>
        <v>Rp 0</v>
      </c>
      <c r="Q458" s="14" t="str">
        <f t="shared" si="4"/>
        <v>Syahriyah = Rp 0
Jariyah = Rp 0
Daftar Ulang = Rp 0
Total = Rp 0
______________________
ID : </v>
      </c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79" t="str">
        <f t="shared" si="2"/>
        <v/>
      </c>
      <c r="B459" s="14"/>
      <c r="C459" s="79"/>
      <c r="D459" s="79"/>
      <c r="E459" s="79"/>
      <c r="F459" s="79"/>
      <c r="G459" s="79"/>
      <c r="H459" s="14"/>
      <c r="I459" s="14"/>
      <c r="J459" s="14"/>
      <c r="K459" s="14"/>
      <c r="L459" s="14"/>
      <c r="M459" s="14" t="str">
        <f t="shared" ref="M459:P459" si="460">text(I459,"Rp #,##0")</f>
        <v>Rp 0</v>
      </c>
      <c r="N459" s="14" t="str">
        <f t="shared" si="460"/>
        <v>Rp 0</v>
      </c>
      <c r="O459" s="14" t="str">
        <f t="shared" si="460"/>
        <v>Rp 0</v>
      </c>
      <c r="P459" s="14" t="str">
        <f t="shared" si="460"/>
        <v>Rp 0</v>
      </c>
      <c r="Q459" s="14" t="str">
        <f t="shared" si="4"/>
        <v>Syahriyah = Rp 0
Jariyah = Rp 0
Daftar Ulang = Rp 0
Total = Rp 0
______________________
ID : 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79" t="str">
        <f t="shared" si="2"/>
        <v/>
      </c>
      <c r="B460" s="14"/>
      <c r="C460" s="79"/>
      <c r="D460" s="79"/>
      <c r="E460" s="79"/>
      <c r="F460" s="79"/>
      <c r="G460" s="79"/>
      <c r="H460" s="14"/>
      <c r="I460" s="14"/>
      <c r="J460" s="14"/>
      <c r="K460" s="14"/>
      <c r="L460" s="14"/>
      <c r="M460" s="14" t="str">
        <f t="shared" ref="M460:P460" si="461">text(I460,"Rp #,##0")</f>
        <v>Rp 0</v>
      </c>
      <c r="N460" s="14" t="str">
        <f t="shared" si="461"/>
        <v>Rp 0</v>
      </c>
      <c r="O460" s="14" t="str">
        <f t="shared" si="461"/>
        <v>Rp 0</v>
      </c>
      <c r="P460" s="14" t="str">
        <f t="shared" si="461"/>
        <v>Rp 0</v>
      </c>
      <c r="Q460" s="14" t="str">
        <f t="shared" si="4"/>
        <v>Syahriyah = Rp 0
Jariyah = Rp 0
Daftar Ulang = Rp 0
Total = Rp 0
______________________
ID : </v>
      </c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79" t="str">
        <f t="shared" si="2"/>
        <v/>
      </c>
      <c r="B461" s="14"/>
      <c r="C461" s="79"/>
      <c r="D461" s="79"/>
      <c r="E461" s="79"/>
      <c r="F461" s="79"/>
      <c r="G461" s="79"/>
      <c r="H461" s="14"/>
      <c r="I461" s="14"/>
      <c r="J461" s="14"/>
      <c r="K461" s="14"/>
      <c r="L461" s="14"/>
      <c r="M461" s="14" t="str">
        <f t="shared" ref="M461:P461" si="462">text(I461,"Rp #,##0")</f>
        <v>Rp 0</v>
      </c>
      <c r="N461" s="14" t="str">
        <f t="shared" si="462"/>
        <v>Rp 0</v>
      </c>
      <c r="O461" s="14" t="str">
        <f t="shared" si="462"/>
        <v>Rp 0</v>
      </c>
      <c r="P461" s="14" t="str">
        <f t="shared" si="462"/>
        <v>Rp 0</v>
      </c>
      <c r="Q461" s="14" t="str">
        <f t="shared" si="4"/>
        <v>Syahriyah = Rp 0
Jariyah = Rp 0
Daftar Ulang = Rp 0
Total = Rp 0
______________________
ID : </v>
      </c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79" t="str">
        <f t="shared" si="2"/>
        <v/>
      </c>
      <c r="B462" s="14"/>
      <c r="C462" s="79"/>
      <c r="D462" s="79"/>
      <c r="E462" s="79"/>
      <c r="F462" s="79"/>
      <c r="G462" s="79"/>
      <c r="H462" s="14"/>
      <c r="I462" s="14"/>
      <c r="J462" s="14"/>
      <c r="K462" s="14"/>
      <c r="L462" s="14"/>
      <c r="M462" s="14" t="str">
        <f t="shared" ref="M462:P462" si="463">text(I462,"Rp #,##0")</f>
        <v>Rp 0</v>
      </c>
      <c r="N462" s="14" t="str">
        <f t="shared" si="463"/>
        <v>Rp 0</v>
      </c>
      <c r="O462" s="14" t="str">
        <f t="shared" si="463"/>
        <v>Rp 0</v>
      </c>
      <c r="P462" s="14" t="str">
        <f t="shared" si="463"/>
        <v>Rp 0</v>
      </c>
      <c r="Q462" s="14" t="str">
        <f t="shared" si="4"/>
        <v>Syahriyah = Rp 0
Jariyah = Rp 0
Daftar Ulang = Rp 0
Total = Rp 0
______________________
ID : </v>
      </c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79" t="str">
        <f t="shared" si="2"/>
        <v/>
      </c>
      <c r="B463" s="14"/>
      <c r="C463" s="79"/>
      <c r="D463" s="79"/>
      <c r="E463" s="79"/>
      <c r="F463" s="79"/>
      <c r="G463" s="79"/>
      <c r="H463" s="14"/>
      <c r="I463" s="14"/>
      <c r="J463" s="14"/>
      <c r="K463" s="14"/>
      <c r="L463" s="14"/>
      <c r="M463" s="14" t="str">
        <f t="shared" ref="M463:P463" si="464">text(I463,"Rp #,##0")</f>
        <v>Rp 0</v>
      </c>
      <c r="N463" s="14" t="str">
        <f t="shared" si="464"/>
        <v>Rp 0</v>
      </c>
      <c r="O463" s="14" t="str">
        <f t="shared" si="464"/>
        <v>Rp 0</v>
      </c>
      <c r="P463" s="14" t="str">
        <f t="shared" si="464"/>
        <v>Rp 0</v>
      </c>
      <c r="Q463" s="14" t="str">
        <f t="shared" si="4"/>
        <v>Syahriyah = Rp 0
Jariyah = Rp 0
Daftar Ulang = Rp 0
Total = Rp 0
______________________
ID : 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79" t="str">
        <f t="shared" si="2"/>
        <v/>
      </c>
      <c r="B464" s="14"/>
      <c r="C464" s="79"/>
      <c r="D464" s="79"/>
      <c r="E464" s="79"/>
      <c r="F464" s="79"/>
      <c r="G464" s="79"/>
      <c r="H464" s="14"/>
      <c r="I464" s="14"/>
      <c r="J464" s="14"/>
      <c r="K464" s="14"/>
      <c r="L464" s="14"/>
      <c r="M464" s="14" t="str">
        <f t="shared" ref="M464:P464" si="465">text(I464,"Rp #,##0")</f>
        <v>Rp 0</v>
      </c>
      <c r="N464" s="14" t="str">
        <f t="shared" si="465"/>
        <v>Rp 0</v>
      </c>
      <c r="O464" s="14" t="str">
        <f t="shared" si="465"/>
        <v>Rp 0</v>
      </c>
      <c r="P464" s="14" t="str">
        <f t="shared" si="465"/>
        <v>Rp 0</v>
      </c>
      <c r="Q464" s="14" t="str">
        <f t="shared" si="4"/>
        <v>Syahriyah = Rp 0
Jariyah = Rp 0
Daftar Ulang = Rp 0
Total = Rp 0
______________________
ID : </v>
      </c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79" t="str">
        <f t="shared" si="2"/>
        <v/>
      </c>
      <c r="B465" s="14"/>
      <c r="C465" s="79"/>
      <c r="D465" s="79"/>
      <c r="E465" s="79"/>
      <c r="F465" s="79"/>
      <c r="G465" s="79"/>
      <c r="H465" s="14"/>
      <c r="I465" s="14"/>
      <c r="J465" s="14"/>
      <c r="K465" s="14"/>
      <c r="L465" s="14"/>
      <c r="M465" s="14" t="str">
        <f t="shared" ref="M465:P465" si="466">text(I465,"Rp #,##0")</f>
        <v>Rp 0</v>
      </c>
      <c r="N465" s="14" t="str">
        <f t="shared" si="466"/>
        <v>Rp 0</v>
      </c>
      <c r="O465" s="14" t="str">
        <f t="shared" si="466"/>
        <v>Rp 0</v>
      </c>
      <c r="P465" s="14" t="str">
        <f t="shared" si="466"/>
        <v>Rp 0</v>
      </c>
      <c r="Q465" s="14" t="str">
        <f t="shared" si="4"/>
        <v>Syahriyah = Rp 0
Jariyah = Rp 0
Daftar Ulang = Rp 0
Total = Rp 0
______________________
ID : </v>
      </c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79" t="str">
        <f t="shared" si="2"/>
        <v/>
      </c>
      <c r="B466" s="14"/>
      <c r="C466" s="79"/>
      <c r="D466" s="79"/>
      <c r="E466" s="79"/>
      <c r="F466" s="79"/>
      <c r="G466" s="79"/>
      <c r="H466" s="14"/>
      <c r="I466" s="14"/>
      <c r="J466" s="14"/>
      <c r="K466" s="14"/>
      <c r="L466" s="14"/>
      <c r="M466" s="14" t="str">
        <f t="shared" ref="M466:P466" si="467">text(I466,"Rp #,##0")</f>
        <v>Rp 0</v>
      </c>
      <c r="N466" s="14" t="str">
        <f t="shared" si="467"/>
        <v>Rp 0</v>
      </c>
      <c r="O466" s="14" t="str">
        <f t="shared" si="467"/>
        <v>Rp 0</v>
      </c>
      <c r="P466" s="14" t="str">
        <f t="shared" si="467"/>
        <v>Rp 0</v>
      </c>
      <c r="Q466" s="14" t="str">
        <f t="shared" si="4"/>
        <v>Syahriyah = Rp 0
Jariyah = Rp 0
Daftar Ulang = Rp 0
Total = Rp 0
______________________
ID : 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79" t="str">
        <f t="shared" si="2"/>
        <v/>
      </c>
      <c r="B467" s="14"/>
      <c r="C467" s="79"/>
      <c r="D467" s="79"/>
      <c r="E467" s="79"/>
      <c r="F467" s="79"/>
      <c r="G467" s="79"/>
      <c r="H467" s="14"/>
      <c r="I467" s="14"/>
      <c r="J467" s="14"/>
      <c r="K467" s="14"/>
      <c r="L467" s="14"/>
      <c r="M467" s="14" t="str">
        <f t="shared" ref="M467:P467" si="468">text(I467,"Rp #,##0")</f>
        <v>Rp 0</v>
      </c>
      <c r="N467" s="14" t="str">
        <f t="shared" si="468"/>
        <v>Rp 0</v>
      </c>
      <c r="O467" s="14" t="str">
        <f t="shared" si="468"/>
        <v>Rp 0</v>
      </c>
      <c r="P467" s="14" t="str">
        <f t="shared" si="468"/>
        <v>Rp 0</v>
      </c>
      <c r="Q467" s="14" t="str">
        <f t="shared" si="4"/>
        <v>Syahriyah = Rp 0
Jariyah = Rp 0
Daftar Ulang = Rp 0
Total = Rp 0
______________________
ID : </v>
      </c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79" t="str">
        <f t="shared" si="2"/>
        <v/>
      </c>
      <c r="B468" s="14"/>
      <c r="C468" s="79"/>
      <c r="D468" s="79"/>
      <c r="E468" s="79"/>
      <c r="F468" s="79"/>
      <c r="G468" s="79"/>
      <c r="H468" s="14"/>
      <c r="I468" s="14"/>
      <c r="J468" s="14"/>
      <c r="K468" s="14"/>
      <c r="L468" s="14"/>
      <c r="M468" s="14" t="str">
        <f t="shared" ref="M468:P468" si="469">text(I468,"Rp #,##0")</f>
        <v>Rp 0</v>
      </c>
      <c r="N468" s="14" t="str">
        <f t="shared" si="469"/>
        <v>Rp 0</v>
      </c>
      <c r="O468" s="14" t="str">
        <f t="shared" si="469"/>
        <v>Rp 0</v>
      </c>
      <c r="P468" s="14" t="str">
        <f t="shared" si="469"/>
        <v>Rp 0</v>
      </c>
      <c r="Q468" s="14" t="str">
        <f t="shared" si="4"/>
        <v>Syahriyah = Rp 0
Jariyah = Rp 0
Daftar Ulang = Rp 0
Total = Rp 0
______________________
ID : </v>
      </c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79" t="str">
        <f t="shared" si="2"/>
        <v/>
      </c>
      <c r="B469" s="14"/>
      <c r="C469" s="79"/>
      <c r="D469" s="79"/>
      <c r="E469" s="79"/>
      <c r="F469" s="79"/>
      <c r="G469" s="79"/>
      <c r="H469" s="14"/>
      <c r="I469" s="14"/>
      <c r="J469" s="14"/>
      <c r="K469" s="14"/>
      <c r="L469" s="14"/>
      <c r="M469" s="14" t="str">
        <f t="shared" ref="M469:P469" si="470">text(I469,"Rp #,##0")</f>
        <v>Rp 0</v>
      </c>
      <c r="N469" s="14" t="str">
        <f t="shared" si="470"/>
        <v>Rp 0</v>
      </c>
      <c r="O469" s="14" t="str">
        <f t="shared" si="470"/>
        <v>Rp 0</v>
      </c>
      <c r="P469" s="14" t="str">
        <f t="shared" si="470"/>
        <v>Rp 0</v>
      </c>
      <c r="Q469" s="14" t="str">
        <f t="shared" si="4"/>
        <v>Syahriyah = Rp 0
Jariyah = Rp 0
Daftar Ulang = Rp 0
Total = Rp 0
______________________
ID : 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79" t="str">
        <f t="shared" si="2"/>
        <v/>
      </c>
      <c r="B470" s="14"/>
      <c r="C470" s="79"/>
      <c r="D470" s="79"/>
      <c r="E470" s="79"/>
      <c r="F470" s="79"/>
      <c r="G470" s="79"/>
      <c r="H470" s="14"/>
      <c r="I470" s="14"/>
      <c r="J470" s="14"/>
      <c r="K470" s="14"/>
      <c r="L470" s="14"/>
      <c r="M470" s="14" t="str">
        <f t="shared" ref="M470:P470" si="471">text(I470,"Rp #,##0")</f>
        <v>Rp 0</v>
      </c>
      <c r="N470" s="14" t="str">
        <f t="shared" si="471"/>
        <v>Rp 0</v>
      </c>
      <c r="O470" s="14" t="str">
        <f t="shared" si="471"/>
        <v>Rp 0</v>
      </c>
      <c r="P470" s="14" t="str">
        <f t="shared" si="471"/>
        <v>Rp 0</v>
      </c>
      <c r="Q470" s="14" t="str">
        <f t="shared" si="4"/>
        <v>Syahriyah = Rp 0
Jariyah = Rp 0
Daftar Ulang = Rp 0
Total = Rp 0
______________________
ID : 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79" t="str">
        <f t="shared" si="2"/>
        <v/>
      </c>
      <c r="B471" s="14"/>
      <c r="C471" s="79"/>
      <c r="D471" s="79"/>
      <c r="E471" s="79"/>
      <c r="F471" s="79"/>
      <c r="G471" s="79"/>
      <c r="H471" s="14"/>
      <c r="I471" s="14"/>
      <c r="J471" s="14"/>
      <c r="K471" s="14"/>
      <c r="L471" s="14"/>
      <c r="M471" s="14" t="str">
        <f t="shared" ref="M471:P471" si="472">text(I471,"Rp #,##0")</f>
        <v>Rp 0</v>
      </c>
      <c r="N471" s="14" t="str">
        <f t="shared" si="472"/>
        <v>Rp 0</v>
      </c>
      <c r="O471" s="14" t="str">
        <f t="shared" si="472"/>
        <v>Rp 0</v>
      </c>
      <c r="P471" s="14" t="str">
        <f t="shared" si="472"/>
        <v>Rp 0</v>
      </c>
      <c r="Q471" s="14" t="str">
        <f t="shared" si="4"/>
        <v>Syahriyah = Rp 0
Jariyah = Rp 0
Daftar Ulang = Rp 0
Total = Rp 0
______________________
ID : </v>
      </c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79" t="str">
        <f t="shared" si="2"/>
        <v/>
      </c>
      <c r="B472" s="14"/>
      <c r="C472" s="79"/>
      <c r="D472" s="79"/>
      <c r="E472" s="79"/>
      <c r="F472" s="79"/>
      <c r="G472" s="79"/>
      <c r="H472" s="14"/>
      <c r="I472" s="14"/>
      <c r="J472" s="14"/>
      <c r="K472" s="14"/>
      <c r="L472" s="14"/>
      <c r="M472" s="14" t="str">
        <f t="shared" ref="M472:P472" si="473">text(I472,"Rp #,##0")</f>
        <v>Rp 0</v>
      </c>
      <c r="N472" s="14" t="str">
        <f t="shared" si="473"/>
        <v>Rp 0</v>
      </c>
      <c r="O472" s="14" t="str">
        <f t="shared" si="473"/>
        <v>Rp 0</v>
      </c>
      <c r="P472" s="14" t="str">
        <f t="shared" si="473"/>
        <v>Rp 0</v>
      </c>
      <c r="Q472" s="14" t="str">
        <f t="shared" si="4"/>
        <v>Syahriyah = Rp 0
Jariyah = Rp 0
Daftar Ulang = Rp 0
Total = Rp 0
______________________
ID : 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79" t="str">
        <f t="shared" si="2"/>
        <v/>
      </c>
      <c r="B473" s="14"/>
      <c r="C473" s="79"/>
      <c r="D473" s="79"/>
      <c r="E473" s="79"/>
      <c r="F473" s="79"/>
      <c r="G473" s="79"/>
      <c r="H473" s="14"/>
      <c r="I473" s="14"/>
      <c r="J473" s="14"/>
      <c r="K473" s="14"/>
      <c r="L473" s="14"/>
      <c r="M473" s="14" t="str">
        <f t="shared" ref="M473:P473" si="474">text(I473,"Rp #,##0")</f>
        <v>Rp 0</v>
      </c>
      <c r="N473" s="14" t="str">
        <f t="shared" si="474"/>
        <v>Rp 0</v>
      </c>
      <c r="O473" s="14" t="str">
        <f t="shared" si="474"/>
        <v>Rp 0</v>
      </c>
      <c r="P473" s="14" t="str">
        <f t="shared" si="474"/>
        <v>Rp 0</v>
      </c>
      <c r="Q473" s="14" t="str">
        <f t="shared" si="4"/>
        <v>Syahriyah = Rp 0
Jariyah = Rp 0
Daftar Ulang = Rp 0
Total = Rp 0
______________________
ID : </v>
      </c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79" t="str">
        <f t="shared" si="2"/>
        <v/>
      </c>
      <c r="B474" s="14"/>
      <c r="C474" s="79"/>
      <c r="D474" s="79"/>
      <c r="E474" s="79"/>
      <c r="F474" s="79"/>
      <c r="G474" s="79"/>
      <c r="H474" s="14"/>
      <c r="I474" s="14"/>
      <c r="J474" s="14"/>
      <c r="K474" s="14"/>
      <c r="L474" s="14"/>
      <c r="M474" s="14" t="str">
        <f t="shared" ref="M474:P474" si="475">text(I474,"Rp #,##0")</f>
        <v>Rp 0</v>
      </c>
      <c r="N474" s="14" t="str">
        <f t="shared" si="475"/>
        <v>Rp 0</v>
      </c>
      <c r="O474" s="14" t="str">
        <f t="shared" si="475"/>
        <v>Rp 0</v>
      </c>
      <c r="P474" s="14" t="str">
        <f t="shared" si="475"/>
        <v>Rp 0</v>
      </c>
      <c r="Q474" s="14" t="str">
        <f t="shared" si="4"/>
        <v>Syahriyah = Rp 0
Jariyah = Rp 0
Daftar Ulang = Rp 0
Total = Rp 0
______________________
ID : </v>
      </c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79" t="str">
        <f t="shared" si="2"/>
        <v/>
      </c>
      <c r="B475" s="14"/>
      <c r="C475" s="79"/>
      <c r="D475" s="79"/>
      <c r="E475" s="79"/>
      <c r="F475" s="79"/>
      <c r="G475" s="79"/>
      <c r="H475" s="14"/>
      <c r="I475" s="14"/>
      <c r="J475" s="14"/>
      <c r="K475" s="14"/>
      <c r="L475" s="14"/>
      <c r="M475" s="14" t="str">
        <f t="shared" ref="M475:P475" si="476">text(I475,"Rp #,##0")</f>
        <v>Rp 0</v>
      </c>
      <c r="N475" s="14" t="str">
        <f t="shared" si="476"/>
        <v>Rp 0</v>
      </c>
      <c r="O475" s="14" t="str">
        <f t="shared" si="476"/>
        <v>Rp 0</v>
      </c>
      <c r="P475" s="14" t="str">
        <f t="shared" si="476"/>
        <v>Rp 0</v>
      </c>
      <c r="Q475" s="14" t="str">
        <f t="shared" si="4"/>
        <v>Syahriyah = Rp 0
Jariyah = Rp 0
Daftar Ulang = Rp 0
Total = Rp 0
______________________
ID : </v>
      </c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79" t="str">
        <f t="shared" si="2"/>
        <v/>
      </c>
      <c r="B476" s="14"/>
      <c r="C476" s="79"/>
      <c r="D476" s="79"/>
      <c r="E476" s="79"/>
      <c r="F476" s="79"/>
      <c r="G476" s="79"/>
      <c r="H476" s="14"/>
      <c r="I476" s="14"/>
      <c r="J476" s="14"/>
      <c r="K476" s="14"/>
      <c r="L476" s="14"/>
      <c r="M476" s="14" t="str">
        <f t="shared" ref="M476:P476" si="477">text(I476,"Rp #,##0")</f>
        <v>Rp 0</v>
      </c>
      <c r="N476" s="14" t="str">
        <f t="shared" si="477"/>
        <v>Rp 0</v>
      </c>
      <c r="O476" s="14" t="str">
        <f t="shared" si="477"/>
        <v>Rp 0</v>
      </c>
      <c r="P476" s="14" t="str">
        <f t="shared" si="477"/>
        <v>Rp 0</v>
      </c>
      <c r="Q476" s="14" t="str">
        <f t="shared" si="4"/>
        <v>Syahriyah = Rp 0
Jariyah = Rp 0
Daftar Ulang = Rp 0
Total = Rp 0
______________________
ID : </v>
      </c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79" t="str">
        <f t="shared" si="2"/>
        <v/>
      </c>
      <c r="B477" s="14"/>
      <c r="C477" s="79"/>
      <c r="D477" s="79"/>
      <c r="E477" s="79"/>
      <c r="F477" s="79"/>
      <c r="G477" s="79"/>
      <c r="H477" s="14"/>
      <c r="I477" s="14"/>
      <c r="J477" s="14"/>
      <c r="K477" s="14"/>
      <c r="L477" s="14"/>
      <c r="M477" s="14" t="str">
        <f t="shared" ref="M477:P477" si="478">text(I477,"Rp #,##0")</f>
        <v>Rp 0</v>
      </c>
      <c r="N477" s="14" t="str">
        <f t="shared" si="478"/>
        <v>Rp 0</v>
      </c>
      <c r="O477" s="14" t="str">
        <f t="shared" si="478"/>
        <v>Rp 0</v>
      </c>
      <c r="P477" s="14" t="str">
        <f t="shared" si="478"/>
        <v>Rp 0</v>
      </c>
      <c r="Q477" s="14" t="str">
        <f t="shared" si="4"/>
        <v>Syahriyah = Rp 0
Jariyah = Rp 0
Daftar Ulang = Rp 0
Total = Rp 0
______________________
ID : </v>
      </c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79" t="str">
        <f t="shared" si="2"/>
        <v/>
      </c>
      <c r="B478" s="14"/>
      <c r="C478" s="79"/>
      <c r="D478" s="79"/>
      <c r="E478" s="79"/>
      <c r="F478" s="79"/>
      <c r="G478" s="79"/>
      <c r="H478" s="14"/>
      <c r="I478" s="14"/>
      <c r="J478" s="14"/>
      <c r="K478" s="14"/>
      <c r="L478" s="14"/>
      <c r="M478" s="14" t="str">
        <f t="shared" ref="M478:P478" si="479">text(I478,"Rp #,##0")</f>
        <v>Rp 0</v>
      </c>
      <c r="N478" s="14" t="str">
        <f t="shared" si="479"/>
        <v>Rp 0</v>
      </c>
      <c r="O478" s="14" t="str">
        <f t="shared" si="479"/>
        <v>Rp 0</v>
      </c>
      <c r="P478" s="14" t="str">
        <f t="shared" si="479"/>
        <v>Rp 0</v>
      </c>
      <c r="Q478" s="14" t="str">
        <f t="shared" si="4"/>
        <v>Syahriyah = Rp 0
Jariyah = Rp 0
Daftar Ulang = Rp 0
Total = Rp 0
______________________
ID : 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79" t="str">
        <f t="shared" si="2"/>
        <v/>
      </c>
      <c r="B479" s="14"/>
      <c r="C479" s="79"/>
      <c r="D479" s="79"/>
      <c r="E479" s="79"/>
      <c r="F479" s="79"/>
      <c r="G479" s="79"/>
      <c r="H479" s="14"/>
      <c r="I479" s="14"/>
      <c r="J479" s="14"/>
      <c r="K479" s="14"/>
      <c r="L479" s="14"/>
      <c r="M479" s="14" t="str">
        <f t="shared" ref="M479:P479" si="480">text(I479,"Rp #,##0")</f>
        <v>Rp 0</v>
      </c>
      <c r="N479" s="14" t="str">
        <f t="shared" si="480"/>
        <v>Rp 0</v>
      </c>
      <c r="O479" s="14" t="str">
        <f t="shared" si="480"/>
        <v>Rp 0</v>
      </c>
      <c r="P479" s="14" t="str">
        <f t="shared" si="480"/>
        <v>Rp 0</v>
      </c>
      <c r="Q479" s="14" t="str">
        <f t="shared" si="4"/>
        <v>Syahriyah = Rp 0
Jariyah = Rp 0
Daftar Ulang = Rp 0
Total = Rp 0
______________________
ID : </v>
      </c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79" t="str">
        <f t="shared" si="2"/>
        <v/>
      </c>
      <c r="B480" s="14"/>
      <c r="C480" s="79"/>
      <c r="D480" s="79"/>
      <c r="E480" s="79"/>
      <c r="F480" s="79"/>
      <c r="G480" s="79"/>
      <c r="H480" s="14"/>
      <c r="I480" s="14"/>
      <c r="J480" s="14"/>
      <c r="K480" s="14"/>
      <c r="L480" s="14"/>
      <c r="M480" s="14" t="str">
        <f t="shared" ref="M480:P480" si="481">text(I480,"Rp #,##0")</f>
        <v>Rp 0</v>
      </c>
      <c r="N480" s="14" t="str">
        <f t="shared" si="481"/>
        <v>Rp 0</v>
      </c>
      <c r="O480" s="14" t="str">
        <f t="shared" si="481"/>
        <v>Rp 0</v>
      </c>
      <c r="P480" s="14" t="str">
        <f t="shared" si="481"/>
        <v>Rp 0</v>
      </c>
      <c r="Q480" s="14" t="str">
        <f t="shared" si="4"/>
        <v>Syahriyah = Rp 0
Jariyah = Rp 0
Daftar Ulang = Rp 0
Total = Rp 0
______________________
ID : </v>
      </c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79" t="str">
        <f t="shared" si="2"/>
        <v/>
      </c>
      <c r="B481" s="14"/>
      <c r="C481" s="79"/>
      <c r="D481" s="79"/>
      <c r="E481" s="79"/>
      <c r="F481" s="79"/>
      <c r="G481" s="79"/>
      <c r="H481" s="14"/>
      <c r="I481" s="14"/>
      <c r="J481" s="14"/>
      <c r="K481" s="14"/>
      <c r="L481" s="14"/>
      <c r="M481" s="14" t="str">
        <f t="shared" ref="M481:P481" si="482">text(I481,"Rp #,##0")</f>
        <v>Rp 0</v>
      </c>
      <c r="N481" s="14" t="str">
        <f t="shared" si="482"/>
        <v>Rp 0</v>
      </c>
      <c r="O481" s="14" t="str">
        <f t="shared" si="482"/>
        <v>Rp 0</v>
      </c>
      <c r="P481" s="14" t="str">
        <f t="shared" si="482"/>
        <v>Rp 0</v>
      </c>
      <c r="Q481" s="14" t="str">
        <f t="shared" si="4"/>
        <v>Syahriyah = Rp 0
Jariyah = Rp 0
Daftar Ulang = Rp 0
Total = Rp 0
______________________
ID : 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79" t="str">
        <f t="shared" si="2"/>
        <v/>
      </c>
      <c r="B482" s="14"/>
      <c r="C482" s="79"/>
      <c r="D482" s="79"/>
      <c r="E482" s="79"/>
      <c r="F482" s="79"/>
      <c r="G482" s="79"/>
      <c r="H482" s="14"/>
      <c r="I482" s="14"/>
      <c r="J482" s="14"/>
      <c r="K482" s="14"/>
      <c r="L482" s="14"/>
      <c r="M482" s="14" t="str">
        <f t="shared" ref="M482:P482" si="483">text(I482,"Rp #,##0")</f>
        <v>Rp 0</v>
      </c>
      <c r="N482" s="14" t="str">
        <f t="shared" si="483"/>
        <v>Rp 0</v>
      </c>
      <c r="O482" s="14" t="str">
        <f t="shared" si="483"/>
        <v>Rp 0</v>
      </c>
      <c r="P482" s="14" t="str">
        <f t="shared" si="483"/>
        <v>Rp 0</v>
      </c>
      <c r="Q482" s="14" t="str">
        <f t="shared" si="4"/>
        <v>Syahriyah = Rp 0
Jariyah = Rp 0
Daftar Ulang = Rp 0
Total = Rp 0
______________________
ID : </v>
      </c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79" t="str">
        <f t="shared" si="2"/>
        <v/>
      </c>
      <c r="B483" s="14"/>
      <c r="C483" s="79"/>
      <c r="D483" s="79"/>
      <c r="E483" s="79"/>
      <c r="F483" s="79"/>
      <c r="G483" s="79"/>
      <c r="H483" s="14"/>
      <c r="I483" s="14"/>
      <c r="J483" s="14"/>
      <c r="K483" s="14"/>
      <c r="L483" s="14"/>
      <c r="M483" s="14" t="str">
        <f t="shared" ref="M483:P483" si="484">text(I483,"Rp #,##0")</f>
        <v>Rp 0</v>
      </c>
      <c r="N483" s="14" t="str">
        <f t="shared" si="484"/>
        <v>Rp 0</v>
      </c>
      <c r="O483" s="14" t="str">
        <f t="shared" si="484"/>
        <v>Rp 0</v>
      </c>
      <c r="P483" s="14" t="str">
        <f t="shared" si="484"/>
        <v>Rp 0</v>
      </c>
      <c r="Q483" s="14" t="str">
        <f t="shared" si="4"/>
        <v>Syahriyah = Rp 0
Jariyah = Rp 0
Daftar Ulang = Rp 0
Total = Rp 0
______________________
ID : </v>
      </c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79" t="str">
        <f t="shared" si="2"/>
        <v/>
      </c>
      <c r="B484" s="14"/>
      <c r="C484" s="79"/>
      <c r="D484" s="79"/>
      <c r="E484" s="79"/>
      <c r="F484" s="79"/>
      <c r="G484" s="79"/>
      <c r="H484" s="14"/>
      <c r="I484" s="14"/>
      <c r="J484" s="14"/>
      <c r="K484" s="14"/>
      <c r="L484" s="14"/>
      <c r="M484" s="14" t="str">
        <f t="shared" ref="M484:P484" si="485">text(I484,"Rp #,##0")</f>
        <v>Rp 0</v>
      </c>
      <c r="N484" s="14" t="str">
        <f t="shared" si="485"/>
        <v>Rp 0</v>
      </c>
      <c r="O484" s="14" t="str">
        <f t="shared" si="485"/>
        <v>Rp 0</v>
      </c>
      <c r="P484" s="14" t="str">
        <f t="shared" si="485"/>
        <v>Rp 0</v>
      </c>
      <c r="Q484" s="14" t="str">
        <f t="shared" si="4"/>
        <v>Syahriyah = Rp 0
Jariyah = Rp 0
Daftar Ulang = Rp 0
Total = Rp 0
______________________
ID : 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79" t="str">
        <f t="shared" si="2"/>
        <v/>
      </c>
      <c r="B485" s="14"/>
      <c r="C485" s="79"/>
      <c r="D485" s="79"/>
      <c r="E485" s="79"/>
      <c r="F485" s="79"/>
      <c r="G485" s="79"/>
      <c r="H485" s="14"/>
      <c r="I485" s="14"/>
      <c r="J485" s="14"/>
      <c r="K485" s="14"/>
      <c r="L485" s="14"/>
      <c r="M485" s="14" t="str">
        <f t="shared" ref="M485:P485" si="486">text(I485,"Rp #,##0")</f>
        <v>Rp 0</v>
      </c>
      <c r="N485" s="14" t="str">
        <f t="shared" si="486"/>
        <v>Rp 0</v>
      </c>
      <c r="O485" s="14" t="str">
        <f t="shared" si="486"/>
        <v>Rp 0</v>
      </c>
      <c r="P485" s="14" t="str">
        <f t="shared" si="486"/>
        <v>Rp 0</v>
      </c>
      <c r="Q485" s="14" t="str">
        <f t="shared" si="4"/>
        <v>Syahriyah = Rp 0
Jariyah = Rp 0
Daftar Ulang = Rp 0
Total = Rp 0
______________________
ID : </v>
      </c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79" t="str">
        <f t="shared" si="2"/>
        <v/>
      </c>
      <c r="B486" s="14"/>
      <c r="C486" s="79"/>
      <c r="D486" s="79"/>
      <c r="E486" s="79"/>
      <c r="F486" s="79"/>
      <c r="G486" s="79"/>
      <c r="H486" s="14"/>
      <c r="I486" s="14"/>
      <c r="J486" s="14"/>
      <c r="K486" s="14"/>
      <c r="L486" s="14"/>
      <c r="M486" s="14" t="str">
        <f t="shared" ref="M486:P486" si="487">text(I486,"Rp #,##0")</f>
        <v>Rp 0</v>
      </c>
      <c r="N486" s="14" t="str">
        <f t="shared" si="487"/>
        <v>Rp 0</v>
      </c>
      <c r="O486" s="14" t="str">
        <f t="shared" si="487"/>
        <v>Rp 0</v>
      </c>
      <c r="P486" s="14" t="str">
        <f t="shared" si="487"/>
        <v>Rp 0</v>
      </c>
      <c r="Q486" s="14" t="str">
        <f t="shared" si="4"/>
        <v>Syahriyah = Rp 0
Jariyah = Rp 0
Daftar Ulang = Rp 0
Total = Rp 0
______________________
ID : 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79" t="str">
        <f t="shared" si="2"/>
        <v/>
      </c>
      <c r="B487" s="14"/>
      <c r="C487" s="79"/>
      <c r="D487" s="79"/>
      <c r="E487" s="79"/>
      <c r="F487" s="79"/>
      <c r="G487" s="79"/>
      <c r="H487" s="14"/>
      <c r="I487" s="14"/>
      <c r="J487" s="14"/>
      <c r="K487" s="14"/>
      <c r="L487" s="14"/>
      <c r="M487" s="14" t="str">
        <f t="shared" ref="M487:P487" si="488">text(I487,"Rp #,##0")</f>
        <v>Rp 0</v>
      </c>
      <c r="N487" s="14" t="str">
        <f t="shared" si="488"/>
        <v>Rp 0</v>
      </c>
      <c r="O487" s="14" t="str">
        <f t="shared" si="488"/>
        <v>Rp 0</v>
      </c>
      <c r="P487" s="14" t="str">
        <f t="shared" si="488"/>
        <v>Rp 0</v>
      </c>
      <c r="Q487" s="14" t="str">
        <f t="shared" si="4"/>
        <v>Syahriyah = Rp 0
Jariyah = Rp 0
Daftar Ulang = Rp 0
Total = Rp 0
______________________
ID : </v>
      </c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79" t="str">
        <f t="shared" si="2"/>
        <v/>
      </c>
      <c r="B488" s="14"/>
      <c r="C488" s="79"/>
      <c r="D488" s="79"/>
      <c r="E488" s="79"/>
      <c r="F488" s="79"/>
      <c r="G488" s="79"/>
      <c r="H488" s="14"/>
      <c r="I488" s="14"/>
      <c r="J488" s="14"/>
      <c r="K488" s="14"/>
      <c r="L488" s="14"/>
      <c r="M488" s="14" t="str">
        <f t="shared" ref="M488:P488" si="489">text(I488,"Rp #,##0")</f>
        <v>Rp 0</v>
      </c>
      <c r="N488" s="14" t="str">
        <f t="shared" si="489"/>
        <v>Rp 0</v>
      </c>
      <c r="O488" s="14" t="str">
        <f t="shared" si="489"/>
        <v>Rp 0</v>
      </c>
      <c r="P488" s="14" t="str">
        <f t="shared" si="489"/>
        <v>Rp 0</v>
      </c>
      <c r="Q488" s="14" t="str">
        <f t="shared" si="4"/>
        <v>Syahriyah = Rp 0
Jariyah = Rp 0
Daftar Ulang = Rp 0
Total = Rp 0
______________________
ID : </v>
      </c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79" t="str">
        <f t="shared" si="2"/>
        <v/>
      </c>
      <c r="B489" s="14"/>
      <c r="C489" s="79"/>
      <c r="D489" s="79"/>
      <c r="E489" s="79"/>
      <c r="F489" s="79"/>
      <c r="G489" s="79"/>
      <c r="H489" s="14"/>
      <c r="I489" s="14"/>
      <c r="J489" s="14"/>
      <c r="K489" s="14"/>
      <c r="L489" s="14"/>
      <c r="M489" s="14" t="str">
        <f t="shared" ref="M489:P489" si="490">text(I489,"Rp #,##0")</f>
        <v>Rp 0</v>
      </c>
      <c r="N489" s="14" t="str">
        <f t="shared" si="490"/>
        <v>Rp 0</v>
      </c>
      <c r="O489" s="14" t="str">
        <f t="shared" si="490"/>
        <v>Rp 0</v>
      </c>
      <c r="P489" s="14" t="str">
        <f t="shared" si="490"/>
        <v>Rp 0</v>
      </c>
      <c r="Q489" s="14" t="str">
        <f t="shared" si="4"/>
        <v>Syahriyah = Rp 0
Jariyah = Rp 0
Daftar Ulang = Rp 0
Total = Rp 0
______________________
ID : </v>
      </c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79" t="str">
        <f t="shared" si="2"/>
        <v/>
      </c>
      <c r="B490" s="14"/>
      <c r="C490" s="79"/>
      <c r="D490" s="79"/>
      <c r="E490" s="79"/>
      <c r="F490" s="79"/>
      <c r="G490" s="79"/>
      <c r="H490" s="14"/>
      <c r="I490" s="14"/>
      <c r="J490" s="14"/>
      <c r="K490" s="14"/>
      <c r="L490" s="14"/>
      <c r="M490" s="14" t="str">
        <f t="shared" ref="M490:P490" si="491">text(I490,"Rp #,##0")</f>
        <v>Rp 0</v>
      </c>
      <c r="N490" s="14" t="str">
        <f t="shared" si="491"/>
        <v>Rp 0</v>
      </c>
      <c r="O490" s="14" t="str">
        <f t="shared" si="491"/>
        <v>Rp 0</v>
      </c>
      <c r="P490" s="14" t="str">
        <f t="shared" si="491"/>
        <v>Rp 0</v>
      </c>
      <c r="Q490" s="14" t="str">
        <f t="shared" si="4"/>
        <v>Syahriyah = Rp 0
Jariyah = Rp 0
Daftar Ulang = Rp 0
Total = Rp 0
______________________
ID : 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79" t="str">
        <f t="shared" si="2"/>
        <v/>
      </c>
      <c r="B491" s="14"/>
      <c r="C491" s="79"/>
      <c r="D491" s="79"/>
      <c r="E491" s="79"/>
      <c r="F491" s="79"/>
      <c r="G491" s="79"/>
      <c r="H491" s="14"/>
      <c r="I491" s="14"/>
      <c r="J491" s="14"/>
      <c r="K491" s="14"/>
      <c r="L491" s="14"/>
      <c r="M491" s="14" t="str">
        <f t="shared" ref="M491:P491" si="492">text(I491,"Rp #,##0")</f>
        <v>Rp 0</v>
      </c>
      <c r="N491" s="14" t="str">
        <f t="shared" si="492"/>
        <v>Rp 0</v>
      </c>
      <c r="O491" s="14" t="str">
        <f t="shared" si="492"/>
        <v>Rp 0</v>
      </c>
      <c r="P491" s="14" t="str">
        <f t="shared" si="492"/>
        <v>Rp 0</v>
      </c>
      <c r="Q491" s="14" t="str">
        <f t="shared" si="4"/>
        <v>Syahriyah = Rp 0
Jariyah = Rp 0
Daftar Ulang = Rp 0
Total = Rp 0
______________________
ID : </v>
      </c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79" t="str">
        <f t="shared" si="2"/>
        <v/>
      </c>
      <c r="B492" s="14"/>
      <c r="C492" s="79"/>
      <c r="D492" s="79"/>
      <c r="E492" s="79"/>
      <c r="F492" s="79"/>
      <c r="G492" s="79"/>
      <c r="H492" s="14"/>
      <c r="I492" s="14"/>
      <c r="J492" s="14"/>
      <c r="K492" s="14"/>
      <c r="L492" s="14"/>
      <c r="M492" s="14" t="str">
        <f t="shared" ref="M492:P492" si="493">text(I492,"Rp #,##0")</f>
        <v>Rp 0</v>
      </c>
      <c r="N492" s="14" t="str">
        <f t="shared" si="493"/>
        <v>Rp 0</v>
      </c>
      <c r="O492" s="14" t="str">
        <f t="shared" si="493"/>
        <v>Rp 0</v>
      </c>
      <c r="P492" s="14" t="str">
        <f t="shared" si="493"/>
        <v>Rp 0</v>
      </c>
      <c r="Q492" s="14" t="str">
        <f t="shared" si="4"/>
        <v>Syahriyah = Rp 0
Jariyah = Rp 0
Daftar Ulang = Rp 0
Total = Rp 0
______________________
ID : 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79" t="str">
        <f t="shared" si="2"/>
        <v/>
      </c>
      <c r="B493" s="14"/>
      <c r="C493" s="79"/>
      <c r="D493" s="79"/>
      <c r="E493" s="79"/>
      <c r="F493" s="79"/>
      <c r="G493" s="79"/>
      <c r="H493" s="14"/>
      <c r="I493" s="14"/>
      <c r="J493" s="14"/>
      <c r="K493" s="14"/>
      <c r="L493" s="14"/>
      <c r="M493" s="14" t="str">
        <f t="shared" ref="M493:P493" si="494">text(I493,"Rp #,##0")</f>
        <v>Rp 0</v>
      </c>
      <c r="N493" s="14" t="str">
        <f t="shared" si="494"/>
        <v>Rp 0</v>
      </c>
      <c r="O493" s="14" t="str">
        <f t="shared" si="494"/>
        <v>Rp 0</v>
      </c>
      <c r="P493" s="14" t="str">
        <f t="shared" si="494"/>
        <v>Rp 0</v>
      </c>
      <c r="Q493" s="14" t="str">
        <f t="shared" si="4"/>
        <v>Syahriyah = Rp 0
Jariyah = Rp 0
Daftar Ulang = Rp 0
Total = Rp 0
______________________
ID : 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79" t="str">
        <f t="shared" si="2"/>
        <v/>
      </c>
      <c r="B494" s="14"/>
      <c r="C494" s="79"/>
      <c r="D494" s="79"/>
      <c r="E494" s="79"/>
      <c r="F494" s="79"/>
      <c r="G494" s="79"/>
      <c r="H494" s="14"/>
      <c r="I494" s="14"/>
      <c r="J494" s="14"/>
      <c r="K494" s="14"/>
      <c r="L494" s="14"/>
      <c r="M494" s="14" t="str">
        <f t="shared" ref="M494:P494" si="495">text(I494,"Rp #,##0")</f>
        <v>Rp 0</v>
      </c>
      <c r="N494" s="14" t="str">
        <f t="shared" si="495"/>
        <v>Rp 0</v>
      </c>
      <c r="O494" s="14" t="str">
        <f t="shared" si="495"/>
        <v>Rp 0</v>
      </c>
      <c r="P494" s="14" t="str">
        <f t="shared" si="495"/>
        <v>Rp 0</v>
      </c>
      <c r="Q494" s="14" t="str">
        <f t="shared" si="4"/>
        <v>Syahriyah = Rp 0
Jariyah = Rp 0
Daftar Ulang = Rp 0
Total = Rp 0
______________________
ID : 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79" t="str">
        <f t="shared" si="2"/>
        <v/>
      </c>
      <c r="B495" s="14"/>
      <c r="C495" s="79"/>
      <c r="D495" s="79"/>
      <c r="E495" s="79"/>
      <c r="F495" s="79"/>
      <c r="G495" s="79"/>
      <c r="H495" s="14"/>
      <c r="I495" s="14"/>
      <c r="J495" s="14"/>
      <c r="K495" s="14"/>
      <c r="L495" s="14"/>
      <c r="M495" s="14" t="str">
        <f t="shared" ref="M495:P495" si="496">text(I495,"Rp #,##0")</f>
        <v>Rp 0</v>
      </c>
      <c r="N495" s="14" t="str">
        <f t="shared" si="496"/>
        <v>Rp 0</v>
      </c>
      <c r="O495" s="14" t="str">
        <f t="shared" si="496"/>
        <v>Rp 0</v>
      </c>
      <c r="P495" s="14" t="str">
        <f t="shared" si="496"/>
        <v>Rp 0</v>
      </c>
      <c r="Q495" s="14" t="str">
        <f t="shared" si="4"/>
        <v>Syahriyah = Rp 0
Jariyah = Rp 0
Daftar Ulang = Rp 0
Total = Rp 0
______________________
ID : </v>
      </c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79" t="str">
        <f t="shared" si="2"/>
        <v/>
      </c>
      <c r="B496" s="14"/>
      <c r="C496" s="79"/>
      <c r="D496" s="79"/>
      <c r="E496" s="79"/>
      <c r="F496" s="79"/>
      <c r="G496" s="79"/>
      <c r="H496" s="14"/>
      <c r="I496" s="14"/>
      <c r="J496" s="14"/>
      <c r="K496" s="14"/>
      <c r="L496" s="14"/>
      <c r="M496" s="14" t="str">
        <f t="shared" ref="M496:P496" si="497">text(I496,"Rp #,##0")</f>
        <v>Rp 0</v>
      </c>
      <c r="N496" s="14" t="str">
        <f t="shared" si="497"/>
        <v>Rp 0</v>
      </c>
      <c r="O496" s="14" t="str">
        <f t="shared" si="497"/>
        <v>Rp 0</v>
      </c>
      <c r="P496" s="14" t="str">
        <f t="shared" si="497"/>
        <v>Rp 0</v>
      </c>
      <c r="Q496" s="14" t="str">
        <f t="shared" si="4"/>
        <v>Syahriyah = Rp 0
Jariyah = Rp 0
Daftar Ulang = Rp 0
Total = Rp 0
______________________
ID : </v>
      </c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79" t="str">
        <f t="shared" si="2"/>
        <v/>
      </c>
      <c r="B497" s="14"/>
      <c r="C497" s="79"/>
      <c r="D497" s="79"/>
      <c r="E497" s="79"/>
      <c r="F497" s="79"/>
      <c r="G497" s="79"/>
      <c r="H497" s="14"/>
      <c r="I497" s="14"/>
      <c r="J497" s="14"/>
      <c r="K497" s="14"/>
      <c r="L497" s="14"/>
      <c r="M497" s="14" t="str">
        <f t="shared" ref="M497:P497" si="498">text(I497,"Rp #,##0")</f>
        <v>Rp 0</v>
      </c>
      <c r="N497" s="14" t="str">
        <f t="shared" si="498"/>
        <v>Rp 0</v>
      </c>
      <c r="O497" s="14" t="str">
        <f t="shared" si="498"/>
        <v>Rp 0</v>
      </c>
      <c r="P497" s="14" t="str">
        <f t="shared" si="498"/>
        <v>Rp 0</v>
      </c>
      <c r="Q497" s="14" t="str">
        <f t="shared" si="4"/>
        <v>Syahriyah = Rp 0
Jariyah = Rp 0
Daftar Ulang = Rp 0
Total = Rp 0
______________________
ID : </v>
      </c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79" t="str">
        <f t="shared" si="2"/>
        <v/>
      </c>
      <c r="B498" s="14"/>
      <c r="C498" s="79"/>
      <c r="D498" s="79"/>
      <c r="E498" s="79"/>
      <c r="F498" s="79"/>
      <c r="G498" s="79"/>
      <c r="H498" s="14"/>
      <c r="I498" s="14"/>
      <c r="J498" s="14"/>
      <c r="K498" s="14"/>
      <c r="L498" s="14"/>
      <c r="M498" s="14" t="str">
        <f t="shared" ref="M498:P498" si="499">text(I498,"Rp #,##0")</f>
        <v>Rp 0</v>
      </c>
      <c r="N498" s="14" t="str">
        <f t="shared" si="499"/>
        <v>Rp 0</v>
      </c>
      <c r="O498" s="14" t="str">
        <f t="shared" si="499"/>
        <v>Rp 0</v>
      </c>
      <c r="P498" s="14" t="str">
        <f t="shared" si="499"/>
        <v>Rp 0</v>
      </c>
      <c r="Q498" s="14" t="str">
        <f t="shared" si="4"/>
        <v>Syahriyah = Rp 0
Jariyah = Rp 0
Daftar Ulang = Rp 0
Total = Rp 0
______________________
ID : </v>
      </c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79" t="str">
        <f t="shared" si="2"/>
        <v/>
      </c>
      <c r="B499" s="14"/>
      <c r="C499" s="79"/>
      <c r="D499" s="79"/>
      <c r="E499" s="79"/>
      <c r="F499" s="79"/>
      <c r="G499" s="79"/>
      <c r="H499" s="14"/>
      <c r="I499" s="14"/>
      <c r="J499" s="14"/>
      <c r="K499" s="14"/>
      <c r="L499" s="14"/>
      <c r="M499" s="14" t="str">
        <f t="shared" ref="M499:P499" si="500">text(I499,"Rp #,##0")</f>
        <v>Rp 0</v>
      </c>
      <c r="N499" s="14" t="str">
        <f t="shared" si="500"/>
        <v>Rp 0</v>
      </c>
      <c r="O499" s="14" t="str">
        <f t="shared" si="500"/>
        <v>Rp 0</v>
      </c>
      <c r="P499" s="14" t="str">
        <f t="shared" si="500"/>
        <v>Rp 0</v>
      </c>
      <c r="Q499" s="14" t="str">
        <f t="shared" si="4"/>
        <v>Syahriyah = Rp 0
Jariyah = Rp 0
Daftar Ulang = Rp 0
Total = Rp 0
______________________
ID : </v>
      </c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79" t="str">
        <f t="shared" si="2"/>
        <v/>
      </c>
      <c r="B500" s="14"/>
      <c r="C500" s="79"/>
      <c r="D500" s="79"/>
      <c r="E500" s="79"/>
      <c r="F500" s="79"/>
      <c r="G500" s="79"/>
      <c r="H500" s="14"/>
      <c r="I500" s="14"/>
      <c r="J500" s="14"/>
      <c r="K500" s="14"/>
      <c r="L500" s="14"/>
      <c r="M500" s="14" t="str">
        <f t="shared" ref="M500:P500" si="501">text(I500,"Rp #,##0")</f>
        <v>Rp 0</v>
      </c>
      <c r="N500" s="14" t="str">
        <f t="shared" si="501"/>
        <v>Rp 0</v>
      </c>
      <c r="O500" s="14" t="str">
        <f t="shared" si="501"/>
        <v>Rp 0</v>
      </c>
      <c r="P500" s="14" t="str">
        <f t="shared" si="501"/>
        <v>Rp 0</v>
      </c>
      <c r="Q500" s="14" t="str">
        <f t="shared" si="4"/>
        <v>Syahriyah = Rp 0
Jariyah = Rp 0
Daftar Ulang = Rp 0
Total = Rp 0
______________________
ID : </v>
      </c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79" t="str">
        <f t="shared" si="2"/>
        <v/>
      </c>
      <c r="B501" s="14"/>
      <c r="C501" s="79"/>
      <c r="D501" s="79"/>
      <c r="E501" s="79"/>
      <c r="F501" s="79"/>
      <c r="G501" s="79"/>
      <c r="H501" s="14"/>
      <c r="I501" s="14"/>
      <c r="J501" s="14"/>
      <c r="K501" s="14"/>
      <c r="L501" s="14"/>
      <c r="M501" s="14" t="str">
        <f t="shared" ref="M501:P501" si="502">text(I501,"Rp #,##0")</f>
        <v>Rp 0</v>
      </c>
      <c r="N501" s="14" t="str">
        <f t="shared" si="502"/>
        <v>Rp 0</v>
      </c>
      <c r="O501" s="14" t="str">
        <f t="shared" si="502"/>
        <v>Rp 0</v>
      </c>
      <c r="P501" s="14" t="str">
        <f t="shared" si="502"/>
        <v>Rp 0</v>
      </c>
      <c r="Q501" s="14" t="str">
        <f t="shared" si="4"/>
        <v>Syahriyah = Rp 0
Jariyah = Rp 0
Daftar Ulang = Rp 0
Total = Rp 0
______________________
ID : </v>
      </c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79" t="str">
        <f t="shared" si="2"/>
        <v/>
      </c>
      <c r="B502" s="14"/>
      <c r="C502" s="79"/>
      <c r="D502" s="79"/>
      <c r="E502" s="79"/>
      <c r="F502" s="79"/>
      <c r="G502" s="79"/>
      <c r="H502" s="14"/>
      <c r="I502" s="14"/>
      <c r="J502" s="14"/>
      <c r="K502" s="14"/>
      <c r="L502" s="14"/>
      <c r="M502" s="14" t="str">
        <f t="shared" ref="M502:P502" si="503">text(I502,"Rp #,##0")</f>
        <v>Rp 0</v>
      </c>
      <c r="N502" s="14" t="str">
        <f t="shared" si="503"/>
        <v>Rp 0</v>
      </c>
      <c r="O502" s="14" t="str">
        <f t="shared" si="503"/>
        <v>Rp 0</v>
      </c>
      <c r="P502" s="14" t="str">
        <f t="shared" si="503"/>
        <v>Rp 0</v>
      </c>
      <c r="Q502" s="14" t="str">
        <f t="shared" si="4"/>
        <v>Syahriyah = Rp 0
Jariyah = Rp 0
Daftar Ulang = Rp 0
Total = Rp 0
______________________
ID : </v>
      </c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79" t="str">
        <f t="shared" si="2"/>
        <v/>
      </c>
      <c r="B503" s="14"/>
      <c r="C503" s="79"/>
      <c r="D503" s="79"/>
      <c r="E503" s="79"/>
      <c r="F503" s="79"/>
      <c r="G503" s="79"/>
      <c r="H503" s="14"/>
      <c r="I503" s="14"/>
      <c r="J503" s="14"/>
      <c r="K503" s="14"/>
      <c r="L503" s="14"/>
      <c r="M503" s="14" t="str">
        <f t="shared" ref="M503:P503" si="504">text(I503,"Rp #,##0")</f>
        <v>Rp 0</v>
      </c>
      <c r="N503" s="14" t="str">
        <f t="shared" si="504"/>
        <v>Rp 0</v>
      </c>
      <c r="O503" s="14" t="str">
        <f t="shared" si="504"/>
        <v>Rp 0</v>
      </c>
      <c r="P503" s="14" t="str">
        <f t="shared" si="504"/>
        <v>Rp 0</v>
      </c>
      <c r="Q503" s="14" t="str">
        <f t="shared" si="4"/>
        <v>Syahriyah = Rp 0
Jariyah = Rp 0
Daftar Ulang = Rp 0
Total = Rp 0
______________________
ID : </v>
      </c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79" t="str">
        <f t="shared" si="2"/>
        <v/>
      </c>
      <c r="B504" s="14"/>
      <c r="C504" s="79"/>
      <c r="D504" s="79"/>
      <c r="E504" s="79"/>
      <c r="F504" s="79"/>
      <c r="G504" s="79"/>
      <c r="H504" s="14"/>
      <c r="I504" s="14"/>
      <c r="J504" s="14"/>
      <c r="K504" s="14"/>
      <c r="L504" s="14"/>
      <c r="M504" s="14" t="str">
        <f t="shared" ref="M504:P504" si="505">text(I504,"Rp #,##0")</f>
        <v>Rp 0</v>
      </c>
      <c r="N504" s="14" t="str">
        <f t="shared" si="505"/>
        <v>Rp 0</v>
      </c>
      <c r="O504" s="14" t="str">
        <f t="shared" si="505"/>
        <v>Rp 0</v>
      </c>
      <c r="P504" s="14" t="str">
        <f t="shared" si="505"/>
        <v>Rp 0</v>
      </c>
      <c r="Q504" s="14" t="str">
        <f t="shared" si="4"/>
        <v>Syahriyah = Rp 0
Jariyah = Rp 0
Daftar Ulang = Rp 0
Total = Rp 0
______________________
ID : </v>
      </c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79" t="str">
        <f t="shared" si="2"/>
        <v/>
      </c>
      <c r="B505" s="14"/>
      <c r="C505" s="79"/>
      <c r="D505" s="79"/>
      <c r="E505" s="79"/>
      <c r="F505" s="79"/>
      <c r="G505" s="79"/>
      <c r="H505" s="14"/>
      <c r="I505" s="14"/>
      <c r="J505" s="14"/>
      <c r="K505" s="14"/>
      <c r="L505" s="14"/>
      <c r="M505" s="14" t="str">
        <f t="shared" ref="M505:P505" si="506">text(I505,"Rp #,##0")</f>
        <v>Rp 0</v>
      </c>
      <c r="N505" s="14" t="str">
        <f t="shared" si="506"/>
        <v>Rp 0</v>
      </c>
      <c r="O505" s="14" t="str">
        <f t="shared" si="506"/>
        <v>Rp 0</v>
      </c>
      <c r="P505" s="14" t="str">
        <f t="shared" si="506"/>
        <v>Rp 0</v>
      </c>
      <c r="Q505" s="14" t="str">
        <f t="shared" si="4"/>
        <v>Syahriyah = Rp 0
Jariyah = Rp 0
Daftar Ulang = Rp 0
Total = Rp 0
______________________
ID : </v>
      </c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C506" s="84"/>
      <c r="D506" s="84"/>
      <c r="E506" s="84"/>
      <c r="F506" s="84"/>
      <c r="G506" s="84"/>
    </row>
    <row r="507">
      <c r="C507" s="84"/>
      <c r="D507" s="84"/>
      <c r="E507" s="84"/>
      <c r="F507" s="84"/>
      <c r="G507" s="84"/>
    </row>
    <row r="508">
      <c r="C508" s="84"/>
      <c r="D508" s="84"/>
      <c r="E508" s="84"/>
      <c r="F508" s="84"/>
      <c r="G508" s="84"/>
    </row>
    <row r="509">
      <c r="C509" s="84"/>
      <c r="D509" s="84"/>
      <c r="E509" s="84"/>
      <c r="F509" s="84"/>
      <c r="G509" s="84"/>
    </row>
    <row r="510">
      <c r="C510" s="84"/>
      <c r="D510" s="84"/>
      <c r="E510" s="84"/>
      <c r="F510" s="84"/>
      <c r="G510" s="84"/>
    </row>
    <row r="511">
      <c r="C511" s="84"/>
      <c r="D511" s="84"/>
      <c r="E511" s="84"/>
      <c r="F511" s="84"/>
      <c r="G511" s="84"/>
    </row>
    <row r="512">
      <c r="C512" s="84"/>
      <c r="D512" s="84"/>
      <c r="E512" s="84"/>
      <c r="F512" s="84"/>
      <c r="G512" s="84"/>
    </row>
    <row r="513">
      <c r="C513" s="84"/>
      <c r="D513" s="84"/>
      <c r="E513" s="84"/>
      <c r="F513" s="84"/>
      <c r="G513" s="84"/>
    </row>
    <row r="514">
      <c r="C514" s="84"/>
      <c r="D514" s="84"/>
      <c r="E514" s="84"/>
      <c r="F514" s="84"/>
      <c r="G514" s="84"/>
    </row>
    <row r="515">
      <c r="C515" s="84"/>
      <c r="D515" s="84"/>
      <c r="E515" s="84"/>
      <c r="F515" s="84"/>
      <c r="G515" s="84"/>
    </row>
    <row r="516">
      <c r="C516" s="84"/>
      <c r="D516" s="84"/>
      <c r="E516" s="84"/>
      <c r="F516" s="84"/>
      <c r="G516" s="84"/>
    </row>
    <row r="517">
      <c r="C517" s="84"/>
      <c r="D517" s="84"/>
      <c r="E517" s="84"/>
      <c r="F517" s="84"/>
      <c r="G517" s="84"/>
    </row>
    <row r="518">
      <c r="C518" s="84"/>
      <c r="D518" s="84"/>
      <c r="E518" s="84"/>
      <c r="F518" s="84"/>
      <c r="G518" s="84"/>
    </row>
    <row r="519">
      <c r="C519" s="84"/>
      <c r="D519" s="84"/>
      <c r="E519" s="84"/>
      <c r="F519" s="84"/>
      <c r="G519" s="84"/>
    </row>
    <row r="520">
      <c r="C520" s="84"/>
      <c r="D520" s="84"/>
      <c r="E520" s="84"/>
      <c r="F520" s="84"/>
      <c r="G520" s="84"/>
    </row>
    <row r="521">
      <c r="C521" s="84"/>
      <c r="D521" s="84"/>
      <c r="E521" s="84"/>
      <c r="F521" s="84"/>
      <c r="G521" s="84"/>
    </row>
    <row r="522">
      <c r="C522" s="84"/>
      <c r="D522" s="84"/>
      <c r="E522" s="84"/>
      <c r="F522" s="84"/>
      <c r="G522" s="84"/>
    </row>
    <row r="523">
      <c r="C523" s="84"/>
      <c r="D523" s="84"/>
      <c r="E523" s="84"/>
      <c r="F523" s="84"/>
      <c r="G523" s="84"/>
    </row>
    <row r="524">
      <c r="C524" s="84"/>
      <c r="D524" s="84"/>
      <c r="E524" s="84"/>
      <c r="F524" s="84"/>
      <c r="G524" s="84"/>
    </row>
    <row r="525">
      <c r="C525" s="84"/>
      <c r="D525" s="84"/>
      <c r="E525" s="84"/>
      <c r="F525" s="84"/>
      <c r="G525" s="84"/>
    </row>
    <row r="526">
      <c r="C526" s="84"/>
      <c r="D526" s="84"/>
      <c r="E526" s="84"/>
      <c r="F526" s="84"/>
      <c r="G526" s="84"/>
    </row>
    <row r="527">
      <c r="C527" s="84"/>
      <c r="D527" s="84"/>
      <c r="E527" s="84"/>
      <c r="F527" s="84"/>
      <c r="G527" s="84"/>
    </row>
    <row r="528">
      <c r="C528" s="84"/>
      <c r="D528" s="84"/>
      <c r="E528" s="84"/>
      <c r="F528" s="84"/>
      <c r="G528" s="84"/>
    </row>
    <row r="529">
      <c r="C529" s="84"/>
      <c r="D529" s="84"/>
      <c r="E529" s="84"/>
      <c r="F529" s="84"/>
      <c r="G529" s="84"/>
    </row>
    <row r="530">
      <c r="C530" s="84"/>
      <c r="D530" s="84"/>
      <c r="E530" s="84"/>
      <c r="F530" s="84"/>
      <c r="G530" s="84"/>
    </row>
    <row r="531">
      <c r="C531" s="84"/>
      <c r="D531" s="84"/>
      <c r="E531" s="84"/>
      <c r="F531" s="84"/>
      <c r="G531" s="84"/>
    </row>
    <row r="532">
      <c r="C532" s="84"/>
      <c r="D532" s="84"/>
      <c r="E532" s="84"/>
      <c r="F532" s="84"/>
      <c r="G532" s="84"/>
    </row>
    <row r="533">
      <c r="C533" s="84"/>
      <c r="D533" s="84"/>
      <c r="E533" s="84"/>
      <c r="F533" s="84"/>
      <c r="G533" s="84"/>
    </row>
    <row r="534">
      <c r="C534" s="84"/>
      <c r="D534" s="84"/>
      <c r="E534" s="84"/>
      <c r="F534" s="84"/>
      <c r="G534" s="84"/>
    </row>
    <row r="535">
      <c r="C535" s="84"/>
      <c r="D535" s="84"/>
      <c r="E535" s="84"/>
      <c r="F535" s="84"/>
      <c r="G535" s="84"/>
    </row>
    <row r="536">
      <c r="C536" s="84"/>
      <c r="D536" s="84"/>
      <c r="E536" s="84"/>
      <c r="F536" s="84"/>
      <c r="G536" s="84"/>
    </row>
    <row r="537">
      <c r="C537" s="84"/>
      <c r="D537" s="84"/>
      <c r="E537" s="84"/>
      <c r="F537" s="84"/>
      <c r="G537" s="84"/>
    </row>
    <row r="538">
      <c r="C538" s="84"/>
      <c r="D538" s="84"/>
      <c r="E538" s="84"/>
      <c r="F538" s="84"/>
      <c r="G538" s="84"/>
    </row>
    <row r="539">
      <c r="C539" s="84"/>
      <c r="D539" s="84"/>
      <c r="E539" s="84"/>
      <c r="F539" s="84"/>
      <c r="G539" s="84"/>
    </row>
    <row r="540">
      <c r="C540" s="84"/>
      <c r="D540" s="84"/>
      <c r="E540" s="84"/>
      <c r="F540" s="84"/>
      <c r="G540" s="84"/>
    </row>
    <row r="541">
      <c r="C541" s="84"/>
      <c r="D541" s="84"/>
      <c r="E541" s="84"/>
      <c r="F541" s="84"/>
      <c r="G541" s="84"/>
    </row>
    <row r="542">
      <c r="C542" s="84"/>
      <c r="D542" s="84"/>
      <c r="E542" s="84"/>
      <c r="F542" s="84"/>
      <c r="G542" s="84"/>
    </row>
    <row r="543">
      <c r="C543" s="84"/>
      <c r="D543" s="84"/>
      <c r="E543" s="84"/>
      <c r="F543" s="84"/>
      <c r="G543" s="84"/>
    </row>
    <row r="544">
      <c r="C544" s="84"/>
      <c r="D544" s="84"/>
      <c r="E544" s="84"/>
      <c r="F544" s="84"/>
      <c r="G544" s="84"/>
    </row>
    <row r="545">
      <c r="C545" s="84"/>
      <c r="D545" s="84"/>
      <c r="E545" s="84"/>
      <c r="F545" s="84"/>
      <c r="G545" s="84"/>
    </row>
    <row r="546">
      <c r="C546" s="84"/>
      <c r="D546" s="84"/>
      <c r="E546" s="84"/>
      <c r="F546" s="84"/>
      <c r="G546" s="84"/>
    </row>
    <row r="547">
      <c r="C547" s="84"/>
      <c r="D547" s="84"/>
      <c r="E547" s="84"/>
      <c r="F547" s="84"/>
      <c r="G547" s="84"/>
    </row>
    <row r="548">
      <c r="C548" s="84"/>
      <c r="D548" s="84"/>
      <c r="E548" s="84"/>
      <c r="F548" s="84"/>
      <c r="G548" s="84"/>
    </row>
    <row r="549">
      <c r="C549" s="84"/>
      <c r="D549" s="84"/>
      <c r="E549" s="84"/>
      <c r="F549" s="84"/>
      <c r="G549" s="84"/>
    </row>
    <row r="550">
      <c r="C550" s="84"/>
      <c r="D550" s="84"/>
      <c r="E550" s="84"/>
      <c r="F550" s="84"/>
      <c r="G550" s="84"/>
    </row>
    <row r="551">
      <c r="C551" s="84"/>
      <c r="D551" s="84"/>
      <c r="E551" s="84"/>
      <c r="F551" s="84"/>
      <c r="G551" s="84"/>
    </row>
    <row r="552">
      <c r="C552" s="84"/>
      <c r="D552" s="84"/>
      <c r="E552" s="84"/>
      <c r="F552" s="84"/>
      <c r="G552" s="84"/>
    </row>
    <row r="553">
      <c r="C553" s="84"/>
      <c r="D553" s="84"/>
      <c r="E553" s="84"/>
      <c r="F553" s="84"/>
      <c r="G553" s="84"/>
    </row>
    <row r="554">
      <c r="C554" s="84"/>
      <c r="D554" s="84"/>
      <c r="E554" s="84"/>
      <c r="F554" s="84"/>
      <c r="G554" s="84"/>
    </row>
    <row r="555">
      <c r="C555" s="84"/>
      <c r="D555" s="84"/>
      <c r="E555" s="84"/>
      <c r="F555" s="84"/>
      <c r="G555" s="84"/>
    </row>
    <row r="556">
      <c r="C556" s="84"/>
      <c r="D556" s="84"/>
      <c r="E556" s="84"/>
      <c r="F556" s="84"/>
      <c r="G556" s="84"/>
    </row>
    <row r="557">
      <c r="C557" s="84"/>
      <c r="D557" s="84"/>
      <c r="E557" s="84"/>
      <c r="F557" s="84"/>
      <c r="G557" s="84"/>
    </row>
    <row r="558">
      <c r="C558" s="84"/>
      <c r="D558" s="84"/>
      <c r="E558" s="84"/>
      <c r="F558" s="84"/>
      <c r="G558" s="84"/>
    </row>
    <row r="559">
      <c r="C559" s="84"/>
      <c r="D559" s="84"/>
      <c r="E559" s="84"/>
      <c r="F559" s="84"/>
      <c r="G559" s="84"/>
    </row>
    <row r="560">
      <c r="C560" s="84"/>
      <c r="D560" s="84"/>
      <c r="E560" s="84"/>
      <c r="F560" s="84"/>
      <c r="G560" s="84"/>
    </row>
    <row r="561">
      <c r="C561" s="84"/>
      <c r="D561" s="84"/>
      <c r="E561" s="84"/>
      <c r="F561" s="84"/>
      <c r="G561" s="84"/>
    </row>
    <row r="562">
      <c r="C562" s="84"/>
      <c r="D562" s="84"/>
      <c r="E562" s="84"/>
      <c r="F562" s="84"/>
      <c r="G562" s="84"/>
    </row>
    <row r="563">
      <c r="C563" s="84"/>
      <c r="D563" s="84"/>
      <c r="E563" s="84"/>
      <c r="F563" s="84"/>
      <c r="G563" s="84"/>
    </row>
    <row r="564">
      <c r="C564" s="84"/>
      <c r="D564" s="84"/>
      <c r="E564" s="84"/>
      <c r="F564" s="84"/>
      <c r="G564" s="84"/>
    </row>
    <row r="565">
      <c r="C565" s="84"/>
      <c r="D565" s="84"/>
      <c r="E565" s="84"/>
      <c r="F565" s="84"/>
      <c r="G565" s="84"/>
    </row>
    <row r="566">
      <c r="C566" s="84"/>
      <c r="D566" s="84"/>
      <c r="E566" s="84"/>
      <c r="F566" s="84"/>
      <c r="G566" s="84"/>
    </row>
    <row r="567">
      <c r="C567" s="84"/>
      <c r="D567" s="84"/>
      <c r="E567" s="84"/>
      <c r="F567" s="84"/>
      <c r="G567" s="84"/>
    </row>
    <row r="568">
      <c r="C568" s="84"/>
      <c r="D568" s="84"/>
      <c r="E568" s="84"/>
      <c r="F568" s="84"/>
      <c r="G568" s="84"/>
    </row>
    <row r="569">
      <c r="C569" s="84"/>
      <c r="D569" s="84"/>
      <c r="E569" s="84"/>
      <c r="F569" s="84"/>
      <c r="G569" s="84"/>
    </row>
    <row r="570">
      <c r="C570" s="84"/>
      <c r="D570" s="84"/>
      <c r="E570" s="84"/>
      <c r="F570" s="84"/>
      <c r="G570" s="84"/>
    </row>
    <row r="571">
      <c r="C571" s="84"/>
      <c r="D571" s="84"/>
      <c r="E571" s="84"/>
      <c r="F571" s="84"/>
      <c r="G571" s="84"/>
    </row>
    <row r="572">
      <c r="C572" s="84"/>
      <c r="D572" s="84"/>
      <c r="E572" s="84"/>
      <c r="F572" s="84"/>
      <c r="G572" s="84"/>
    </row>
    <row r="573">
      <c r="C573" s="84"/>
      <c r="D573" s="84"/>
      <c r="E573" s="84"/>
      <c r="F573" s="84"/>
      <c r="G573" s="84"/>
    </row>
    <row r="574">
      <c r="C574" s="84"/>
      <c r="D574" s="84"/>
      <c r="E574" s="84"/>
      <c r="F574" s="84"/>
      <c r="G574" s="84"/>
    </row>
    <row r="575">
      <c r="C575" s="84"/>
      <c r="D575" s="84"/>
      <c r="E575" s="84"/>
      <c r="F575" s="84"/>
      <c r="G575" s="84"/>
    </row>
    <row r="576">
      <c r="C576" s="84"/>
      <c r="D576" s="84"/>
      <c r="E576" s="84"/>
      <c r="F576" s="84"/>
      <c r="G576" s="84"/>
    </row>
    <row r="577">
      <c r="C577" s="84"/>
      <c r="D577" s="84"/>
      <c r="E577" s="84"/>
      <c r="F577" s="84"/>
      <c r="G577" s="84"/>
    </row>
    <row r="578">
      <c r="C578" s="84"/>
      <c r="D578" s="84"/>
      <c r="E578" s="84"/>
      <c r="F578" s="84"/>
      <c r="G578" s="84"/>
    </row>
    <row r="579">
      <c r="C579" s="84"/>
      <c r="D579" s="84"/>
      <c r="E579" s="84"/>
      <c r="F579" s="84"/>
      <c r="G579" s="84"/>
    </row>
    <row r="580">
      <c r="C580" s="84"/>
      <c r="D580" s="84"/>
      <c r="E580" s="84"/>
      <c r="F580" s="84"/>
      <c r="G580" s="84"/>
    </row>
    <row r="581">
      <c r="C581" s="84"/>
      <c r="D581" s="84"/>
      <c r="E581" s="84"/>
      <c r="F581" s="84"/>
      <c r="G581" s="84"/>
    </row>
    <row r="582">
      <c r="C582" s="84"/>
      <c r="D582" s="84"/>
      <c r="E582" s="84"/>
      <c r="F582" s="84"/>
      <c r="G582" s="84"/>
    </row>
    <row r="583">
      <c r="C583" s="84"/>
      <c r="D583" s="84"/>
      <c r="E583" s="84"/>
      <c r="F583" s="84"/>
      <c r="G583" s="84"/>
    </row>
    <row r="584">
      <c r="C584" s="84"/>
      <c r="D584" s="84"/>
      <c r="E584" s="84"/>
      <c r="F584" s="84"/>
      <c r="G584" s="84"/>
    </row>
    <row r="585">
      <c r="C585" s="84"/>
      <c r="D585" s="84"/>
      <c r="E585" s="84"/>
      <c r="F585" s="84"/>
      <c r="G585" s="84"/>
    </row>
    <row r="586">
      <c r="C586" s="84"/>
      <c r="D586" s="84"/>
      <c r="E586" s="84"/>
      <c r="F586" s="84"/>
      <c r="G586" s="84"/>
    </row>
    <row r="587">
      <c r="C587" s="84"/>
      <c r="D587" s="84"/>
      <c r="E587" s="84"/>
      <c r="F587" s="84"/>
      <c r="G587" s="84"/>
    </row>
    <row r="588">
      <c r="C588" s="84"/>
      <c r="D588" s="84"/>
      <c r="E588" s="84"/>
      <c r="F588" s="84"/>
      <c r="G588" s="84"/>
    </row>
    <row r="589">
      <c r="C589" s="84"/>
      <c r="D589" s="84"/>
      <c r="E589" s="84"/>
      <c r="F589" s="84"/>
      <c r="G589" s="84"/>
    </row>
    <row r="590">
      <c r="C590" s="84"/>
      <c r="D590" s="84"/>
      <c r="E590" s="84"/>
      <c r="F590" s="84"/>
      <c r="G590" s="84"/>
    </row>
    <row r="591">
      <c r="C591" s="84"/>
      <c r="D591" s="84"/>
      <c r="E591" s="84"/>
      <c r="F591" s="84"/>
      <c r="G591" s="84"/>
    </row>
    <row r="592">
      <c r="C592" s="84"/>
      <c r="D592" s="84"/>
      <c r="E592" s="84"/>
      <c r="F592" s="84"/>
      <c r="G592" s="84"/>
    </row>
    <row r="593">
      <c r="C593" s="84"/>
      <c r="D593" s="84"/>
      <c r="E593" s="84"/>
      <c r="F593" s="84"/>
      <c r="G593" s="84"/>
    </row>
    <row r="594">
      <c r="C594" s="84"/>
      <c r="D594" s="84"/>
      <c r="E594" s="84"/>
      <c r="F594" s="84"/>
      <c r="G594" s="84"/>
    </row>
    <row r="595">
      <c r="C595" s="84"/>
      <c r="D595" s="84"/>
      <c r="E595" s="84"/>
      <c r="F595" s="84"/>
      <c r="G595" s="84"/>
    </row>
    <row r="596">
      <c r="C596" s="84"/>
      <c r="D596" s="84"/>
      <c r="E596" s="84"/>
      <c r="F596" s="84"/>
      <c r="G596" s="84"/>
    </row>
    <row r="597">
      <c r="C597" s="84"/>
      <c r="D597" s="84"/>
      <c r="E597" s="84"/>
      <c r="F597" s="84"/>
      <c r="G597" s="84"/>
    </row>
    <row r="598">
      <c r="C598" s="84"/>
      <c r="D598" s="84"/>
      <c r="E598" s="84"/>
      <c r="F598" s="84"/>
      <c r="G598" s="84"/>
    </row>
    <row r="599">
      <c r="C599" s="84"/>
      <c r="D599" s="84"/>
      <c r="E599" s="84"/>
      <c r="F599" s="84"/>
      <c r="G599" s="84"/>
    </row>
    <row r="600">
      <c r="C600" s="84"/>
      <c r="D600" s="84"/>
      <c r="E600" s="84"/>
      <c r="F600" s="84"/>
      <c r="G600" s="84"/>
    </row>
    <row r="601">
      <c r="C601" s="84"/>
      <c r="D601" s="84"/>
      <c r="E601" s="84"/>
      <c r="F601" s="84"/>
      <c r="G601" s="84"/>
    </row>
    <row r="602">
      <c r="C602" s="84"/>
      <c r="D602" s="84"/>
      <c r="E602" s="84"/>
      <c r="F602" s="84"/>
      <c r="G602" s="84"/>
    </row>
    <row r="603">
      <c r="C603" s="84"/>
      <c r="D603" s="84"/>
      <c r="E603" s="84"/>
      <c r="F603" s="84"/>
      <c r="G603" s="84"/>
    </row>
    <row r="604">
      <c r="C604" s="84"/>
      <c r="D604" s="84"/>
      <c r="E604" s="84"/>
      <c r="F604" s="84"/>
      <c r="G604" s="84"/>
    </row>
    <row r="605">
      <c r="C605" s="84"/>
      <c r="D605" s="84"/>
      <c r="E605" s="84"/>
      <c r="F605" s="84"/>
      <c r="G605" s="84"/>
    </row>
    <row r="606">
      <c r="C606" s="84"/>
      <c r="D606" s="84"/>
      <c r="E606" s="84"/>
      <c r="F606" s="84"/>
      <c r="G606" s="84"/>
    </row>
    <row r="607">
      <c r="C607" s="84"/>
      <c r="D607" s="84"/>
      <c r="E607" s="84"/>
      <c r="F607" s="84"/>
      <c r="G607" s="84"/>
    </row>
    <row r="608">
      <c r="C608" s="84"/>
      <c r="D608" s="84"/>
      <c r="E608" s="84"/>
      <c r="F608" s="84"/>
      <c r="G608" s="84"/>
    </row>
    <row r="609">
      <c r="C609" s="84"/>
      <c r="D609" s="84"/>
      <c r="E609" s="84"/>
      <c r="F609" s="84"/>
      <c r="G609" s="84"/>
    </row>
    <row r="610">
      <c r="C610" s="84"/>
      <c r="D610" s="84"/>
      <c r="E610" s="84"/>
      <c r="F610" s="84"/>
      <c r="G610" s="84"/>
    </row>
    <row r="611">
      <c r="C611" s="84"/>
      <c r="D611" s="84"/>
      <c r="E611" s="84"/>
      <c r="F611" s="84"/>
      <c r="G611" s="84"/>
    </row>
    <row r="612">
      <c r="C612" s="84"/>
      <c r="D612" s="84"/>
      <c r="E612" s="84"/>
      <c r="F612" s="84"/>
      <c r="G612" s="84"/>
    </row>
    <row r="613">
      <c r="C613" s="84"/>
      <c r="D613" s="84"/>
      <c r="E613" s="84"/>
      <c r="F613" s="84"/>
      <c r="G613" s="84"/>
    </row>
    <row r="614">
      <c r="C614" s="84"/>
      <c r="D614" s="84"/>
      <c r="E614" s="84"/>
      <c r="F614" s="84"/>
      <c r="G614" s="84"/>
    </row>
    <row r="615">
      <c r="C615" s="84"/>
      <c r="D615" s="84"/>
      <c r="E615" s="84"/>
      <c r="F615" s="84"/>
      <c r="G615" s="84"/>
    </row>
    <row r="616">
      <c r="C616" s="84"/>
      <c r="D616" s="84"/>
      <c r="E616" s="84"/>
      <c r="F616" s="84"/>
      <c r="G616" s="84"/>
    </row>
    <row r="617">
      <c r="C617" s="84"/>
      <c r="D617" s="84"/>
      <c r="E617" s="84"/>
      <c r="F617" s="84"/>
      <c r="G617" s="84"/>
    </row>
    <row r="618">
      <c r="C618" s="84"/>
      <c r="D618" s="84"/>
      <c r="E618" s="84"/>
      <c r="F618" s="84"/>
      <c r="G618" s="84"/>
    </row>
    <row r="619">
      <c r="C619" s="84"/>
      <c r="D619" s="84"/>
      <c r="E619" s="84"/>
      <c r="F619" s="84"/>
      <c r="G619" s="84"/>
    </row>
    <row r="620">
      <c r="C620" s="84"/>
      <c r="D620" s="84"/>
      <c r="E620" s="84"/>
      <c r="F620" s="84"/>
      <c r="G620" s="84"/>
    </row>
    <row r="621">
      <c r="C621" s="84"/>
      <c r="D621" s="84"/>
      <c r="E621" s="84"/>
      <c r="F621" s="84"/>
      <c r="G621" s="84"/>
    </row>
    <row r="622">
      <c r="C622" s="84"/>
      <c r="D622" s="84"/>
      <c r="E622" s="84"/>
      <c r="F622" s="84"/>
      <c r="G622" s="84"/>
    </row>
    <row r="623">
      <c r="C623" s="84"/>
      <c r="D623" s="84"/>
      <c r="E623" s="84"/>
      <c r="F623" s="84"/>
      <c r="G623" s="84"/>
    </row>
    <row r="624">
      <c r="C624" s="84"/>
      <c r="D624" s="84"/>
      <c r="E624" s="84"/>
      <c r="F624" s="84"/>
      <c r="G624" s="84"/>
    </row>
    <row r="625">
      <c r="C625" s="84"/>
      <c r="D625" s="84"/>
      <c r="E625" s="84"/>
      <c r="F625" s="84"/>
      <c r="G625" s="84"/>
    </row>
    <row r="626">
      <c r="C626" s="84"/>
      <c r="D626" s="84"/>
      <c r="E626" s="84"/>
      <c r="F626" s="84"/>
      <c r="G626" s="84"/>
    </row>
    <row r="627">
      <c r="C627" s="84"/>
      <c r="D627" s="84"/>
      <c r="E627" s="84"/>
      <c r="F627" s="84"/>
      <c r="G627" s="84"/>
    </row>
    <row r="628">
      <c r="C628" s="84"/>
      <c r="D628" s="84"/>
      <c r="E628" s="84"/>
      <c r="F628" s="84"/>
      <c r="G628" s="84"/>
    </row>
    <row r="629">
      <c r="C629" s="84"/>
      <c r="D629" s="84"/>
      <c r="E629" s="84"/>
      <c r="F629" s="84"/>
      <c r="G629" s="84"/>
    </row>
    <row r="630">
      <c r="C630" s="84"/>
      <c r="D630" s="84"/>
      <c r="E630" s="84"/>
      <c r="F630" s="84"/>
      <c r="G630" s="84"/>
    </row>
    <row r="631">
      <c r="C631" s="84"/>
      <c r="D631" s="84"/>
      <c r="E631" s="84"/>
      <c r="F631" s="84"/>
      <c r="G631" s="84"/>
    </row>
    <row r="632">
      <c r="C632" s="84"/>
      <c r="D632" s="84"/>
      <c r="E632" s="84"/>
      <c r="F632" s="84"/>
      <c r="G632" s="84"/>
    </row>
    <row r="633">
      <c r="C633" s="84"/>
      <c r="D633" s="84"/>
      <c r="E633" s="84"/>
      <c r="F633" s="84"/>
      <c r="G633" s="84"/>
    </row>
    <row r="634">
      <c r="C634" s="84"/>
      <c r="D634" s="84"/>
      <c r="E634" s="84"/>
      <c r="F634" s="84"/>
      <c r="G634" s="84"/>
    </row>
    <row r="635">
      <c r="C635" s="84"/>
      <c r="D635" s="84"/>
      <c r="E635" s="84"/>
      <c r="F635" s="84"/>
      <c r="G635" s="84"/>
    </row>
    <row r="636">
      <c r="C636" s="84"/>
      <c r="D636" s="84"/>
      <c r="E636" s="84"/>
      <c r="F636" s="84"/>
      <c r="G636" s="84"/>
    </row>
    <row r="637">
      <c r="C637" s="84"/>
      <c r="D637" s="84"/>
      <c r="E637" s="84"/>
      <c r="F637" s="84"/>
      <c r="G637" s="84"/>
    </row>
    <row r="638">
      <c r="C638" s="84"/>
      <c r="D638" s="84"/>
      <c r="E638" s="84"/>
      <c r="F638" s="84"/>
      <c r="G638" s="84"/>
    </row>
    <row r="639">
      <c r="C639" s="84"/>
      <c r="D639" s="84"/>
      <c r="E639" s="84"/>
      <c r="F639" s="84"/>
      <c r="G639" s="84"/>
    </row>
    <row r="640">
      <c r="C640" s="84"/>
      <c r="D640" s="84"/>
      <c r="E640" s="84"/>
      <c r="F640" s="84"/>
      <c r="G640" s="84"/>
    </row>
    <row r="641">
      <c r="C641" s="84"/>
      <c r="D641" s="84"/>
      <c r="E641" s="84"/>
      <c r="F641" s="84"/>
      <c r="G641" s="84"/>
    </row>
    <row r="642">
      <c r="C642" s="84"/>
      <c r="D642" s="84"/>
      <c r="E642" s="84"/>
      <c r="F642" s="84"/>
      <c r="G642" s="84"/>
    </row>
    <row r="643">
      <c r="C643" s="84"/>
      <c r="D643" s="84"/>
      <c r="E643" s="84"/>
      <c r="F643" s="84"/>
      <c r="G643" s="84"/>
    </row>
    <row r="644">
      <c r="C644" s="84"/>
      <c r="D644" s="84"/>
      <c r="E644" s="84"/>
      <c r="F644" s="84"/>
      <c r="G644" s="84"/>
    </row>
    <row r="645">
      <c r="C645" s="84"/>
      <c r="D645" s="84"/>
      <c r="E645" s="84"/>
      <c r="F645" s="84"/>
      <c r="G645" s="84"/>
    </row>
    <row r="646">
      <c r="C646" s="84"/>
      <c r="D646" s="84"/>
      <c r="E646" s="84"/>
      <c r="F646" s="84"/>
      <c r="G646" s="84"/>
    </row>
    <row r="647">
      <c r="C647" s="84"/>
      <c r="D647" s="84"/>
      <c r="E647" s="84"/>
      <c r="F647" s="84"/>
      <c r="G647" s="84"/>
    </row>
    <row r="648">
      <c r="C648" s="84"/>
      <c r="D648" s="84"/>
      <c r="E648" s="84"/>
      <c r="F648" s="84"/>
      <c r="G648" s="84"/>
    </row>
    <row r="649">
      <c r="C649" s="84"/>
      <c r="D649" s="84"/>
      <c r="E649" s="84"/>
      <c r="F649" s="84"/>
      <c r="G649" s="84"/>
    </row>
    <row r="650">
      <c r="C650" s="84"/>
      <c r="D650" s="84"/>
      <c r="E650" s="84"/>
      <c r="F650" s="84"/>
      <c r="G650" s="84"/>
    </row>
    <row r="651">
      <c r="C651" s="84"/>
      <c r="D651" s="84"/>
      <c r="E651" s="84"/>
      <c r="F651" s="84"/>
      <c r="G651" s="84"/>
    </row>
    <row r="652">
      <c r="C652" s="84"/>
      <c r="D652" s="84"/>
      <c r="E652" s="84"/>
      <c r="F652" s="84"/>
      <c r="G652" s="84"/>
    </row>
    <row r="653">
      <c r="C653" s="84"/>
      <c r="D653" s="84"/>
      <c r="E653" s="84"/>
      <c r="F653" s="84"/>
      <c r="G653" s="84"/>
    </row>
    <row r="654">
      <c r="C654" s="84"/>
      <c r="D654" s="84"/>
      <c r="E654" s="84"/>
      <c r="F654" s="84"/>
      <c r="G654" s="84"/>
    </row>
    <row r="655">
      <c r="C655" s="84"/>
      <c r="D655" s="84"/>
      <c r="E655" s="84"/>
      <c r="F655" s="84"/>
      <c r="G655" s="84"/>
    </row>
    <row r="656">
      <c r="C656" s="84"/>
      <c r="D656" s="84"/>
      <c r="E656" s="84"/>
      <c r="F656" s="84"/>
      <c r="G656" s="84"/>
    </row>
    <row r="657">
      <c r="C657" s="84"/>
      <c r="D657" s="84"/>
      <c r="E657" s="84"/>
      <c r="F657" s="84"/>
      <c r="G657" s="84"/>
    </row>
    <row r="658">
      <c r="C658" s="84"/>
      <c r="D658" s="84"/>
      <c r="E658" s="84"/>
      <c r="F658" s="84"/>
      <c r="G658" s="84"/>
    </row>
    <row r="659">
      <c r="C659" s="84"/>
      <c r="D659" s="84"/>
      <c r="E659" s="84"/>
      <c r="F659" s="84"/>
      <c r="G659" s="84"/>
    </row>
    <row r="660">
      <c r="C660" s="84"/>
      <c r="D660" s="84"/>
      <c r="E660" s="84"/>
      <c r="F660" s="84"/>
      <c r="G660" s="84"/>
    </row>
    <row r="661">
      <c r="C661" s="84"/>
      <c r="D661" s="84"/>
      <c r="E661" s="84"/>
      <c r="F661" s="84"/>
      <c r="G661" s="84"/>
    </row>
    <row r="662">
      <c r="C662" s="84"/>
      <c r="D662" s="84"/>
      <c r="E662" s="84"/>
      <c r="F662" s="84"/>
      <c r="G662" s="84"/>
    </row>
    <row r="663">
      <c r="C663" s="84"/>
      <c r="D663" s="84"/>
      <c r="E663" s="84"/>
      <c r="F663" s="84"/>
      <c r="G663" s="84"/>
    </row>
    <row r="664">
      <c r="C664" s="84"/>
      <c r="D664" s="84"/>
      <c r="E664" s="84"/>
      <c r="F664" s="84"/>
      <c r="G664" s="84"/>
    </row>
    <row r="665">
      <c r="C665" s="84"/>
      <c r="D665" s="84"/>
      <c r="E665" s="84"/>
      <c r="F665" s="84"/>
      <c r="G665" s="84"/>
    </row>
    <row r="666">
      <c r="C666" s="84"/>
      <c r="D666" s="84"/>
      <c r="E666" s="84"/>
      <c r="F666" s="84"/>
      <c r="G666" s="84"/>
    </row>
    <row r="667">
      <c r="C667" s="84"/>
      <c r="D667" s="84"/>
      <c r="E667" s="84"/>
      <c r="F667" s="84"/>
      <c r="G667" s="84"/>
    </row>
    <row r="668">
      <c r="C668" s="84"/>
      <c r="D668" s="84"/>
      <c r="E668" s="84"/>
      <c r="F668" s="84"/>
      <c r="G668" s="84"/>
    </row>
    <row r="669">
      <c r="C669" s="84"/>
      <c r="D669" s="84"/>
      <c r="E669" s="84"/>
      <c r="F669" s="84"/>
      <c r="G669" s="84"/>
    </row>
    <row r="670">
      <c r="C670" s="84"/>
      <c r="D670" s="84"/>
      <c r="E670" s="84"/>
      <c r="F670" s="84"/>
      <c r="G670" s="84"/>
    </row>
    <row r="671">
      <c r="C671" s="84"/>
      <c r="D671" s="84"/>
      <c r="E671" s="84"/>
      <c r="F671" s="84"/>
      <c r="G671" s="84"/>
    </row>
    <row r="672">
      <c r="C672" s="84"/>
      <c r="D672" s="84"/>
      <c r="E672" s="84"/>
      <c r="F672" s="84"/>
      <c r="G672" s="84"/>
    </row>
    <row r="673">
      <c r="C673" s="84"/>
      <c r="D673" s="84"/>
      <c r="E673" s="84"/>
      <c r="F673" s="84"/>
      <c r="G673" s="84"/>
    </row>
    <row r="674">
      <c r="C674" s="84"/>
      <c r="D674" s="84"/>
      <c r="E674" s="84"/>
      <c r="F674" s="84"/>
      <c r="G674" s="84"/>
    </row>
    <row r="675">
      <c r="C675" s="84"/>
      <c r="D675" s="84"/>
      <c r="E675" s="84"/>
      <c r="F675" s="84"/>
      <c r="G675" s="84"/>
    </row>
    <row r="676">
      <c r="C676" s="84"/>
      <c r="D676" s="84"/>
      <c r="E676" s="84"/>
      <c r="F676" s="84"/>
      <c r="G676" s="84"/>
    </row>
    <row r="677">
      <c r="C677" s="84"/>
      <c r="D677" s="84"/>
      <c r="E677" s="84"/>
      <c r="F677" s="84"/>
      <c r="G677" s="84"/>
    </row>
    <row r="678">
      <c r="C678" s="84"/>
      <c r="D678" s="84"/>
      <c r="E678" s="84"/>
      <c r="F678" s="84"/>
      <c r="G678" s="84"/>
    </row>
    <row r="679">
      <c r="C679" s="84"/>
      <c r="D679" s="84"/>
      <c r="E679" s="84"/>
      <c r="F679" s="84"/>
      <c r="G679" s="84"/>
    </row>
    <row r="680">
      <c r="C680" s="84"/>
      <c r="D680" s="84"/>
      <c r="E680" s="84"/>
      <c r="F680" s="84"/>
      <c r="G680" s="84"/>
    </row>
    <row r="681">
      <c r="C681" s="84"/>
      <c r="D681" s="84"/>
      <c r="E681" s="84"/>
      <c r="F681" s="84"/>
      <c r="G681" s="84"/>
    </row>
    <row r="682">
      <c r="C682" s="84"/>
      <c r="D682" s="84"/>
      <c r="E682" s="84"/>
      <c r="F682" s="84"/>
      <c r="G682" s="84"/>
    </row>
    <row r="683">
      <c r="C683" s="84"/>
      <c r="D683" s="84"/>
      <c r="E683" s="84"/>
      <c r="F683" s="84"/>
      <c r="G683" s="84"/>
    </row>
    <row r="684">
      <c r="C684" s="84"/>
      <c r="D684" s="84"/>
      <c r="E684" s="84"/>
      <c r="F684" s="84"/>
      <c r="G684" s="84"/>
    </row>
    <row r="685">
      <c r="C685" s="84"/>
      <c r="D685" s="84"/>
      <c r="E685" s="84"/>
      <c r="F685" s="84"/>
      <c r="G685" s="84"/>
    </row>
    <row r="686">
      <c r="C686" s="84"/>
      <c r="D686" s="84"/>
      <c r="E686" s="84"/>
      <c r="F686" s="84"/>
      <c r="G686" s="84"/>
    </row>
    <row r="687">
      <c r="C687" s="84"/>
      <c r="D687" s="84"/>
      <c r="E687" s="84"/>
      <c r="F687" s="84"/>
      <c r="G687" s="84"/>
    </row>
    <row r="688">
      <c r="C688" s="84"/>
      <c r="D688" s="84"/>
      <c r="E688" s="84"/>
      <c r="F688" s="84"/>
      <c r="G688" s="84"/>
    </row>
    <row r="689">
      <c r="C689" s="84"/>
      <c r="D689" s="84"/>
      <c r="E689" s="84"/>
      <c r="F689" s="84"/>
      <c r="G689" s="84"/>
    </row>
    <row r="690">
      <c r="C690" s="84"/>
      <c r="D690" s="84"/>
      <c r="E690" s="84"/>
      <c r="F690" s="84"/>
      <c r="G690" s="84"/>
    </row>
    <row r="691">
      <c r="C691" s="84"/>
      <c r="D691" s="84"/>
      <c r="E691" s="84"/>
      <c r="F691" s="84"/>
      <c r="G691" s="84"/>
    </row>
    <row r="692">
      <c r="C692" s="84"/>
      <c r="D692" s="84"/>
      <c r="E692" s="84"/>
      <c r="F692" s="84"/>
      <c r="G692" s="84"/>
    </row>
    <row r="693">
      <c r="C693" s="84"/>
      <c r="D693" s="84"/>
      <c r="E693" s="84"/>
      <c r="F693" s="84"/>
      <c r="G693" s="84"/>
    </row>
    <row r="694">
      <c r="C694" s="84"/>
      <c r="D694" s="84"/>
      <c r="E694" s="84"/>
      <c r="F694" s="84"/>
      <c r="G694" s="84"/>
    </row>
    <row r="695">
      <c r="C695" s="84"/>
      <c r="D695" s="84"/>
      <c r="E695" s="84"/>
      <c r="F695" s="84"/>
      <c r="G695" s="84"/>
    </row>
    <row r="696">
      <c r="C696" s="84"/>
      <c r="D696" s="84"/>
      <c r="E696" s="84"/>
      <c r="F696" s="84"/>
      <c r="G696" s="84"/>
    </row>
    <row r="697">
      <c r="C697" s="84"/>
      <c r="D697" s="84"/>
      <c r="E697" s="84"/>
      <c r="F697" s="84"/>
      <c r="G697" s="84"/>
    </row>
    <row r="698">
      <c r="C698" s="84"/>
      <c r="D698" s="84"/>
      <c r="E698" s="84"/>
      <c r="F698" s="84"/>
      <c r="G698" s="84"/>
    </row>
    <row r="699">
      <c r="C699" s="84"/>
      <c r="D699" s="84"/>
      <c r="E699" s="84"/>
      <c r="F699" s="84"/>
      <c r="G699" s="84"/>
    </row>
    <row r="700">
      <c r="C700" s="84"/>
      <c r="D700" s="84"/>
      <c r="E700" s="84"/>
      <c r="F700" s="84"/>
      <c r="G700" s="84"/>
    </row>
    <row r="701">
      <c r="C701" s="84"/>
      <c r="D701" s="84"/>
      <c r="E701" s="84"/>
      <c r="F701" s="84"/>
      <c r="G701" s="84"/>
    </row>
    <row r="702">
      <c r="C702" s="84"/>
      <c r="D702" s="84"/>
      <c r="E702" s="84"/>
      <c r="F702" s="84"/>
      <c r="G702" s="84"/>
    </row>
    <row r="703">
      <c r="C703" s="84"/>
      <c r="D703" s="84"/>
      <c r="E703" s="84"/>
      <c r="F703" s="84"/>
      <c r="G703" s="84"/>
    </row>
    <row r="704">
      <c r="C704" s="84"/>
      <c r="D704" s="84"/>
      <c r="E704" s="84"/>
      <c r="F704" s="84"/>
      <c r="G704" s="84"/>
    </row>
    <row r="705">
      <c r="C705" s="84"/>
      <c r="D705" s="84"/>
      <c r="E705" s="84"/>
      <c r="F705" s="84"/>
      <c r="G705" s="84"/>
    </row>
    <row r="706">
      <c r="C706" s="84"/>
      <c r="D706" s="84"/>
      <c r="E706" s="84"/>
      <c r="F706" s="84"/>
      <c r="G706" s="84"/>
    </row>
    <row r="707">
      <c r="C707" s="84"/>
      <c r="D707" s="84"/>
      <c r="E707" s="84"/>
      <c r="F707" s="84"/>
      <c r="G707" s="84"/>
    </row>
    <row r="708">
      <c r="C708" s="84"/>
      <c r="D708" s="84"/>
      <c r="E708" s="84"/>
      <c r="F708" s="84"/>
      <c r="G708" s="84"/>
    </row>
    <row r="709">
      <c r="C709" s="84"/>
      <c r="D709" s="84"/>
      <c r="E709" s="84"/>
      <c r="F709" s="84"/>
      <c r="G709" s="84"/>
    </row>
    <row r="710">
      <c r="C710" s="84"/>
      <c r="D710" s="84"/>
      <c r="E710" s="84"/>
      <c r="F710" s="84"/>
      <c r="G710" s="84"/>
    </row>
    <row r="711">
      <c r="C711" s="84"/>
      <c r="D711" s="84"/>
      <c r="E711" s="84"/>
      <c r="F711" s="84"/>
      <c r="G711" s="84"/>
    </row>
    <row r="712">
      <c r="C712" s="84"/>
      <c r="D712" s="84"/>
      <c r="E712" s="84"/>
      <c r="F712" s="84"/>
      <c r="G712" s="84"/>
    </row>
    <row r="713">
      <c r="C713" s="84"/>
      <c r="D713" s="84"/>
      <c r="E713" s="84"/>
      <c r="F713" s="84"/>
      <c r="G713" s="84"/>
    </row>
    <row r="714">
      <c r="C714" s="84"/>
      <c r="D714" s="84"/>
      <c r="E714" s="84"/>
      <c r="F714" s="84"/>
      <c r="G714" s="84"/>
    </row>
    <row r="715">
      <c r="C715" s="84"/>
      <c r="D715" s="84"/>
      <c r="E715" s="84"/>
      <c r="F715" s="84"/>
      <c r="G715" s="84"/>
    </row>
    <row r="716">
      <c r="C716" s="84"/>
      <c r="D716" s="84"/>
      <c r="E716" s="84"/>
      <c r="F716" s="84"/>
      <c r="G716" s="84"/>
    </row>
    <row r="717">
      <c r="C717" s="84"/>
      <c r="D717" s="84"/>
      <c r="E717" s="84"/>
      <c r="F717" s="84"/>
      <c r="G717" s="84"/>
    </row>
    <row r="718">
      <c r="C718" s="84"/>
      <c r="D718" s="84"/>
      <c r="E718" s="84"/>
      <c r="F718" s="84"/>
      <c r="G718" s="84"/>
    </row>
    <row r="719">
      <c r="C719" s="84"/>
      <c r="D719" s="84"/>
      <c r="E719" s="84"/>
      <c r="F719" s="84"/>
      <c r="G719" s="84"/>
    </row>
    <row r="720">
      <c r="C720" s="84"/>
      <c r="D720" s="84"/>
      <c r="E720" s="84"/>
      <c r="F720" s="84"/>
      <c r="G720" s="84"/>
    </row>
    <row r="721">
      <c r="C721" s="84"/>
      <c r="D721" s="84"/>
      <c r="E721" s="84"/>
      <c r="F721" s="84"/>
      <c r="G721" s="84"/>
    </row>
    <row r="722">
      <c r="C722" s="84"/>
      <c r="D722" s="84"/>
      <c r="E722" s="84"/>
      <c r="F722" s="84"/>
      <c r="G722" s="84"/>
    </row>
    <row r="723">
      <c r="C723" s="84"/>
      <c r="D723" s="84"/>
      <c r="E723" s="84"/>
      <c r="F723" s="84"/>
      <c r="G723" s="84"/>
    </row>
    <row r="724">
      <c r="C724" s="84"/>
      <c r="D724" s="84"/>
      <c r="E724" s="84"/>
      <c r="F724" s="84"/>
      <c r="G724" s="84"/>
    </row>
    <row r="725">
      <c r="C725" s="84"/>
      <c r="D725" s="84"/>
      <c r="E725" s="84"/>
      <c r="F725" s="84"/>
      <c r="G725" s="84"/>
    </row>
    <row r="726">
      <c r="C726" s="84"/>
      <c r="D726" s="84"/>
      <c r="E726" s="84"/>
      <c r="F726" s="84"/>
      <c r="G726" s="84"/>
    </row>
    <row r="727">
      <c r="C727" s="84"/>
      <c r="D727" s="84"/>
      <c r="E727" s="84"/>
      <c r="F727" s="84"/>
      <c r="G727" s="84"/>
    </row>
    <row r="728">
      <c r="C728" s="84"/>
      <c r="D728" s="84"/>
      <c r="E728" s="84"/>
      <c r="F728" s="84"/>
      <c r="G728" s="84"/>
    </row>
    <row r="729">
      <c r="C729" s="84"/>
      <c r="D729" s="84"/>
      <c r="E729" s="84"/>
      <c r="F729" s="84"/>
      <c r="G729" s="84"/>
    </row>
    <row r="730">
      <c r="C730" s="84"/>
      <c r="D730" s="84"/>
      <c r="E730" s="84"/>
      <c r="F730" s="84"/>
      <c r="G730" s="84"/>
    </row>
    <row r="731">
      <c r="C731" s="84"/>
      <c r="D731" s="84"/>
      <c r="E731" s="84"/>
      <c r="F731" s="84"/>
      <c r="G731" s="84"/>
    </row>
    <row r="732">
      <c r="C732" s="84"/>
      <c r="D732" s="84"/>
      <c r="E732" s="84"/>
      <c r="F732" s="84"/>
      <c r="G732" s="84"/>
    </row>
    <row r="733">
      <c r="C733" s="84"/>
      <c r="D733" s="84"/>
      <c r="E733" s="84"/>
      <c r="F733" s="84"/>
      <c r="G733" s="84"/>
    </row>
    <row r="734">
      <c r="C734" s="84"/>
      <c r="D734" s="84"/>
      <c r="E734" s="84"/>
      <c r="F734" s="84"/>
      <c r="G734" s="84"/>
    </row>
    <row r="735">
      <c r="C735" s="84"/>
      <c r="D735" s="84"/>
      <c r="E735" s="84"/>
      <c r="F735" s="84"/>
      <c r="G735" s="84"/>
    </row>
    <row r="736">
      <c r="C736" s="84"/>
      <c r="D736" s="84"/>
      <c r="E736" s="84"/>
      <c r="F736" s="84"/>
      <c r="G736" s="84"/>
    </row>
    <row r="737">
      <c r="C737" s="84"/>
      <c r="D737" s="84"/>
      <c r="E737" s="84"/>
      <c r="F737" s="84"/>
      <c r="G737" s="84"/>
    </row>
    <row r="738">
      <c r="C738" s="84"/>
      <c r="D738" s="84"/>
      <c r="E738" s="84"/>
      <c r="F738" s="84"/>
      <c r="G738" s="84"/>
    </row>
    <row r="739">
      <c r="C739" s="84"/>
      <c r="D739" s="84"/>
      <c r="E739" s="84"/>
      <c r="F739" s="84"/>
      <c r="G739" s="84"/>
    </row>
    <row r="740">
      <c r="C740" s="84"/>
      <c r="D740" s="84"/>
      <c r="E740" s="84"/>
      <c r="F740" s="84"/>
      <c r="G740" s="84"/>
    </row>
    <row r="741">
      <c r="C741" s="84"/>
      <c r="D741" s="84"/>
      <c r="E741" s="84"/>
      <c r="F741" s="84"/>
      <c r="G741" s="84"/>
    </row>
    <row r="742">
      <c r="C742" s="84"/>
      <c r="D742" s="84"/>
      <c r="E742" s="84"/>
      <c r="F742" s="84"/>
      <c r="G742" s="84"/>
    </row>
    <row r="743">
      <c r="C743" s="84"/>
      <c r="D743" s="84"/>
      <c r="E743" s="84"/>
      <c r="F743" s="84"/>
      <c r="G743" s="84"/>
    </row>
    <row r="744">
      <c r="C744" s="84"/>
      <c r="D744" s="84"/>
      <c r="E744" s="84"/>
      <c r="F744" s="84"/>
      <c r="G744" s="84"/>
    </row>
    <row r="745">
      <c r="C745" s="84"/>
      <c r="D745" s="84"/>
      <c r="E745" s="84"/>
      <c r="F745" s="84"/>
      <c r="G745" s="84"/>
    </row>
    <row r="746">
      <c r="C746" s="84"/>
      <c r="D746" s="84"/>
      <c r="E746" s="84"/>
      <c r="F746" s="84"/>
      <c r="G746" s="84"/>
    </row>
    <row r="747">
      <c r="C747" s="84"/>
      <c r="D747" s="84"/>
      <c r="E747" s="84"/>
      <c r="F747" s="84"/>
      <c r="G747" s="84"/>
    </row>
    <row r="748">
      <c r="C748" s="84"/>
      <c r="D748" s="84"/>
      <c r="E748" s="84"/>
      <c r="F748" s="84"/>
      <c r="G748" s="84"/>
    </row>
    <row r="749">
      <c r="C749" s="84"/>
      <c r="D749" s="84"/>
      <c r="E749" s="84"/>
      <c r="F749" s="84"/>
      <c r="G749" s="84"/>
    </row>
    <row r="750">
      <c r="C750" s="84"/>
      <c r="D750" s="84"/>
      <c r="E750" s="84"/>
      <c r="F750" s="84"/>
      <c r="G750" s="84"/>
    </row>
    <row r="751">
      <c r="C751" s="84"/>
      <c r="D751" s="84"/>
      <c r="E751" s="84"/>
      <c r="F751" s="84"/>
      <c r="G751" s="84"/>
    </row>
    <row r="752">
      <c r="C752" s="84"/>
      <c r="D752" s="84"/>
      <c r="E752" s="84"/>
      <c r="F752" s="84"/>
      <c r="G752" s="84"/>
    </row>
    <row r="753">
      <c r="C753" s="84"/>
      <c r="D753" s="84"/>
      <c r="E753" s="84"/>
      <c r="F753" s="84"/>
      <c r="G753" s="84"/>
    </row>
    <row r="754">
      <c r="C754" s="84"/>
      <c r="D754" s="84"/>
      <c r="E754" s="84"/>
      <c r="F754" s="84"/>
      <c r="G754" s="84"/>
    </row>
    <row r="755">
      <c r="C755" s="84"/>
      <c r="D755" s="84"/>
      <c r="E755" s="84"/>
      <c r="F755" s="84"/>
      <c r="G755" s="84"/>
    </row>
    <row r="756">
      <c r="C756" s="84"/>
      <c r="D756" s="84"/>
      <c r="E756" s="84"/>
      <c r="F756" s="84"/>
      <c r="G756" s="84"/>
    </row>
    <row r="757">
      <c r="C757" s="84"/>
      <c r="D757" s="84"/>
      <c r="E757" s="84"/>
      <c r="F757" s="84"/>
      <c r="G757" s="84"/>
    </row>
    <row r="758">
      <c r="C758" s="84"/>
      <c r="D758" s="84"/>
      <c r="E758" s="84"/>
      <c r="F758" s="84"/>
      <c r="G758" s="84"/>
    </row>
    <row r="759">
      <c r="C759" s="84"/>
      <c r="D759" s="84"/>
      <c r="E759" s="84"/>
      <c r="F759" s="84"/>
      <c r="G759" s="84"/>
    </row>
    <row r="760">
      <c r="C760" s="84"/>
      <c r="D760" s="84"/>
      <c r="E760" s="84"/>
      <c r="F760" s="84"/>
      <c r="G760" s="84"/>
    </row>
    <row r="761">
      <c r="C761" s="84"/>
      <c r="D761" s="84"/>
      <c r="E761" s="84"/>
      <c r="F761" s="84"/>
      <c r="G761" s="84"/>
    </row>
    <row r="762">
      <c r="C762" s="84"/>
      <c r="D762" s="84"/>
      <c r="E762" s="84"/>
      <c r="F762" s="84"/>
      <c r="G762" s="84"/>
    </row>
    <row r="763">
      <c r="C763" s="84"/>
      <c r="D763" s="84"/>
      <c r="E763" s="84"/>
      <c r="F763" s="84"/>
      <c r="G763" s="84"/>
    </row>
    <row r="764">
      <c r="C764" s="84"/>
      <c r="D764" s="84"/>
      <c r="E764" s="84"/>
      <c r="F764" s="84"/>
      <c r="G764" s="84"/>
    </row>
    <row r="765">
      <c r="C765" s="84"/>
      <c r="D765" s="84"/>
      <c r="E765" s="84"/>
      <c r="F765" s="84"/>
      <c r="G765" s="84"/>
    </row>
    <row r="766">
      <c r="C766" s="84"/>
      <c r="D766" s="84"/>
      <c r="E766" s="84"/>
      <c r="F766" s="84"/>
      <c r="G766" s="84"/>
    </row>
    <row r="767">
      <c r="C767" s="84"/>
      <c r="D767" s="84"/>
      <c r="E767" s="84"/>
      <c r="F767" s="84"/>
      <c r="G767" s="84"/>
    </row>
    <row r="768">
      <c r="C768" s="84"/>
      <c r="D768" s="84"/>
      <c r="E768" s="84"/>
      <c r="F768" s="84"/>
      <c r="G768" s="84"/>
    </row>
    <row r="769">
      <c r="C769" s="84"/>
      <c r="D769" s="84"/>
      <c r="E769" s="84"/>
      <c r="F769" s="84"/>
      <c r="G769" s="84"/>
    </row>
    <row r="770">
      <c r="C770" s="84"/>
      <c r="D770" s="84"/>
      <c r="E770" s="84"/>
      <c r="F770" s="84"/>
      <c r="G770" s="84"/>
    </row>
    <row r="771">
      <c r="C771" s="84"/>
      <c r="D771" s="84"/>
      <c r="E771" s="84"/>
      <c r="F771" s="84"/>
      <c r="G771" s="84"/>
    </row>
    <row r="772">
      <c r="C772" s="84"/>
      <c r="D772" s="84"/>
      <c r="E772" s="84"/>
      <c r="F772" s="84"/>
      <c r="G772" s="84"/>
    </row>
    <row r="773">
      <c r="C773" s="84"/>
      <c r="D773" s="84"/>
      <c r="E773" s="84"/>
      <c r="F773" s="84"/>
      <c r="G773" s="84"/>
    </row>
    <row r="774">
      <c r="C774" s="84"/>
      <c r="D774" s="84"/>
      <c r="E774" s="84"/>
      <c r="F774" s="84"/>
      <c r="G774" s="84"/>
    </row>
    <row r="775">
      <c r="C775" s="84"/>
      <c r="D775" s="84"/>
      <c r="E775" s="84"/>
      <c r="F775" s="84"/>
      <c r="G775" s="84"/>
    </row>
    <row r="776">
      <c r="C776" s="84"/>
      <c r="D776" s="84"/>
      <c r="E776" s="84"/>
      <c r="F776" s="84"/>
      <c r="G776" s="84"/>
    </row>
    <row r="777">
      <c r="C777" s="84"/>
      <c r="D777" s="84"/>
      <c r="E777" s="84"/>
      <c r="F777" s="84"/>
      <c r="G777" s="84"/>
    </row>
    <row r="778">
      <c r="C778" s="84"/>
      <c r="D778" s="84"/>
      <c r="E778" s="84"/>
      <c r="F778" s="84"/>
      <c r="G778" s="84"/>
    </row>
    <row r="779">
      <c r="C779" s="84"/>
      <c r="D779" s="84"/>
      <c r="E779" s="84"/>
      <c r="F779" s="84"/>
      <c r="G779" s="84"/>
    </row>
    <row r="780">
      <c r="C780" s="84"/>
      <c r="D780" s="84"/>
      <c r="E780" s="84"/>
      <c r="F780" s="84"/>
      <c r="G780" s="84"/>
    </row>
    <row r="781">
      <c r="C781" s="84"/>
      <c r="D781" s="84"/>
      <c r="E781" s="84"/>
      <c r="F781" s="84"/>
      <c r="G781" s="84"/>
    </row>
    <row r="782">
      <c r="C782" s="84"/>
      <c r="D782" s="84"/>
      <c r="E782" s="84"/>
      <c r="F782" s="84"/>
      <c r="G782" s="84"/>
    </row>
    <row r="783">
      <c r="C783" s="84"/>
      <c r="D783" s="84"/>
      <c r="E783" s="84"/>
      <c r="F783" s="84"/>
      <c r="G783" s="84"/>
    </row>
    <row r="784">
      <c r="C784" s="84"/>
      <c r="D784" s="84"/>
      <c r="E784" s="84"/>
      <c r="F784" s="84"/>
      <c r="G784" s="84"/>
    </row>
    <row r="785">
      <c r="C785" s="84"/>
      <c r="D785" s="84"/>
      <c r="E785" s="84"/>
      <c r="F785" s="84"/>
      <c r="G785" s="84"/>
    </row>
    <row r="786">
      <c r="C786" s="84"/>
      <c r="D786" s="84"/>
      <c r="E786" s="84"/>
      <c r="F786" s="84"/>
      <c r="G786" s="84"/>
    </row>
    <row r="787">
      <c r="C787" s="84"/>
      <c r="D787" s="84"/>
      <c r="E787" s="84"/>
      <c r="F787" s="84"/>
      <c r="G787" s="84"/>
    </row>
    <row r="788">
      <c r="C788" s="84"/>
      <c r="D788" s="84"/>
      <c r="E788" s="84"/>
      <c r="F788" s="84"/>
      <c r="G788" s="84"/>
    </row>
    <row r="789">
      <c r="C789" s="84"/>
      <c r="D789" s="84"/>
      <c r="E789" s="84"/>
      <c r="F789" s="84"/>
      <c r="G789" s="84"/>
    </row>
    <row r="790">
      <c r="C790" s="84"/>
      <c r="D790" s="84"/>
      <c r="E790" s="84"/>
      <c r="F790" s="84"/>
      <c r="G790" s="84"/>
    </row>
    <row r="791">
      <c r="C791" s="84"/>
      <c r="D791" s="84"/>
      <c r="E791" s="84"/>
      <c r="F791" s="84"/>
      <c r="G791" s="84"/>
    </row>
    <row r="792">
      <c r="C792" s="84"/>
      <c r="D792" s="84"/>
      <c r="E792" s="84"/>
      <c r="F792" s="84"/>
      <c r="G792" s="84"/>
    </row>
    <row r="793">
      <c r="C793" s="84"/>
      <c r="D793" s="84"/>
      <c r="E793" s="84"/>
      <c r="F793" s="84"/>
      <c r="G793" s="84"/>
    </row>
    <row r="794">
      <c r="C794" s="84"/>
      <c r="D794" s="84"/>
      <c r="E794" s="84"/>
      <c r="F794" s="84"/>
      <c r="G794" s="84"/>
    </row>
    <row r="795">
      <c r="C795" s="84"/>
      <c r="D795" s="84"/>
      <c r="E795" s="84"/>
      <c r="F795" s="84"/>
      <c r="G795" s="84"/>
    </row>
    <row r="796">
      <c r="C796" s="84"/>
      <c r="D796" s="84"/>
      <c r="E796" s="84"/>
      <c r="F796" s="84"/>
      <c r="G796" s="84"/>
    </row>
    <row r="797">
      <c r="C797" s="84"/>
      <c r="D797" s="84"/>
      <c r="E797" s="84"/>
      <c r="F797" s="84"/>
      <c r="G797" s="84"/>
    </row>
    <row r="798">
      <c r="C798" s="84"/>
      <c r="D798" s="84"/>
      <c r="E798" s="84"/>
      <c r="F798" s="84"/>
      <c r="G798" s="84"/>
    </row>
    <row r="799">
      <c r="C799" s="84"/>
      <c r="D799" s="84"/>
      <c r="E799" s="84"/>
      <c r="F799" s="84"/>
      <c r="G799" s="84"/>
    </row>
    <row r="800">
      <c r="C800" s="84"/>
      <c r="D800" s="84"/>
      <c r="E800" s="84"/>
      <c r="F800" s="84"/>
      <c r="G800" s="84"/>
    </row>
    <row r="801">
      <c r="C801" s="84"/>
      <c r="D801" s="84"/>
      <c r="E801" s="84"/>
      <c r="F801" s="84"/>
      <c r="G801" s="84"/>
    </row>
    <row r="802">
      <c r="C802" s="84"/>
      <c r="D802" s="84"/>
      <c r="E802" s="84"/>
      <c r="F802" s="84"/>
      <c r="G802" s="84"/>
    </row>
    <row r="803">
      <c r="C803" s="84"/>
      <c r="D803" s="84"/>
      <c r="E803" s="84"/>
      <c r="F803" s="84"/>
      <c r="G803" s="84"/>
    </row>
    <row r="804">
      <c r="C804" s="84"/>
      <c r="D804" s="84"/>
      <c r="E804" s="84"/>
      <c r="F804" s="84"/>
      <c r="G804" s="84"/>
    </row>
    <row r="805">
      <c r="C805" s="84"/>
      <c r="D805" s="84"/>
      <c r="E805" s="84"/>
      <c r="F805" s="84"/>
      <c r="G805" s="84"/>
    </row>
    <row r="806">
      <c r="C806" s="84"/>
      <c r="D806" s="84"/>
      <c r="E806" s="84"/>
      <c r="F806" s="84"/>
      <c r="G806" s="84"/>
    </row>
    <row r="807">
      <c r="C807" s="84"/>
      <c r="D807" s="84"/>
      <c r="E807" s="84"/>
      <c r="F807" s="84"/>
      <c r="G807" s="84"/>
    </row>
    <row r="808">
      <c r="C808" s="84"/>
      <c r="D808" s="84"/>
      <c r="E808" s="84"/>
      <c r="F808" s="84"/>
      <c r="G808" s="84"/>
    </row>
    <row r="809">
      <c r="C809" s="84"/>
      <c r="D809" s="84"/>
      <c r="E809" s="84"/>
      <c r="F809" s="84"/>
      <c r="G809" s="84"/>
    </row>
    <row r="810">
      <c r="C810" s="84"/>
      <c r="D810" s="84"/>
      <c r="E810" s="84"/>
      <c r="F810" s="84"/>
      <c r="G810" s="84"/>
    </row>
    <row r="811">
      <c r="C811" s="84"/>
      <c r="D811" s="84"/>
      <c r="E811" s="84"/>
      <c r="F811" s="84"/>
      <c r="G811" s="84"/>
    </row>
    <row r="812">
      <c r="C812" s="84"/>
      <c r="D812" s="84"/>
      <c r="E812" s="84"/>
      <c r="F812" s="84"/>
      <c r="G812" s="84"/>
    </row>
    <row r="813">
      <c r="C813" s="84"/>
      <c r="D813" s="84"/>
      <c r="E813" s="84"/>
      <c r="F813" s="84"/>
      <c r="G813" s="84"/>
    </row>
    <row r="814">
      <c r="C814" s="84"/>
      <c r="D814" s="84"/>
      <c r="E814" s="84"/>
      <c r="F814" s="84"/>
      <c r="G814" s="84"/>
    </row>
    <row r="815">
      <c r="C815" s="84"/>
      <c r="D815" s="84"/>
      <c r="E815" s="84"/>
      <c r="F815" s="84"/>
      <c r="G815" s="84"/>
    </row>
    <row r="816">
      <c r="C816" s="84"/>
      <c r="D816" s="84"/>
      <c r="E816" s="84"/>
      <c r="F816" s="84"/>
      <c r="G816" s="84"/>
    </row>
    <row r="817">
      <c r="C817" s="84"/>
      <c r="D817" s="84"/>
      <c r="E817" s="84"/>
      <c r="F817" s="84"/>
      <c r="G817" s="84"/>
    </row>
    <row r="818">
      <c r="C818" s="84"/>
      <c r="D818" s="84"/>
      <c r="E818" s="84"/>
      <c r="F818" s="84"/>
      <c r="G818" s="84"/>
    </row>
    <row r="819">
      <c r="C819" s="84"/>
      <c r="D819" s="84"/>
      <c r="E819" s="84"/>
      <c r="F819" s="84"/>
      <c r="G819" s="84"/>
    </row>
    <row r="820">
      <c r="C820" s="84"/>
      <c r="D820" s="84"/>
      <c r="E820" s="84"/>
      <c r="F820" s="84"/>
      <c r="G820" s="84"/>
    </row>
    <row r="821">
      <c r="C821" s="84"/>
      <c r="D821" s="84"/>
      <c r="E821" s="84"/>
      <c r="F821" s="84"/>
      <c r="G821" s="84"/>
    </row>
    <row r="822">
      <c r="C822" s="84"/>
      <c r="D822" s="84"/>
      <c r="E822" s="84"/>
      <c r="F822" s="84"/>
      <c r="G822" s="84"/>
    </row>
    <row r="823">
      <c r="C823" s="84"/>
      <c r="D823" s="84"/>
      <c r="E823" s="84"/>
      <c r="F823" s="84"/>
      <c r="G823" s="84"/>
    </row>
    <row r="824">
      <c r="C824" s="84"/>
      <c r="D824" s="84"/>
      <c r="E824" s="84"/>
      <c r="F824" s="84"/>
      <c r="G824" s="84"/>
    </row>
    <row r="825">
      <c r="C825" s="84"/>
      <c r="D825" s="84"/>
      <c r="E825" s="84"/>
      <c r="F825" s="84"/>
      <c r="G825" s="84"/>
    </row>
    <row r="826">
      <c r="C826" s="84"/>
      <c r="D826" s="84"/>
      <c r="E826" s="84"/>
      <c r="F826" s="84"/>
      <c r="G826" s="84"/>
    </row>
    <row r="827">
      <c r="C827" s="84"/>
      <c r="D827" s="84"/>
      <c r="E827" s="84"/>
      <c r="F827" s="84"/>
      <c r="G827" s="84"/>
    </row>
    <row r="828">
      <c r="C828" s="84"/>
      <c r="D828" s="84"/>
      <c r="E828" s="84"/>
      <c r="F828" s="84"/>
      <c r="G828" s="84"/>
    </row>
    <row r="829">
      <c r="C829" s="84"/>
      <c r="D829" s="84"/>
      <c r="E829" s="84"/>
      <c r="F829" s="84"/>
      <c r="G829" s="84"/>
    </row>
    <row r="830">
      <c r="C830" s="84"/>
      <c r="D830" s="84"/>
      <c r="E830" s="84"/>
      <c r="F830" s="84"/>
      <c r="G830" s="84"/>
    </row>
    <row r="831">
      <c r="C831" s="84"/>
      <c r="D831" s="84"/>
      <c r="E831" s="84"/>
      <c r="F831" s="84"/>
      <c r="G831" s="84"/>
    </row>
    <row r="832">
      <c r="C832" s="84"/>
      <c r="D832" s="84"/>
      <c r="E832" s="84"/>
      <c r="F832" s="84"/>
      <c r="G832" s="84"/>
    </row>
    <row r="833">
      <c r="C833" s="84"/>
      <c r="D833" s="84"/>
      <c r="E833" s="84"/>
      <c r="F833" s="84"/>
      <c r="G833" s="84"/>
    </row>
    <row r="834">
      <c r="C834" s="84"/>
      <c r="D834" s="84"/>
      <c r="E834" s="84"/>
      <c r="F834" s="84"/>
      <c r="G834" s="84"/>
    </row>
    <row r="835">
      <c r="C835" s="84"/>
      <c r="D835" s="84"/>
      <c r="E835" s="84"/>
      <c r="F835" s="84"/>
      <c r="G835" s="84"/>
    </row>
    <row r="836">
      <c r="C836" s="84"/>
      <c r="D836" s="84"/>
      <c r="E836" s="84"/>
      <c r="F836" s="84"/>
      <c r="G836" s="84"/>
    </row>
    <row r="837">
      <c r="C837" s="84"/>
      <c r="D837" s="84"/>
      <c r="E837" s="84"/>
      <c r="F837" s="84"/>
      <c r="G837" s="84"/>
    </row>
    <row r="838">
      <c r="C838" s="84"/>
      <c r="D838" s="84"/>
      <c r="E838" s="84"/>
      <c r="F838" s="84"/>
      <c r="G838" s="84"/>
    </row>
    <row r="839">
      <c r="C839" s="84"/>
      <c r="D839" s="84"/>
      <c r="E839" s="84"/>
      <c r="F839" s="84"/>
      <c r="G839" s="84"/>
    </row>
    <row r="840">
      <c r="C840" s="84"/>
      <c r="D840" s="84"/>
      <c r="E840" s="84"/>
      <c r="F840" s="84"/>
      <c r="G840" s="84"/>
    </row>
    <row r="841">
      <c r="C841" s="84"/>
      <c r="D841" s="84"/>
      <c r="E841" s="84"/>
      <c r="F841" s="84"/>
      <c r="G841" s="84"/>
    </row>
    <row r="842">
      <c r="C842" s="84"/>
      <c r="D842" s="84"/>
      <c r="E842" s="84"/>
      <c r="F842" s="84"/>
      <c r="G842" s="84"/>
    </row>
    <row r="843">
      <c r="C843" s="84"/>
      <c r="D843" s="84"/>
      <c r="E843" s="84"/>
      <c r="F843" s="84"/>
      <c r="G843" s="84"/>
    </row>
    <row r="844">
      <c r="C844" s="84"/>
      <c r="D844" s="84"/>
      <c r="E844" s="84"/>
      <c r="F844" s="84"/>
      <c r="G844" s="84"/>
    </row>
    <row r="845">
      <c r="C845" s="84"/>
      <c r="D845" s="84"/>
      <c r="E845" s="84"/>
      <c r="F845" s="84"/>
      <c r="G845" s="84"/>
    </row>
    <row r="846">
      <c r="C846" s="84"/>
      <c r="D846" s="84"/>
      <c r="E846" s="84"/>
      <c r="F846" s="84"/>
      <c r="G846" s="84"/>
    </row>
    <row r="847">
      <c r="C847" s="84"/>
      <c r="D847" s="84"/>
      <c r="E847" s="84"/>
      <c r="F847" s="84"/>
      <c r="G847" s="84"/>
    </row>
    <row r="848">
      <c r="C848" s="84"/>
      <c r="D848" s="84"/>
      <c r="E848" s="84"/>
      <c r="F848" s="84"/>
      <c r="G848" s="84"/>
    </row>
    <row r="849">
      <c r="C849" s="84"/>
      <c r="D849" s="84"/>
      <c r="E849" s="84"/>
      <c r="F849" s="84"/>
      <c r="G849" s="84"/>
    </row>
    <row r="850">
      <c r="C850" s="84"/>
      <c r="D850" s="84"/>
      <c r="E850" s="84"/>
      <c r="F850" s="84"/>
      <c r="G850" s="84"/>
    </row>
    <row r="851">
      <c r="C851" s="84"/>
      <c r="D851" s="84"/>
      <c r="E851" s="84"/>
      <c r="F851" s="84"/>
      <c r="G851" s="84"/>
    </row>
    <row r="852">
      <c r="C852" s="84"/>
      <c r="D852" s="84"/>
      <c r="E852" s="84"/>
      <c r="F852" s="84"/>
      <c r="G852" s="84"/>
    </row>
    <row r="853">
      <c r="C853" s="84"/>
      <c r="D853" s="84"/>
      <c r="E853" s="84"/>
      <c r="F853" s="84"/>
      <c r="G853" s="84"/>
    </row>
    <row r="854">
      <c r="C854" s="84"/>
      <c r="D854" s="84"/>
      <c r="E854" s="84"/>
      <c r="F854" s="84"/>
      <c r="G854" s="84"/>
    </row>
    <row r="855">
      <c r="C855" s="84"/>
      <c r="D855" s="84"/>
      <c r="E855" s="84"/>
      <c r="F855" s="84"/>
      <c r="G855" s="84"/>
    </row>
    <row r="856">
      <c r="C856" s="84"/>
      <c r="D856" s="84"/>
      <c r="E856" s="84"/>
      <c r="F856" s="84"/>
      <c r="G856" s="84"/>
    </row>
    <row r="857">
      <c r="C857" s="84"/>
      <c r="D857" s="84"/>
      <c r="E857" s="84"/>
      <c r="F857" s="84"/>
      <c r="G857" s="84"/>
    </row>
    <row r="858">
      <c r="C858" s="84"/>
      <c r="D858" s="84"/>
      <c r="E858" s="84"/>
      <c r="F858" s="84"/>
      <c r="G858" s="84"/>
    </row>
    <row r="859">
      <c r="C859" s="84"/>
      <c r="D859" s="84"/>
      <c r="E859" s="84"/>
      <c r="F859" s="84"/>
      <c r="G859" s="84"/>
    </row>
    <row r="860">
      <c r="C860" s="84"/>
      <c r="D860" s="84"/>
      <c r="E860" s="84"/>
      <c r="F860" s="84"/>
      <c r="G860" s="84"/>
    </row>
    <row r="861">
      <c r="C861" s="84"/>
      <c r="D861" s="84"/>
      <c r="E861" s="84"/>
      <c r="F861" s="84"/>
      <c r="G861" s="84"/>
    </row>
    <row r="862">
      <c r="C862" s="84"/>
      <c r="D862" s="84"/>
      <c r="E862" s="84"/>
      <c r="F862" s="84"/>
      <c r="G862" s="84"/>
    </row>
    <row r="863">
      <c r="C863" s="84"/>
      <c r="D863" s="84"/>
      <c r="E863" s="84"/>
      <c r="F863" s="84"/>
      <c r="G863" s="84"/>
    </row>
    <row r="864">
      <c r="C864" s="84"/>
      <c r="D864" s="84"/>
      <c r="E864" s="84"/>
      <c r="F864" s="84"/>
      <c r="G864" s="84"/>
    </row>
    <row r="865">
      <c r="C865" s="84"/>
      <c r="D865" s="84"/>
      <c r="E865" s="84"/>
      <c r="F865" s="84"/>
      <c r="G865" s="84"/>
    </row>
    <row r="866">
      <c r="C866" s="84"/>
      <c r="D866" s="84"/>
      <c r="E866" s="84"/>
      <c r="F866" s="84"/>
      <c r="G866" s="84"/>
    </row>
    <row r="867">
      <c r="C867" s="84"/>
      <c r="D867" s="84"/>
      <c r="E867" s="84"/>
      <c r="F867" s="84"/>
      <c r="G867" s="84"/>
    </row>
    <row r="868">
      <c r="C868" s="84"/>
      <c r="D868" s="84"/>
      <c r="E868" s="84"/>
      <c r="F868" s="84"/>
      <c r="G868" s="84"/>
    </row>
    <row r="869">
      <c r="C869" s="84"/>
      <c r="D869" s="84"/>
      <c r="E869" s="84"/>
      <c r="F869" s="84"/>
      <c r="G869" s="84"/>
    </row>
    <row r="870">
      <c r="C870" s="84"/>
      <c r="D870" s="84"/>
      <c r="E870" s="84"/>
      <c r="F870" s="84"/>
      <c r="G870" s="84"/>
    </row>
    <row r="871">
      <c r="C871" s="84"/>
      <c r="D871" s="84"/>
      <c r="E871" s="84"/>
      <c r="F871" s="84"/>
      <c r="G871" s="84"/>
    </row>
    <row r="872">
      <c r="C872" s="84"/>
      <c r="D872" s="84"/>
      <c r="E872" s="84"/>
      <c r="F872" s="84"/>
      <c r="G872" s="84"/>
    </row>
    <row r="873">
      <c r="C873" s="84"/>
      <c r="D873" s="84"/>
      <c r="E873" s="84"/>
      <c r="F873" s="84"/>
      <c r="G873" s="84"/>
    </row>
    <row r="874">
      <c r="C874" s="84"/>
      <c r="D874" s="84"/>
      <c r="E874" s="84"/>
      <c r="F874" s="84"/>
      <c r="G874" s="84"/>
    </row>
    <row r="875">
      <c r="C875" s="84"/>
      <c r="D875" s="84"/>
      <c r="E875" s="84"/>
      <c r="F875" s="84"/>
      <c r="G875" s="84"/>
    </row>
    <row r="876">
      <c r="C876" s="84"/>
      <c r="D876" s="84"/>
      <c r="E876" s="84"/>
      <c r="F876" s="84"/>
      <c r="G876" s="84"/>
    </row>
    <row r="877">
      <c r="C877" s="84"/>
      <c r="D877" s="84"/>
      <c r="E877" s="84"/>
      <c r="F877" s="84"/>
      <c r="G877" s="84"/>
    </row>
    <row r="878">
      <c r="C878" s="84"/>
      <c r="D878" s="84"/>
      <c r="E878" s="84"/>
      <c r="F878" s="84"/>
      <c r="G878" s="84"/>
    </row>
    <row r="879">
      <c r="C879" s="84"/>
      <c r="D879" s="84"/>
      <c r="E879" s="84"/>
      <c r="F879" s="84"/>
      <c r="G879" s="84"/>
    </row>
    <row r="880">
      <c r="C880" s="84"/>
      <c r="D880" s="84"/>
      <c r="E880" s="84"/>
      <c r="F880" s="84"/>
      <c r="G880" s="84"/>
    </row>
    <row r="881">
      <c r="C881" s="84"/>
      <c r="D881" s="84"/>
      <c r="E881" s="84"/>
      <c r="F881" s="84"/>
      <c r="G881" s="84"/>
    </row>
    <row r="882">
      <c r="C882" s="84"/>
      <c r="D882" s="84"/>
      <c r="E882" s="84"/>
      <c r="F882" s="84"/>
      <c r="G882" s="84"/>
    </row>
    <row r="883">
      <c r="C883" s="84"/>
      <c r="D883" s="84"/>
      <c r="E883" s="84"/>
      <c r="F883" s="84"/>
      <c r="G883" s="84"/>
    </row>
    <row r="884">
      <c r="C884" s="84"/>
      <c r="D884" s="84"/>
      <c r="E884" s="84"/>
      <c r="F884" s="84"/>
      <c r="G884" s="84"/>
    </row>
    <row r="885">
      <c r="C885" s="84"/>
      <c r="D885" s="84"/>
      <c r="E885" s="84"/>
      <c r="F885" s="84"/>
      <c r="G885" s="84"/>
    </row>
    <row r="886">
      <c r="C886" s="84"/>
      <c r="D886" s="84"/>
      <c r="E886" s="84"/>
      <c r="F886" s="84"/>
      <c r="G886" s="84"/>
    </row>
    <row r="887">
      <c r="C887" s="84"/>
      <c r="D887" s="84"/>
      <c r="E887" s="84"/>
      <c r="F887" s="84"/>
      <c r="G887" s="84"/>
    </row>
    <row r="888">
      <c r="C888" s="84"/>
      <c r="D888" s="84"/>
      <c r="E888" s="84"/>
      <c r="F888" s="84"/>
      <c r="G888" s="84"/>
    </row>
    <row r="889">
      <c r="C889" s="84"/>
      <c r="D889" s="84"/>
      <c r="E889" s="84"/>
      <c r="F889" s="84"/>
      <c r="G889" s="84"/>
    </row>
    <row r="890">
      <c r="C890" s="84"/>
      <c r="D890" s="84"/>
      <c r="E890" s="84"/>
      <c r="F890" s="84"/>
      <c r="G890" s="84"/>
    </row>
    <row r="891">
      <c r="C891" s="84"/>
      <c r="D891" s="84"/>
      <c r="E891" s="84"/>
      <c r="F891" s="84"/>
      <c r="G891" s="84"/>
    </row>
    <row r="892">
      <c r="C892" s="84"/>
      <c r="D892" s="84"/>
      <c r="E892" s="84"/>
      <c r="F892" s="84"/>
      <c r="G892" s="84"/>
    </row>
    <row r="893">
      <c r="C893" s="84"/>
      <c r="D893" s="84"/>
      <c r="E893" s="84"/>
      <c r="F893" s="84"/>
      <c r="G893" s="84"/>
    </row>
    <row r="894">
      <c r="C894" s="84"/>
      <c r="D894" s="84"/>
      <c r="E894" s="84"/>
      <c r="F894" s="84"/>
      <c r="G894" s="84"/>
    </row>
    <row r="895">
      <c r="C895" s="84"/>
      <c r="D895" s="84"/>
      <c r="E895" s="84"/>
      <c r="F895" s="84"/>
      <c r="G895" s="84"/>
    </row>
    <row r="896">
      <c r="C896" s="84"/>
      <c r="D896" s="84"/>
      <c r="E896" s="84"/>
      <c r="F896" s="84"/>
      <c r="G896" s="84"/>
    </row>
    <row r="897">
      <c r="C897" s="84"/>
      <c r="D897" s="84"/>
      <c r="E897" s="84"/>
      <c r="F897" s="84"/>
      <c r="G897" s="84"/>
    </row>
    <row r="898">
      <c r="C898" s="84"/>
      <c r="D898" s="84"/>
      <c r="E898" s="84"/>
      <c r="F898" s="84"/>
      <c r="G898" s="84"/>
    </row>
    <row r="899">
      <c r="C899" s="84"/>
      <c r="D899" s="84"/>
      <c r="E899" s="84"/>
      <c r="F899" s="84"/>
      <c r="G899" s="84"/>
    </row>
    <row r="900">
      <c r="C900" s="84"/>
      <c r="D900" s="84"/>
      <c r="E900" s="84"/>
      <c r="F900" s="84"/>
      <c r="G900" s="84"/>
    </row>
    <row r="901">
      <c r="C901" s="84"/>
      <c r="D901" s="84"/>
      <c r="E901" s="84"/>
      <c r="F901" s="84"/>
      <c r="G901" s="84"/>
    </row>
    <row r="902">
      <c r="C902" s="84"/>
      <c r="D902" s="84"/>
      <c r="E902" s="84"/>
      <c r="F902" s="84"/>
      <c r="G902" s="84"/>
    </row>
    <row r="903">
      <c r="C903" s="84"/>
      <c r="D903" s="84"/>
      <c r="E903" s="84"/>
      <c r="F903" s="84"/>
      <c r="G903" s="84"/>
    </row>
    <row r="904">
      <c r="C904" s="84"/>
      <c r="D904" s="84"/>
      <c r="E904" s="84"/>
      <c r="F904" s="84"/>
      <c r="G904" s="84"/>
    </row>
    <row r="905">
      <c r="C905" s="84"/>
      <c r="D905" s="84"/>
      <c r="E905" s="84"/>
      <c r="F905" s="84"/>
      <c r="G905" s="84"/>
    </row>
    <row r="906">
      <c r="C906" s="84"/>
      <c r="D906" s="84"/>
      <c r="E906" s="84"/>
      <c r="F906" s="84"/>
      <c r="G906" s="84"/>
    </row>
    <row r="907">
      <c r="C907" s="84"/>
      <c r="D907" s="84"/>
      <c r="E907" s="84"/>
      <c r="F907" s="84"/>
      <c r="G907" s="84"/>
    </row>
    <row r="908">
      <c r="C908" s="84"/>
      <c r="D908" s="84"/>
      <c r="E908" s="84"/>
      <c r="F908" s="84"/>
      <c r="G908" s="84"/>
    </row>
    <row r="909">
      <c r="C909" s="84"/>
      <c r="D909" s="84"/>
      <c r="E909" s="84"/>
      <c r="F909" s="84"/>
      <c r="G909" s="84"/>
    </row>
    <row r="910">
      <c r="C910" s="84"/>
      <c r="D910" s="84"/>
      <c r="E910" s="84"/>
      <c r="F910" s="84"/>
      <c r="G910" s="84"/>
    </row>
    <row r="911">
      <c r="C911" s="84"/>
      <c r="D911" s="84"/>
      <c r="E911" s="84"/>
      <c r="F911" s="84"/>
      <c r="G911" s="84"/>
    </row>
    <row r="912">
      <c r="C912" s="84"/>
      <c r="D912" s="84"/>
      <c r="E912" s="84"/>
      <c r="F912" s="84"/>
      <c r="G912" s="84"/>
    </row>
    <row r="913">
      <c r="C913" s="84"/>
      <c r="D913" s="84"/>
      <c r="E913" s="84"/>
      <c r="F913" s="84"/>
      <c r="G913" s="84"/>
    </row>
    <row r="914">
      <c r="C914" s="84"/>
      <c r="D914" s="84"/>
      <c r="E914" s="84"/>
      <c r="F914" s="84"/>
      <c r="G914" s="84"/>
    </row>
    <row r="915">
      <c r="C915" s="84"/>
      <c r="D915" s="84"/>
      <c r="E915" s="84"/>
      <c r="F915" s="84"/>
      <c r="G915" s="84"/>
    </row>
    <row r="916">
      <c r="C916" s="84"/>
      <c r="D916" s="84"/>
      <c r="E916" s="84"/>
      <c r="F916" s="84"/>
      <c r="G916" s="84"/>
    </row>
    <row r="917">
      <c r="C917" s="84"/>
      <c r="D917" s="84"/>
      <c r="E917" s="84"/>
      <c r="F917" s="84"/>
      <c r="G917" s="84"/>
    </row>
    <row r="918">
      <c r="C918" s="84"/>
      <c r="D918" s="84"/>
      <c r="E918" s="84"/>
      <c r="F918" s="84"/>
      <c r="G918" s="84"/>
    </row>
    <row r="919">
      <c r="C919" s="84"/>
      <c r="D919" s="84"/>
      <c r="E919" s="84"/>
      <c r="F919" s="84"/>
      <c r="G919" s="84"/>
    </row>
    <row r="920">
      <c r="C920" s="84"/>
      <c r="D920" s="84"/>
      <c r="E920" s="84"/>
      <c r="F920" s="84"/>
      <c r="G920" s="84"/>
    </row>
    <row r="921">
      <c r="C921" s="84"/>
      <c r="D921" s="84"/>
      <c r="E921" s="84"/>
      <c r="F921" s="84"/>
      <c r="G921" s="84"/>
    </row>
    <row r="922">
      <c r="C922" s="84"/>
      <c r="D922" s="84"/>
      <c r="E922" s="84"/>
      <c r="F922" s="84"/>
      <c r="G922" s="84"/>
    </row>
    <row r="923">
      <c r="C923" s="84"/>
      <c r="D923" s="84"/>
      <c r="E923" s="84"/>
      <c r="F923" s="84"/>
      <c r="G923" s="84"/>
    </row>
    <row r="924">
      <c r="C924" s="84"/>
      <c r="D924" s="84"/>
      <c r="E924" s="84"/>
      <c r="F924" s="84"/>
      <c r="G924" s="84"/>
    </row>
    <row r="925">
      <c r="C925" s="84"/>
      <c r="D925" s="84"/>
      <c r="E925" s="84"/>
      <c r="F925" s="84"/>
      <c r="G925" s="84"/>
    </row>
    <row r="926">
      <c r="C926" s="84"/>
      <c r="D926" s="84"/>
      <c r="E926" s="84"/>
      <c r="F926" s="84"/>
      <c r="G926" s="84"/>
    </row>
    <row r="927">
      <c r="C927" s="84"/>
      <c r="D927" s="84"/>
      <c r="E927" s="84"/>
      <c r="F927" s="84"/>
      <c r="G927" s="84"/>
    </row>
    <row r="928">
      <c r="C928" s="84"/>
      <c r="D928" s="84"/>
      <c r="E928" s="84"/>
      <c r="F928" s="84"/>
      <c r="G928" s="84"/>
    </row>
    <row r="929">
      <c r="C929" s="84"/>
      <c r="D929" s="84"/>
      <c r="E929" s="84"/>
      <c r="F929" s="84"/>
      <c r="G929" s="84"/>
    </row>
    <row r="930">
      <c r="C930" s="84"/>
      <c r="D930" s="84"/>
      <c r="E930" s="84"/>
      <c r="F930" s="84"/>
      <c r="G930" s="84"/>
    </row>
    <row r="931">
      <c r="C931" s="84"/>
      <c r="D931" s="84"/>
      <c r="E931" s="84"/>
      <c r="F931" s="84"/>
      <c r="G931" s="84"/>
    </row>
    <row r="932">
      <c r="C932" s="84"/>
      <c r="D932" s="84"/>
      <c r="E932" s="84"/>
      <c r="F932" s="84"/>
      <c r="G932" s="84"/>
    </row>
    <row r="933">
      <c r="C933" s="84"/>
      <c r="D933" s="84"/>
      <c r="E933" s="84"/>
      <c r="F933" s="84"/>
      <c r="G933" s="84"/>
    </row>
    <row r="934">
      <c r="C934" s="84"/>
      <c r="D934" s="84"/>
      <c r="E934" s="84"/>
      <c r="F934" s="84"/>
      <c r="G934" s="84"/>
    </row>
    <row r="935">
      <c r="C935" s="84"/>
      <c r="D935" s="84"/>
      <c r="E935" s="84"/>
      <c r="F935" s="84"/>
      <c r="G935" s="84"/>
    </row>
    <row r="936">
      <c r="C936" s="84"/>
      <c r="D936" s="84"/>
      <c r="E936" s="84"/>
      <c r="F936" s="84"/>
      <c r="G936" s="84"/>
    </row>
    <row r="937">
      <c r="C937" s="84"/>
      <c r="D937" s="84"/>
      <c r="E937" s="84"/>
      <c r="F937" s="84"/>
      <c r="G937" s="84"/>
    </row>
    <row r="938">
      <c r="C938" s="84"/>
      <c r="D938" s="84"/>
      <c r="E938" s="84"/>
      <c r="F938" s="84"/>
      <c r="G938" s="84"/>
    </row>
    <row r="939">
      <c r="C939" s="84"/>
      <c r="D939" s="84"/>
      <c r="E939" s="84"/>
      <c r="F939" s="84"/>
      <c r="G939" s="84"/>
    </row>
    <row r="940">
      <c r="C940" s="84"/>
      <c r="D940" s="84"/>
      <c r="E940" s="84"/>
      <c r="F940" s="84"/>
      <c r="G940" s="84"/>
    </row>
    <row r="941">
      <c r="C941" s="84"/>
      <c r="D941" s="84"/>
      <c r="E941" s="84"/>
      <c r="F941" s="84"/>
      <c r="G941" s="84"/>
    </row>
    <row r="942">
      <c r="C942" s="84"/>
      <c r="D942" s="84"/>
      <c r="E942" s="84"/>
      <c r="F942" s="84"/>
      <c r="G942" s="84"/>
    </row>
    <row r="943">
      <c r="C943" s="84"/>
      <c r="D943" s="84"/>
      <c r="E943" s="84"/>
      <c r="F943" s="84"/>
      <c r="G943" s="84"/>
    </row>
    <row r="944">
      <c r="C944" s="84"/>
      <c r="D944" s="84"/>
      <c r="E944" s="84"/>
      <c r="F944" s="84"/>
      <c r="G944" s="84"/>
    </row>
    <row r="945">
      <c r="C945" s="84"/>
      <c r="D945" s="84"/>
      <c r="E945" s="84"/>
      <c r="F945" s="84"/>
      <c r="G945" s="84"/>
    </row>
    <row r="946">
      <c r="C946" s="84"/>
      <c r="D946" s="84"/>
      <c r="E946" s="84"/>
      <c r="F946" s="84"/>
      <c r="G946" s="84"/>
    </row>
    <row r="947">
      <c r="C947" s="84"/>
      <c r="D947" s="84"/>
      <c r="E947" s="84"/>
      <c r="F947" s="84"/>
      <c r="G947" s="84"/>
    </row>
    <row r="948">
      <c r="C948" s="84"/>
      <c r="D948" s="84"/>
      <c r="E948" s="84"/>
      <c r="F948" s="84"/>
      <c r="G948" s="84"/>
    </row>
    <row r="949">
      <c r="C949" s="84"/>
      <c r="D949" s="84"/>
      <c r="E949" s="84"/>
      <c r="F949" s="84"/>
      <c r="G949" s="84"/>
    </row>
    <row r="950">
      <c r="C950" s="84"/>
      <c r="D950" s="84"/>
      <c r="E950" s="84"/>
      <c r="F950" s="84"/>
      <c r="G950" s="84"/>
    </row>
    <row r="951">
      <c r="C951" s="84"/>
      <c r="D951" s="84"/>
      <c r="E951" s="84"/>
      <c r="F951" s="84"/>
      <c r="G951" s="84"/>
    </row>
    <row r="952">
      <c r="C952" s="84"/>
      <c r="D952" s="84"/>
      <c r="E952" s="84"/>
      <c r="F952" s="84"/>
      <c r="G952" s="84"/>
    </row>
    <row r="953">
      <c r="C953" s="84"/>
      <c r="D953" s="84"/>
      <c r="E953" s="84"/>
      <c r="F953" s="84"/>
      <c r="G953" s="84"/>
    </row>
    <row r="954">
      <c r="C954" s="84"/>
      <c r="D954" s="84"/>
      <c r="E954" s="84"/>
      <c r="F954" s="84"/>
      <c r="G954" s="84"/>
    </row>
    <row r="955">
      <c r="C955" s="84"/>
      <c r="D955" s="84"/>
      <c r="E955" s="84"/>
      <c r="F955" s="84"/>
      <c r="G955" s="84"/>
    </row>
    <row r="956">
      <c r="C956" s="84"/>
      <c r="D956" s="84"/>
      <c r="E956" s="84"/>
      <c r="F956" s="84"/>
      <c r="G956" s="84"/>
    </row>
    <row r="957">
      <c r="C957" s="84"/>
      <c r="D957" s="84"/>
      <c r="E957" s="84"/>
      <c r="F957" s="84"/>
      <c r="G957" s="84"/>
    </row>
    <row r="958">
      <c r="C958" s="84"/>
      <c r="D958" s="84"/>
      <c r="E958" s="84"/>
      <c r="F958" s="84"/>
      <c r="G958" s="84"/>
    </row>
    <row r="959">
      <c r="C959" s="84"/>
      <c r="D959" s="84"/>
      <c r="E959" s="84"/>
      <c r="F959" s="84"/>
      <c r="G959" s="84"/>
    </row>
    <row r="960">
      <c r="C960" s="84"/>
      <c r="D960" s="84"/>
      <c r="E960" s="84"/>
      <c r="F960" s="84"/>
      <c r="G960" s="84"/>
    </row>
    <row r="961">
      <c r="C961" s="84"/>
      <c r="D961" s="84"/>
      <c r="E961" s="84"/>
      <c r="F961" s="84"/>
      <c r="G961" s="84"/>
    </row>
    <row r="962">
      <c r="C962" s="84"/>
      <c r="D962" s="84"/>
      <c r="E962" s="84"/>
      <c r="F962" s="84"/>
      <c r="G962" s="84"/>
    </row>
    <row r="963">
      <c r="C963" s="84"/>
      <c r="D963" s="84"/>
      <c r="E963" s="84"/>
      <c r="F963" s="84"/>
      <c r="G963" s="84"/>
    </row>
    <row r="964">
      <c r="C964" s="84"/>
      <c r="D964" s="84"/>
      <c r="E964" s="84"/>
      <c r="F964" s="84"/>
      <c r="G964" s="84"/>
    </row>
    <row r="965">
      <c r="C965" s="84"/>
      <c r="D965" s="84"/>
      <c r="E965" s="84"/>
      <c r="F965" s="84"/>
      <c r="G965" s="84"/>
    </row>
    <row r="966">
      <c r="C966" s="84"/>
      <c r="D966" s="84"/>
      <c r="E966" s="84"/>
      <c r="F966" s="84"/>
      <c r="G966" s="84"/>
    </row>
    <row r="967">
      <c r="C967" s="84"/>
      <c r="D967" s="84"/>
      <c r="E967" s="84"/>
      <c r="F967" s="84"/>
      <c r="G967" s="84"/>
    </row>
    <row r="968">
      <c r="C968" s="84"/>
      <c r="D968" s="84"/>
      <c r="E968" s="84"/>
      <c r="F968" s="84"/>
      <c r="G968" s="84"/>
    </row>
    <row r="969">
      <c r="C969" s="84"/>
      <c r="D969" s="84"/>
      <c r="E969" s="84"/>
      <c r="F969" s="84"/>
      <c r="G969" s="84"/>
    </row>
    <row r="970">
      <c r="C970" s="84"/>
      <c r="D970" s="84"/>
      <c r="E970" s="84"/>
      <c r="F970" s="84"/>
      <c r="G970" s="84"/>
    </row>
    <row r="971">
      <c r="C971" s="84"/>
      <c r="D971" s="84"/>
      <c r="E971" s="84"/>
      <c r="F971" s="84"/>
      <c r="G971" s="84"/>
    </row>
    <row r="972">
      <c r="C972" s="84"/>
      <c r="D972" s="84"/>
      <c r="E972" s="84"/>
      <c r="F972" s="84"/>
      <c r="G972" s="84"/>
    </row>
    <row r="973">
      <c r="C973" s="84"/>
      <c r="D973" s="84"/>
      <c r="E973" s="84"/>
      <c r="F973" s="84"/>
      <c r="G973" s="84"/>
    </row>
    <row r="974">
      <c r="C974" s="84"/>
      <c r="D974" s="84"/>
      <c r="E974" s="84"/>
      <c r="F974" s="84"/>
      <c r="G974" s="84"/>
    </row>
    <row r="975">
      <c r="C975" s="84"/>
      <c r="D975" s="84"/>
      <c r="E975" s="84"/>
      <c r="F975" s="84"/>
      <c r="G975" s="84"/>
    </row>
    <row r="976">
      <c r="C976" s="84"/>
      <c r="D976" s="84"/>
      <c r="E976" s="84"/>
      <c r="F976" s="84"/>
      <c r="G976" s="84"/>
    </row>
    <row r="977">
      <c r="C977" s="84"/>
      <c r="D977" s="84"/>
      <c r="E977" s="84"/>
      <c r="F977" s="84"/>
      <c r="G977" s="84"/>
    </row>
    <row r="978">
      <c r="C978" s="84"/>
      <c r="D978" s="84"/>
      <c r="E978" s="84"/>
      <c r="F978" s="84"/>
      <c r="G978" s="84"/>
    </row>
    <row r="979">
      <c r="C979" s="84"/>
      <c r="D979" s="84"/>
      <c r="E979" s="84"/>
      <c r="F979" s="84"/>
      <c r="G979" s="84"/>
    </row>
    <row r="980">
      <c r="C980" s="84"/>
      <c r="D980" s="84"/>
      <c r="E980" s="84"/>
      <c r="F980" s="84"/>
      <c r="G980" s="84"/>
    </row>
    <row r="981">
      <c r="C981" s="84"/>
      <c r="D981" s="84"/>
      <c r="E981" s="84"/>
      <c r="F981" s="84"/>
      <c r="G981" s="84"/>
    </row>
    <row r="982">
      <c r="C982" s="84"/>
      <c r="D982" s="84"/>
      <c r="E982" s="84"/>
      <c r="F982" s="84"/>
      <c r="G982" s="84"/>
    </row>
    <row r="983">
      <c r="C983" s="84"/>
      <c r="D983" s="84"/>
      <c r="E983" s="84"/>
      <c r="F983" s="84"/>
      <c r="G983" s="84"/>
    </row>
    <row r="984">
      <c r="C984" s="84"/>
      <c r="D984" s="84"/>
      <c r="E984" s="84"/>
      <c r="F984" s="84"/>
      <c r="G984" s="84"/>
    </row>
    <row r="985">
      <c r="C985" s="84"/>
      <c r="D985" s="84"/>
      <c r="E985" s="84"/>
      <c r="F985" s="84"/>
      <c r="G985" s="84"/>
    </row>
    <row r="986">
      <c r="C986" s="84"/>
      <c r="D986" s="84"/>
      <c r="E986" s="84"/>
      <c r="F986" s="84"/>
      <c r="G986" s="84"/>
    </row>
    <row r="987">
      <c r="C987" s="84"/>
      <c r="D987" s="84"/>
      <c r="E987" s="84"/>
      <c r="F987" s="84"/>
      <c r="G987" s="84"/>
    </row>
    <row r="988">
      <c r="C988" s="84"/>
      <c r="D988" s="84"/>
      <c r="E988" s="84"/>
      <c r="F988" s="84"/>
      <c r="G988" s="84"/>
    </row>
    <row r="989">
      <c r="C989" s="84"/>
      <c r="D989" s="84"/>
      <c r="E989" s="84"/>
      <c r="F989" s="84"/>
      <c r="G989" s="84"/>
    </row>
    <row r="990">
      <c r="C990" s="84"/>
      <c r="D990" s="84"/>
      <c r="E990" s="84"/>
      <c r="F990" s="84"/>
      <c r="G990" s="84"/>
    </row>
    <row r="991">
      <c r="C991" s="84"/>
      <c r="D991" s="84"/>
      <c r="E991" s="84"/>
      <c r="F991" s="84"/>
      <c r="G991" s="84"/>
    </row>
    <row r="992">
      <c r="C992" s="84"/>
      <c r="D992" s="84"/>
      <c r="E992" s="84"/>
      <c r="F992" s="84"/>
      <c r="G992" s="84"/>
    </row>
    <row r="993">
      <c r="C993" s="84"/>
      <c r="D993" s="84"/>
      <c r="E993" s="84"/>
      <c r="F993" s="84"/>
      <c r="G993" s="84"/>
    </row>
    <row r="994">
      <c r="C994" s="84"/>
      <c r="D994" s="84"/>
      <c r="E994" s="84"/>
      <c r="F994" s="84"/>
      <c r="G994" s="84"/>
    </row>
    <row r="995">
      <c r="C995" s="84"/>
      <c r="D995" s="84"/>
      <c r="E995" s="84"/>
      <c r="F995" s="84"/>
      <c r="G995" s="84"/>
    </row>
    <row r="996">
      <c r="C996" s="84"/>
      <c r="D996" s="84"/>
      <c r="E996" s="84"/>
      <c r="F996" s="84"/>
      <c r="G996" s="84"/>
    </row>
    <row r="997">
      <c r="C997" s="84"/>
      <c r="D997" s="84"/>
      <c r="E997" s="84"/>
      <c r="F997" s="84"/>
      <c r="G997" s="84"/>
    </row>
    <row r="998">
      <c r="C998" s="84"/>
      <c r="D998" s="84"/>
      <c r="E998" s="84"/>
      <c r="F998" s="84"/>
      <c r="G998" s="84"/>
    </row>
    <row r="999">
      <c r="C999" s="84"/>
      <c r="D999" s="84"/>
      <c r="E999" s="84"/>
      <c r="F999" s="84"/>
      <c r="G999" s="84"/>
    </row>
    <row r="1000">
      <c r="C1000" s="84"/>
      <c r="D1000" s="84"/>
      <c r="E1000" s="84"/>
      <c r="F1000" s="84"/>
      <c r="G1000" s="84"/>
    </row>
    <row r="1001">
      <c r="C1001" s="84"/>
      <c r="D1001" s="84"/>
      <c r="E1001" s="84"/>
      <c r="F1001" s="84"/>
      <c r="G1001" s="8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45.63"/>
    <col customWidth="1" min="3" max="3" width="29.25"/>
    <col customWidth="1" min="4" max="4" width="21.38"/>
    <col customWidth="1" min="5" max="5" width="11.0"/>
  </cols>
  <sheetData>
    <row r="1">
      <c r="A1" s="85" t="s">
        <v>22</v>
      </c>
      <c r="B1" s="85" t="s">
        <v>23</v>
      </c>
      <c r="C1" s="85" t="s">
        <v>24</v>
      </c>
      <c r="D1" s="85" t="s">
        <v>25</v>
      </c>
      <c r="E1" s="86" t="s">
        <v>26</v>
      </c>
    </row>
    <row r="2">
      <c r="A2" s="14" t="str">
        <f>$E$1&amp;""&amp;TEXTVALUE!H2</f>
        <v>+6282330812041</v>
      </c>
      <c r="B2" s="14" t="str">
        <f>TEXTVALUE!B2</f>
        <v>AL IMROTUL KUSNIA</v>
      </c>
      <c r="C2" s="14" t="str">
        <f>TEXTVALUE!$E$1&amp;" : "&amp;TEXTVALUE!E2&amp;"
"&amp;TEXTVALUE!$G$1&amp;" : "&amp;TEXTVALUE!G2</f>
        <v>KAMAR : E-2
MADRASIAH : 3 ULA C PUTRI</v>
      </c>
      <c r="D2" s="14" t="str">
        <f>TEXTVALUE!Q2</f>
        <v>Syahriyah = Rp 2.000.000
Jariyah = Rp 0
Daftar Ulang = Rp 0
Total = Rp 2.000.000
______________________
ID : 2024070483</v>
      </c>
      <c r="E2" s="14" t="str">
        <f>TEXTVALUE!P2</f>
        <v>Rp 2.000.000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tr">
        <f>$E$1&amp;""&amp;TEXTVALUE!H3</f>
        <v>+6281311516716</v>
      </c>
      <c r="B3" s="14" t="str">
        <f>TEXTVALUE!B3</f>
        <v>ANUGRAH RAFIKHA DEWANI</v>
      </c>
      <c r="C3" s="14" t="str">
        <f>TEXTVALUE!$E$1&amp;" : "&amp;TEXTVALUE!E3&amp;"
"&amp;TEXTVALUE!$G$1&amp;" : "&amp;TEXTVALUE!G3</f>
        <v>KAMAR : E-2
MADRASIAH : 3 ULA C PUTRI</v>
      </c>
      <c r="D3" s="14" t="str">
        <f>TEXTVALUE!Q3</f>
        <v>Syahriyah = Rp 1.000.000
Jariyah = Rp 500.000
Daftar Ulang = Rp 0
Total = Rp 1.500.000
______________________
ID : 2024070618</v>
      </c>
      <c r="E3" s="14" t="str">
        <f>TEXTVALUE!P3</f>
        <v>Rp 1.500.000</v>
      </c>
      <c r="F3" s="14"/>
    </row>
    <row r="4">
      <c r="A4" s="14" t="str">
        <f>$E$1&amp;""&amp;TEXTVALUE!H4</f>
        <v>+6285707564507</v>
      </c>
      <c r="B4" s="14" t="str">
        <f>TEXTVALUE!B4</f>
        <v>AZURO SABILA FAZZA MAULIDAH</v>
      </c>
      <c r="C4" s="14" t="str">
        <f>TEXTVALUE!$E$1&amp;" : "&amp;TEXTVALUE!E4&amp;"
"&amp;TEXTVALUE!$G$1&amp;" : "&amp;TEXTVALUE!G4</f>
        <v>KAMAR : E-2
MADRASIAH : 3 ULA C PUTRI</v>
      </c>
      <c r="D4" s="14" t="str">
        <f>TEXTVALUE!Q4</f>
        <v>Syahriyah = Rp 2.000.000
Jariyah = Rp 1.000.000
Daftar Ulang = Rp 0
Total = Rp 3.000.000
______________________
ID : 2024070573</v>
      </c>
      <c r="E4" s="14" t="str">
        <f>TEXTVALUE!P4</f>
        <v>Rp 3.000.000</v>
      </c>
      <c r="F4" s="14"/>
    </row>
    <row r="5">
      <c r="A5" s="14" t="str">
        <f>$E$1&amp;""&amp;TEXTVALUE!H5</f>
        <v>+62895801050384</v>
      </c>
      <c r="B5" s="14" t="str">
        <f>TEXTVALUE!B5</f>
        <v>BATRISYIA ALFILZAH</v>
      </c>
      <c r="C5" s="14" t="str">
        <f>TEXTVALUE!$E$1&amp;" : "&amp;TEXTVALUE!E5&amp;"
"&amp;TEXTVALUE!$G$1&amp;" : "&amp;TEXTVALUE!G5</f>
        <v>KAMAR : E-2
MADRASIAH : 3 ULA A PUTRI</v>
      </c>
      <c r="D5" s="14" t="str">
        <f>TEXTVALUE!Q5</f>
        <v>Syahriyah = Rp 500.000
Jariyah = Rp 0
Daftar Ulang = Rp 0
Total = Rp 500.000
______________________
ID : 2024070634</v>
      </c>
      <c r="E5" s="14" t="str">
        <f>TEXTVALUE!P5</f>
        <v>Rp 500.000</v>
      </c>
      <c r="F5" s="14"/>
    </row>
    <row r="6">
      <c r="A6" s="14" t="str">
        <f>$E$1&amp;""&amp;TEXTVALUE!H6</f>
        <v>+6282131864843</v>
      </c>
      <c r="B6" s="14" t="str">
        <f>TEXTVALUE!B6</f>
        <v>DAVINA RATNANDITA</v>
      </c>
      <c r="C6" s="14" t="str">
        <f>TEXTVALUE!$E$1&amp;" : "&amp;TEXTVALUE!E6&amp;"
"&amp;TEXTVALUE!$G$1&amp;" : "&amp;TEXTVALUE!G6</f>
        <v>KAMAR : E-2
MADRASIAH : 3 ULA A PUTRI</v>
      </c>
      <c r="D6" s="14" t="str">
        <f>TEXTVALUE!Q6</f>
        <v>Syahriyah = Rp 0
Jariyah = Rp 1.000.000
Daftar Ulang = Rp 0
Total = Rp 1.000.000
______________________
ID : 2024070445</v>
      </c>
      <c r="E6" s="14" t="str">
        <f>TEXTVALUE!P6</f>
        <v>Rp 1.000.000</v>
      </c>
      <c r="F6" s="14"/>
    </row>
    <row r="7">
      <c r="A7" s="14" t="str">
        <f>$E$1&amp;""&amp;TEXTVALUE!H7</f>
        <v>+6285791612653</v>
      </c>
      <c r="B7" s="14" t="str">
        <f>TEXTVALUE!B7</f>
        <v>FAIQOTUR RIFDAH AL ABIDAH</v>
      </c>
      <c r="C7" s="14" t="str">
        <f>TEXTVALUE!$E$1&amp;" : "&amp;TEXTVALUE!E7&amp;"
"&amp;TEXTVALUE!$G$1&amp;" : "&amp;TEXTVALUE!G7</f>
        <v>KAMAR : E-2
MADRASIAH : 3 ULA B PUTRI</v>
      </c>
      <c r="D7" s="14" t="str">
        <f>TEXTVALUE!Q7</f>
        <v>Syahriyah = Rp 0
Jariyah = Rp 500.000
Daftar Ulang = Rp 0
Total = Rp 500.000
______________________
ID : 2024070487</v>
      </c>
      <c r="E7" s="14" t="str">
        <f>TEXTVALUE!P7</f>
        <v>Rp 500.000</v>
      </c>
      <c r="F7" s="14"/>
    </row>
    <row r="8">
      <c r="A8" s="14" t="str">
        <f>$E$1&amp;""&amp;TEXTVALUE!H8</f>
        <v>+6285649089570</v>
      </c>
      <c r="B8" s="14" t="str">
        <f>TEXTVALUE!B8</f>
        <v>KHARISYAH NADYATUR ROHMAH</v>
      </c>
      <c r="C8" s="14" t="str">
        <f>TEXTVALUE!$E$1&amp;" : "&amp;TEXTVALUE!E8&amp;"
"&amp;TEXTVALUE!$G$1&amp;" : "&amp;TEXTVALUE!G8</f>
        <v>KAMAR : E-2
MADRASIAH : 3 ULA C PUTRI</v>
      </c>
      <c r="D8" s="14" t="str">
        <f>TEXTVALUE!Q8</f>
        <v>Syahriyah = Rp 3.000.000
Jariyah = Rp 0
Daftar Ulang = Rp 0
Total = Rp 3.000.000
______________________
ID : 2024070635</v>
      </c>
      <c r="E8" s="14" t="str">
        <f>TEXTVALUE!P8</f>
        <v>Rp 3.000.000</v>
      </c>
      <c r="F8" s="14"/>
    </row>
    <row r="9">
      <c r="A9" s="14" t="str">
        <f>$E$1&amp;""&amp;TEXTVALUE!H9</f>
        <v>+628523337011</v>
      </c>
      <c r="B9" s="14" t="str">
        <f>TEXTVALUE!B9</f>
        <v>KHULIATUL MILLAH ELVIANA</v>
      </c>
      <c r="C9" s="14" t="str">
        <f>TEXTVALUE!$E$1&amp;" : "&amp;TEXTVALUE!E9&amp;"
"&amp;TEXTVALUE!$G$1&amp;" : "&amp;TEXTVALUE!G9</f>
        <v>KAMAR : E-2
MADRASIAH : 3 ULA C PUTRI</v>
      </c>
      <c r="D9" s="14" t="str">
        <f>TEXTVALUE!Q9</f>
        <v>Syahriyah = Rp 0
Jariyah = Rp 0
Daftar Ulang = Rp 0
Total = Rp 0
______________________
ID : 2024070499</v>
      </c>
      <c r="E9" s="14" t="str">
        <f>TEXTVALUE!P9</f>
        <v>Rp 0</v>
      </c>
      <c r="F9" s="14"/>
    </row>
    <row r="10">
      <c r="A10" s="14" t="str">
        <f>$E$1&amp;""&amp;TEXTVALUE!H10</f>
        <v>+6285855714013</v>
      </c>
      <c r="B10" s="14" t="str">
        <f>TEXTVALUE!B10</f>
        <v>NIRMA LAILATUL AIDA</v>
      </c>
      <c r="C10" s="14" t="str">
        <f>TEXTVALUE!$E$1&amp;" : "&amp;TEXTVALUE!E10&amp;"
"&amp;TEXTVALUE!$G$1&amp;" : "&amp;TEXTVALUE!G10</f>
        <v>KAMAR : E-2
MADRASIAH : 3 ULA A PUTRI</v>
      </c>
      <c r="D10" s="14" t="str">
        <f>TEXTVALUE!Q10</f>
        <v>Syahriyah = Rp 0
Jariyah = Rp 1.000.000
Daftar Ulang = Rp 0
Total = Rp 1.000.000
______________________
ID : 2024070541</v>
      </c>
      <c r="E10" s="14" t="str">
        <f>TEXTVALUE!P10</f>
        <v>Rp 1.000.000</v>
      </c>
      <c r="F10" s="14"/>
    </row>
    <row r="11">
      <c r="A11" s="14" t="str">
        <f>$E$1&amp;""&amp;TEXTVALUE!H11</f>
        <v>+6285746646918</v>
      </c>
      <c r="B11" s="14" t="str">
        <f>TEXTVALUE!B11</f>
        <v>NUR AWWALIN AFIDATUSSOFA</v>
      </c>
      <c r="C11" s="14" t="str">
        <f>TEXTVALUE!$E$1&amp;" : "&amp;TEXTVALUE!E11&amp;"
"&amp;TEXTVALUE!$G$1&amp;" : "&amp;TEXTVALUE!G11</f>
        <v>KAMAR : E-2
MADRASIAH : 3 ULA B PUTRI</v>
      </c>
      <c r="D11" s="14" t="str">
        <f>TEXTVALUE!Q11</f>
        <v>Syahriyah = Rp 0
Jariyah = Rp 500.000
Daftar Ulang = Rp 0
Total = Rp 500.000
______________________
ID : 2024070518</v>
      </c>
      <c r="E11" s="14" t="str">
        <f>TEXTVALUE!P11</f>
        <v>Rp 500.000</v>
      </c>
      <c r="F11" s="14"/>
    </row>
    <row r="12">
      <c r="A12" s="14" t="str">
        <f>$E$1&amp;""&amp;TEXTVALUE!H12</f>
        <v>+6285855700260</v>
      </c>
      <c r="B12" s="14" t="str">
        <f>TEXTVALUE!B12</f>
        <v>NUR FAZA KAMILA</v>
      </c>
      <c r="C12" s="14" t="str">
        <f>TEXTVALUE!$E$1&amp;" : "&amp;TEXTVALUE!E12&amp;"
"&amp;TEXTVALUE!$G$1&amp;" : "&amp;TEXTVALUE!G12</f>
        <v>KAMAR : E-2
MADRASIAH : 3 ULA C PUTRI</v>
      </c>
      <c r="D12" s="14" t="str">
        <f>TEXTVALUE!Q12</f>
        <v>Syahriyah = Rp 500.000
Jariyah = Rp 1.000.000
Daftar Ulang = Rp 0
Total = Rp 1.500.000
______________________
ID : 2024070467</v>
      </c>
      <c r="E12" s="14" t="str">
        <f>TEXTVALUE!P12</f>
        <v>Rp 1.500.000</v>
      </c>
      <c r="F12" s="14"/>
    </row>
    <row r="13">
      <c r="A13" s="14" t="str">
        <f>$E$1&amp;""&amp;TEXTVALUE!H13</f>
        <v>+6285854674616</v>
      </c>
      <c r="B13" s="14" t="str">
        <f>TEXTVALUE!B13</f>
        <v>USWAH EL FAHRUSAZZAM ZAMI</v>
      </c>
      <c r="C13" s="14" t="str">
        <f>TEXTVALUE!$E$1&amp;" : "&amp;TEXTVALUE!E13&amp;"
"&amp;TEXTVALUE!$G$1&amp;" : "&amp;TEXTVALUE!G13</f>
        <v>KAMAR : E-2
MADRASIAH : 3 ULA C PUTRI</v>
      </c>
      <c r="D13" s="14" t="str">
        <f>TEXTVALUE!Q13</f>
        <v>Syahriyah = Rp 3.500.000
Jariyah = Rp 1.000.000
Daftar Ulang = Rp 350.000
Total = Rp 4.850.000
______________________
ID : 2024070574</v>
      </c>
      <c r="E13" s="14" t="str">
        <f>TEXTVALUE!P13</f>
        <v>Rp 4.850.000</v>
      </c>
      <c r="F13" s="14"/>
    </row>
    <row r="14">
      <c r="A14" s="14" t="str">
        <f>$E$1&amp;""&amp;TEXTVALUE!H14</f>
        <v>+6285707549890</v>
      </c>
      <c r="B14" s="14" t="str">
        <f>TEXTVALUE!B14</f>
        <v>ZAHROTUS TSANI NAJWA</v>
      </c>
      <c r="C14" s="14" t="str">
        <f>TEXTVALUE!$E$1&amp;" : "&amp;TEXTVALUE!E14&amp;"
"&amp;TEXTVALUE!$G$1&amp;" : "&amp;TEXTVALUE!G14</f>
        <v>KAMAR : E-2
MADRASIAH : 3 ULA A PUTRI</v>
      </c>
      <c r="D14" s="14" t="str">
        <f>TEXTVALUE!Q14</f>
        <v>Syahriyah = Rp 500.000
Jariyah = Rp 1.000.000
Daftar Ulang = Rp 0
Total = Rp 1.500.000
______________________
ID : 2024070657</v>
      </c>
      <c r="E14" s="14" t="str">
        <f>TEXTVALUE!P14</f>
        <v>Rp 1.500.000</v>
      </c>
      <c r="F14" s="14"/>
    </row>
    <row r="15">
      <c r="A15" s="14" t="str">
        <f>$E$1&amp;""&amp;TEXTVALUE!H15</f>
        <v>+6285731554886</v>
      </c>
      <c r="B15" s="14" t="str">
        <f>TEXTVALUE!B15</f>
        <v>FANY MUFIDAH SARI</v>
      </c>
      <c r="C15" s="14" t="str">
        <f>TEXTVALUE!$E$1&amp;" : "&amp;TEXTVALUE!E15&amp;"
"&amp;TEXTVALUE!$G$1&amp;" : "&amp;TEXTVALUE!G15</f>
        <v>KAMAR : E-2
MADRASIAH : 3 WUSTHO A PUTRI</v>
      </c>
      <c r="D15" s="14" t="str">
        <f>TEXTVALUE!Q15</f>
        <v>Syahriyah = Rp 500.000
Jariyah = Rp 1.000.000
Daftar Ulang = Rp 0
Total = Rp 1.500.000
______________________
ID : 2024070329</v>
      </c>
      <c r="E15" s="14" t="str">
        <f>TEXTVALUE!P15</f>
        <v>Rp 1.500.000</v>
      </c>
      <c r="F15" s="14"/>
    </row>
    <row r="16">
      <c r="A16" s="14" t="str">
        <f>$E$1&amp;""&amp;TEXTVALUE!H16</f>
        <v>+6289501850865</v>
      </c>
      <c r="B16" s="14" t="str">
        <f>TEXTVALUE!B16</f>
        <v>FATIMAH</v>
      </c>
      <c r="C16" s="14" t="str">
        <f>TEXTVALUE!$E$1&amp;" : "&amp;TEXTVALUE!E16&amp;"
"&amp;TEXTVALUE!$G$1&amp;" : "&amp;TEXTVALUE!G16</f>
        <v>KAMAR : E-2
MADRASIAH : 3 WUSTHO A PUTRI</v>
      </c>
      <c r="D16" s="14" t="str">
        <f>TEXTVALUE!Q16</f>
        <v>Syahriyah = Rp 6.210.000
Jariyah = Rp 0
Daftar Ulang = Rp 350.000
Total = Rp 6.560.000
______________________
ID : 2024070044</v>
      </c>
      <c r="E16" s="14" t="str">
        <f>TEXTVALUE!P16</f>
        <v>Rp 6.560.000</v>
      </c>
      <c r="F16" s="14"/>
    </row>
    <row r="17">
      <c r="A17" s="14" t="str">
        <f>$E$1&amp;""&amp;TEXTVALUE!H17</f>
        <v>+6281554492983</v>
      </c>
      <c r="B17" s="14" t="str">
        <f>TEXTVALUE!B17</f>
        <v>ATINA AZKAL FUADAH</v>
      </c>
      <c r="C17" s="14" t="str">
        <f>TEXTVALUE!$E$1&amp;" : "&amp;TEXTVALUE!E17&amp;"
"&amp;TEXTVALUE!$G$1&amp;" : "&amp;TEXTVALUE!G17</f>
        <v>KAMAR : E-3
MADRASIAH : 3 ULA B PUTRI</v>
      </c>
      <c r="D17" s="14" t="str">
        <f>TEXTVALUE!Q17</f>
        <v>Syahriyah = Rp 500.000
Jariyah = Rp 0
Daftar Ulang = Rp 0
Total = Rp 500.000
______________________
ID : 2024070474</v>
      </c>
      <c r="E17" s="14" t="str">
        <f>TEXTVALUE!P17</f>
        <v>Rp 500.000</v>
      </c>
      <c r="F17" s="14"/>
    </row>
    <row r="18">
      <c r="A18" s="14" t="str">
        <f>$E$1&amp;""&amp;TEXTVALUE!H18</f>
        <v>+6282233810314</v>
      </c>
      <c r="B18" s="14" t="str">
        <f>TEXTVALUE!B18</f>
        <v>ERIN MAULIDIAH</v>
      </c>
      <c r="C18" s="14" t="str">
        <f>TEXTVALUE!$E$1&amp;" : "&amp;TEXTVALUE!E18&amp;"
"&amp;TEXTVALUE!$G$1&amp;" : "&amp;TEXTVALUE!G18</f>
        <v>KAMAR : E-3
MADRASIAH : 3 ULA B PUTRI</v>
      </c>
      <c r="D18" s="14" t="str">
        <f>TEXTVALUE!Q18</f>
        <v>Syahriyah = Rp 0
Jariyah = Rp 500.000
Daftar Ulang = Rp 0
Total = Rp 500.000
______________________
ID : 2024070475</v>
      </c>
      <c r="E18" s="14" t="str">
        <f>TEXTVALUE!P18</f>
        <v>Rp 500.000</v>
      </c>
      <c r="F18" s="14"/>
    </row>
    <row r="19">
      <c r="A19" s="14" t="str">
        <f>$E$1&amp;""&amp;TEXTVALUE!H19</f>
        <v>+6282257167881</v>
      </c>
      <c r="B19" s="14" t="str">
        <f>TEXTVALUE!B19</f>
        <v>FITHRIYATUL MAULIDAH</v>
      </c>
      <c r="C19" s="14" t="str">
        <f>TEXTVALUE!$E$1&amp;" : "&amp;TEXTVALUE!E19&amp;"
"&amp;TEXTVALUE!$G$1&amp;" : "&amp;TEXTVALUE!G19</f>
        <v>KAMAR : E-3
MADRASIAH : 3 ULA B PUTRI</v>
      </c>
      <c r="D19" s="14" t="str">
        <f>TEXTVALUE!Q19</f>
        <v>Syahriyah = Rp 0
Jariyah = Rp 0
Daftar Ulang = Rp 0
Total = Rp 0
______________________
ID : 2024070546</v>
      </c>
      <c r="E19" s="14" t="str">
        <f>TEXTVALUE!P19</f>
        <v>Rp 0</v>
      </c>
      <c r="F19" s="14"/>
    </row>
    <row r="20">
      <c r="A20" s="14" t="str">
        <f>$E$1&amp;""&amp;TEXTVALUE!H20</f>
        <v>+6285732806511</v>
      </c>
      <c r="B20" s="14" t="str">
        <f>TEXTVALUE!B20</f>
        <v>HABIBAH AQILAH RAMADHONI</v>
      </c>
      <c r="C20" s="14" t="str">
        <f>TEXTVALUE!$E$1&amp;" : "&amp;TEXTVALUE!E20&amp;"
"&amp;TEXTVALUE!$G$1&amp;" : "&amp;TEXTVALUE!G20</f>
        <v>KAMAR : E-3
MADRASIAH : 3 ULA C PUTRI</v>
      </c>
      <c r="D20" s="14" t="str">
        <f>TEXTVALUE!Q20</f>
        <v>Syahriyah = Rp 0
Jariyah = Rp 0
Daftar Ulang = Rp 0
Total = Rp 0
______________________
ID : 2024070459</v>
      </c>
      <c r="E20" s="14" t="str">
        <f>TEXTVALUE!P20</f>
        <v>Rp 0</v>
      </c>
      <c r="F20" s="14"/>
    </row>
    <row r="21">
      <c r="A21" s="14" t="str">
        <f>$E$1&amp;""&amp;TEXTVALUE!H21</f>
        <v>+6285735467317</v>
      </c>
      <c r="B21" s="14" t="str">
        <f>TEXTVALUE!B21</f>
        <v>ILHAFAH ARYA NOVRYANI</v>
      </c>
      <c r="C21" s="14" t="str">
        <f>TEXTVALUE!$E$1&amp;" : "&amp;TEXTVALUE!E21&amp;"
"&amp;TEXTVALUE!$G$1&amp;" : "&amp;TEXTVALUE!G21</f>
        <v>KAMAR : E-3
MADRASIAH : 3 ULA B PUTRI</v>
      </c>
      <c r="D21" s="14" t="str">
        <f>TEXTVALUE!Q21</f>
        <v>Syahriyah = Rp 1.500.000
Jariyah = Rp 1.000.000
Daftar Ulang = Rp 0
Total = Rp 2.500.000
______________________
ID : 2024070617</v>
      </c>
      <c r="E21" s="14" t="str">
        <f>TEXTVALUE!P21</f>
        <v>Rp 2.500.000</v>
      </c>
      <c r="F21" s="14"/>
    </row>
    <row r="22">
      <c r="A22" s="14" t="str">
        <f>$E$1&amp;""&amp;TEXTVALUE!H22</f>
        <v>+628564039966</v>
      </c>
      <c r="B22" s="14" t="str">
        <f>TEXTVALUE!B22</f>
        <v>KEYSHA BRILLYAN FEBIANA</v>
      </c>
      <c r="C22" s="14" t="str">
        <f>TEXTVALUE!$E$1&amp;" : "&amp;TEXTVALUE!E22&amp;"
"&amp;TEXTVALUE!$G$1&amp;" : "&amp;TEXTVALUE!G22</f>
        <v>KAMAR : E-3
MADRASIAH : 3 ULA C PUTRI</v>
      </c>
      <c r="D22" s="14" t="str">
        <f>TEXTVALUE!Q22</f>
        <v>Syahriyah = Rp 0
Jariyah = Rp 500.000
Daftar Ulang = Rp 0
Total = Rp 500.000
______________________
ID : 2024070513</v>
      </c>
      <c r="E22" s="14" t="str">
        <f>TEXTVALUE!P22</f>
        <v>Rp 500.000</v>
      </c>
      <c r="F22" s="14"/>
    </row>
    <row r="23">
      <c r="A23" s="14" t="str">
        <f>$E$1&amp;""&amp;TEXTVALUE!H23</f>
        <v>+6285784480833</v>
      </c>
      <c r="B23" s="14" t="str">
        <f>TEXTVALUE!B23</f>
        <v>KHANSA ZARINA MISBACH</v>
      </c>
      <c r="C23" s="14" t="str">
        <f>TEXTVALUE!$E$1&amp;" : "&amp;TEXTVALUE!E23&amp;"
"&amp;TEXTVALUE!$G$1&amp;" : "&amp;TEXTVALUE!G23</f>
        <v>KAMAR : E-3
MADRASIAH : 3 ULA A PUTRI</v>
      </c>
      <c r="D23" s="14" t="str">
        <f>TEXTVALUE!Q23</f>
        <v>Syahriyah = Rp 0
Jariyah = Rp 1.000.000
Daftar Ulang = Rp 0
Total = Rp 1.000.000
______________________
ID : 2024070585</v>
      </c>
      <c r="E23" s="14" t="str">
        <f>TEXTVALUE!P23</f>
        <v>Rp 1.000.000</v>
      </c>
      <c r="F23" s="14"/>
    </row>
    <row r="24">
      <c r="A24" s="14" t="str">
        <f>$E$1&amp;""&amp;TEXTVALUE!H24</f>
        <v>+6283135957352</v>
      </c>
      <c r="B24" s="14" t="str">
        <f>TEXTVALUE!B24</f>
        <v>NA`ILAH SINTA NURIYYAH</v>
      </c>
      <c r="C24" s="14" t="str">
        <f>TEXTVALUE!$E$1&amp;" : "&amp;TEXTVALUE!E24&amp;"
"&amp;TEXTVALUE!$G$1&amp;" : "&amp;TEXTVALUE!G24</f>
        <v>KAMAR : E-3
MADRASIAH : 3 ULA B PUTRI</v>
      </c>
      <c r="D24" s="14" t="str">
        <f>TEXTVALUE!Q24</f>
        <v>Syahriyah = Rp 0
Jariyah = Rp 0
Daftar Ulang = Rp 0
Total = Rp 0
______________________
ID : 2024070581</v>
      </c>
      <c r="E24" s="14" t="str">
        <f>TEXTVALUE!P24</f>
        <v>Rp 0</v>
      </c>
      <c r="F24" s="14"/>
    </row>
    <row r="25">
      <c r="A25" s="14" t="str">
        <f>$E$1&amp;""&amp;TEXTVALUE!H25</f>
        <v>+6285749469938</v>
      </c>
      <c r="B25" s="14" t="str">
        <f>TEXTVALUE!B25</f>
        <v>NAALAT SYAFA`ATUL UDHMA</v>
      </c>
      <c r="C25" s="14" t="str">
        <f>TEXTVALUE!$E$1&amp;" : "&amp;TEXTVALUE!E25&amp;"
"&amp;TEXTVALUE!$G$1&amp;" : "&amp;TEXTVALUE!G25</f>
        <v>KAMAR : E-3
MADRASIAH : 3 ULA A PUTRI</v>
      </c>
      <c r="D25" s="14" t="str">
        <f>TEXTVALUE!Q25</f>
        <v>Syahriyah = Rp 0
Jariyah = Rp 1.000.000
Daftar Ulang = Rp 0
Total = Rp 1.000.000
______________________
ID : 2024070604</v>
      </c>
      <c r="E25" s="14" t="str">
        <f>TEXTVALUE!P25</f>
        <v>Rp 1.000.000</v>
      </c>
      <c r="F25" s="14"/>
    </row>
    <row r="26">
      <c r="A26" s="14" t="str">
        <f>$E$1&amp;""&amp;TEXTVALUE!H26</f>
        <v>+6285815030873</v>
      </c>
      <c r="B26" s="14" t="str">
        <f>TEXTVALUE!B26</f>
        <v>NOUR ALIFATURR DHEA VANESYA</v>
      </c>
      <c r="C26" s="14" t="str">
        <f>TEXTVALUE!$E$1&amp;" : "&amp;TEXTVALUE!E26&amp;"
"&amp;TEXTVALUE!$G$1&amp;" : "&amp;TEXTVALUE!G26</f>
        <v>KAMAR : E-3
MADRASIAH : 3 ULA C PUTRI</v>
      </c>
      <c r="D26" s="14" t="str">
        <f>TEXTVALUE!Q26</f>
        <v>Syahriyah = Rp 500.000
Jariyah = Rp 1.000.000
Daftar Ulang = Rp 0
Total = Rp 1.500.000
______________________
ID : 2024070613</v>
      </c>
      <c r="E26" s="14" t="str">
        <f>TEXTVALUE!P26</f>
        <v>Rp 1.500.000</v>
      </c>
      <c r="F26" s="14"/>
    </row>
    <row r="27">
      <c r="A27" s="14" t="str">
        <f>$E$1&amp;""&amp;TEXTVALUE!H27</f>
        <v>+6285853423327</v>
      </c>
      <c r="B27" s="14" t="str">
        <f>TEXTVALUE!B27</f>
        <v>NUR LABIBATUS SHOLIHAH</v>
      </c>
      <c r="C27" s="14" t="str">
        <f>TEXTVALUE!$E$1&amp;" : "&amp;TEXTVALUE!E27&amp;"
"&amp;TEXTVALUE!$G$1&amp;" : "&amp;TEXTVALUE!G27</f>
        <v>KAMAR : E-3
MADRASIAH : 3 ULA A PUTRI</v>
      </c>
      <c r="D27" s="14" t="str">
        <f>TEXTVALUE!Q27</f>
        <v>Syahriyah = Rp 0
Jariyah = Rp 1.000.000
Daftar Ulang = Rp 0
Total = Rp 1.000.000
______________________
ID : 2024070568</v>
      </c>
      <c r="E27" s="14" t="str">
        <f>TEXTVALUE!P27</f>
        <v>Rp 1.000.000</v>
      </c>
      <c r="F27" s="14"/>
    </row>
    <row r="28">
      <c r="A28" s="14" t="str">
        <f>$E$1&amp;""&amp;TEXTVALUE!H28</f>
        <v>+6282230412303</v>
      </c>
      <c r="B28" s="14" t="str">
        <f>TEXTVALUE!B28</f>
        <v>NURUL IFADATUL HASANAH</v>
      </c>
      <c r="C28" s="14" t="str">
        <f>TEXTVALUE!$E$1&amp;" : "&amp;TEXTVALUE!E28&amp;"
"&amp;TEXTVALUE!$G$1&amp;" : "&amp;TEXTVALUE!G28</f>
        <v>KAMAR : E-3
MADRASIAH : 3 ULA B PUTRI</v>
      </c>
      <c r="D28" s="14" t="str">
        <f>TEXTVALUE!Q28</f>
        <v>Syahriyah = Rp 0
Jariyah = Rp 1.000.000
Daftar Ulang = Rp 0
Total = Rp 1.000.000
______________________
ID : 2024070542</v>
      </c>
      <c r="E28" s="14" t="str">
        <f>TEXTVALUE!P28</f>
        <v>Rp 1.000.000</v>
      </c>
      <c r="F28" s="14"/>
    </row>
    <row r="29">
      <c r="A29" s="14" t="str">
        <f>$E$1&amp;""&amp;TEXTVALUE!H29</f>
        <v>+6281337240354</v>
      </c>
      <c r="B29" s="14" t="str">
        <f>TEXTVALUE!B29</f>
        <v>RAFIQA AZALIANA YUSUF</v>
      </c>
      <c r="C29" s="14" t="str">
        <f>TEXTVALUE!$E$1&amp;" : "&amp;TEXTVALUE!E29&amp;"
"&amp;TEXTVALUE!$G$1&amp;" : "&amp;TEXTVALUE!G29</f>
        <v>KAMAR : E-3
MADRASIAH : 3 ULA A PUTRI</v>
      </c>
      <c r="D29" s="14" t="str">
        <f>TEXTVALUE!Q29</f>
        <v>Syahriyah = Rp 0
Jariyah = Rp 0
Daftar Ulang = Rp 0
Total = Rp 0
______________________
ID : 2024070481</v>
      </c>
      <c r="E29" s="14" t="str">
        <f>TEXTVALUE!P29</f>
        <v>Rp 0</v>
      </c>
      <c r="F29" s="14"/>
    </row>
    <row r="30">
      <c r="A30" s="14" t="str">
        <f>$E$1&amp;""&amp;TEXTVALUE!H30</f>
        <v>+6285707549770</v>
      </c>
      <c r="B30" s="14" t="str">
        <f>TEXTVALUE!B30</f>
        <v>ANGELINA KIBRIYAH SAFITRI</v>
      </c>
      <c r="C30" s="14" t="str">
        <f>TEXTVALUE!$E$1&amp;" : "&amp;TEXTVALUE!E30&amp;"
"&amp;TEXTVALUE!$G$1&amp;" : "&amp;TEXTVALUE!G30</f>
        <v>KAMAR : E-3
MADRASIAH : 3 WUSTHO B PUTRI</v>
      </c>
      <c r="D30" s="14" t="str">
        <f>TEXTVALUE!Q30</f>
        <v>Syahriyah = Rp 3.000.000
Jariyah = Rp 500.000
Daftar Ulang = Rp 0
Total = Rp 3.500.000
______________________
ID : 2024070340</v>
      </c>
      <c r="E30" s="14" t="str">
        <f>TEXTVALUE!P30</f>
        <v>Rp 3.500.000</v>
      </c>
      <c r="F30" s="14"/>
    </row>
    <row r="31">
      <c r="A31" s="14" t="str">
        <f>$E$1&amp;""&amp;TEXTVALUE!H31</f>
        <v>+6282248415765</v>
      </c>
      <c r="B31" s="14" t="str">
        <f>TEXTVALUE!B31</f>
        <v>AULIYAH SYIFA WINARNI</v>
      </c>
      <c r="C31" s="14" t="str">
        <f>TEXTVALUE!$E$1&amp;" : "&amp;TEXTVALUE!E31&amp;"
"&amp;TEXTVALUE!$G$1&amp;" : "&amp;TEXTVALUE!G31</f>
        <v>KAMAR : E-3
MADRASIAH : 3 WUSTHO C PUTRI</v>
      </c>
      <c r="D31" s="14" t="str">
        <f>TEXTVALUE!Q31</f>
        <v>Syahriyah = Rp 0
Jariyah = Rp 0
Daftar Ulang = Rp 0
Total = Rp 0
______________________
ID : 2024070188</v>
      </c>
      <c r="E31" s="14" t="str">
        <f>TEXTVALUE!P31</f>
        <v>Rp 0</v>
      </c>
      <c r="F31" s="14"/>
    </row>
    <row r="32">
      <c r="A32" s="14" t="str">
        <f>$E$1&amp;""&amp;TEXTVALUE!H32</f>
        <v>+6289537096560</v>
      </c>
      <c r="B32" s="14" t="str">
        <f>TEXTVALUE!B32</f>
        <v>DAVINA NANGSYA AZZAHRAH</v>
      </c>
      <c r="C32" s="14" t="str">
        <f>TEXTVALUE!$E$1&amp;" : "&amp;TEXTVALUE!E32&amp;"
"&amp;TEXTVALUE!$G$1&amp;" : "&amp;TEXTVALUE!G32</f>
        <v>KAMAR : E-3
MADRASIAH : 3 WUSTHO A PUTRI</v>
      </c>
      <c r="D32" s="14" t="str">
        <f>TEXTVALUE!Q32</f>
        <v>Syahriyah = Rp 2.160.000
Jariyah = Rp 0
Daftar Ulang = Rp 350.000
Total = Rp 2.510.000
______________________
ID : 2024070415</v>
      </c>
      <c r="E32" s="14" t="str">
        <f>TEXTVALUE!P32</f>
        <v>Rp 2.510.000</v>
      </c>
      <c r="F32" s="14"/>
    </row>
    <row r="33">
      <c r="A33" s="14" t="str">
        <f>$E$1&amp;""&amp;TEXTVALUE!H33</f>
        <v>+6285813135311</v>
      </c>
      <c r="B33" s="14" t="str">
        <f>TEXTVALUE!B33</f>
        <v>NILLA ADDINIA KHAFSOH</v>
      </c>
      <c r="C33" s="14" t="str">
        <f>TEXTVALUE!$E$1&amp;" : "&amp;TEXTVALUE!E33&amp;"
"&amp;TEXTVALUE!$G$1&amp;" : "&amp;TEXTVALUE!G33</f>
        <v>KAMAR : E-3
MADRASIAH : 3 WUSTHO C PUTRI</v>
      </c>
      <c r="D33" s="14" t="str">
        <f>TEXTVALUE!Q33</f>
        <v>Syahriyah = Rp 1.000.000
Jariyah = Rp 1.000.000
Daftar Ulang = Rp 0
Total = Rp 2.000.000
______________________
ID : 2024070195</v>
      </c>
      <c r="E33" s="14" t="str">
        <f>TEXTVALUE!P33</f>
        <v>Rp 2.000.000</v>
      </c>
      <c r="F33" s="14"/>
    </row>
    <row r="34">
      <c r="A34" s="14" t="str">
        <f>$E$1&amp;""&amp;TEXTVALUE!H34</f>
        <v>+6285706388647</v>
      </c>
      <c r="B34" s="14" t="str">
        <f>TEXTVALUE!B34</f>
        <v>AZZAHRA SAYLA RAHMAH</v>
      </c>
      <c r="C34" s="14" t="str">
        <f>TEXTVALUE!$E$1&amp;" : "&amp;TEXTVALUE!E34&amp;"
"&amp;TEXTVALUE!$G$1&amp;" : "&amp;TEXTVALUE!G34</f>
        <v>KAMAR : E-4
MADRASIAH : 2 ULA A PUTRI</v>
      </c>
      <c r="D34" s="14" t="str">
        <f>TEXTVALUE!Q34</f>
        <v>Syahriyah = Rp 0
Jariyah = Rp 1.000.000
Daftar Ulang = Rp 0
Total = Rp 1.000.000
______________________
ID : 2025070536</v>
      </c>
      <c r="E34" s="14" t="str">
        <f>TEXTVALUE!P34</f>
        <v>Rp 1.000.000</v>
      </c>
      <c r="F34" s="14"/>
    </row>
    <row r="35">
      <c r="A35" s="14" t="str">
        <f>$E$1&amp;""&amp;TEXTVALUE!H35</f>
        <v>+6281235016503</v>
      </c>
      <c r="B35" s="14" t="str">
        <f>TEXTVALUE!B35</f>
        <v>DEEPIKA ATHALIA PRASANTI</v>
      </c>
      <c r="C35" s="14" t="str">
        <f>TEXTVALUE!$E$1&amp;" : "&amp;TEXTVALUE!E35&amp;"
"&amp;TEXTVALUE!$G$1&amp;" : "&amp;TEXTVALUE!G35</f>
        <v>KAMAR : E-4
MADRASIAH : 2 ULA A PUTRI</v>
      </c>
      <c r="D35" s="14" t="str">
        <f>TEXTVALUE!Q35</f>
        <v>Syahriyah = Rp 0
Jariyah = Rp 0
Daftar Ulang = Rp 0
Total = Rp 0
______________________
ID : 2025070496</v>
      </c>
      <c r="E35" s="14" t="str">
        <f>TEXTVALUE!P35</f>
        <v>Rp 0</v>
      </c>
      <c r="F35" s="14"/>
    </row>
    <row r="36">
      <c r="A36" s="14" t="str">
        <f>$E$1&amp;""&amp;TEXTVALUE!H36</f>
        <v>+6285755196151</v>
      </c>
      <c r="B36" s="14" t="str">
        <f>TEXTVALUE!B36</f>
        <v>ELVA FITRIANI FATIKHAH</v>
      </c>
      <c r="C36" s="14" t="str">
        <f>TEXTVALUE!$E$1&amp;" : "&amp;TEXTVALUE!E36&amp;"
"&amp;TEXTVALUE!$G$1&amp;" : "&amp;TEXTVALUE!G36</f>
        <v>KAMAR : E-4
MADRASIAH : 2 ULA B PUTRI</v>
      </c>
      <c r="D36" s="14" t="str">
        <f>TEXTVALUE!Q36</f>
        <v>Syahriyah = Rp 0
Jariyah = Rp 1.000.000
Daftar Ulang = Rp 0
Total = Rp 1.000.000
______________________
ID : 2025070597</v>
      </c>
      <c r="E36" s="14" t="str">
        <f>TEXTVALUE!P36</f>
        <v>Rp 1.000.000</v>
      </c>
      <c r="F36" s="14"/>
    </row>
    <row r="37">
      <c r="A37" s="14" t="str">
        <f>$E$1&amp;""&amp;TEXTVALUE!H37</f>
        <v>+6285792072867</v>
      </c>
      <c r="B37" s="14" t="str">
        <f>TEXTVALUE!B37</f>
        <v>FAJRIYAH NIKMATUS SU`AMAN</v>
      </c>
      <c r="C37" s="14" t="str">
        <f>TEXTVALUE!$E$1&amp;" : "&amp;TEXTVALUE!E37&amp;"
"&amp;TEXTVALUE!$G$1&amp;" : "&amp;TEXTVALUE!G37</f>
        <v>KAMAR : E-4
MADRASIAH : 2 ULA B PUTRI</v>
      </c>
      <c r="D37" s="14" t="str">
        <f>TEXTVALUE!Q37</f>
        <v>Syahriyah = Rp 0
Jariyah = Rp 0
Daftar Ulang = Rp 0
Total = Rp 0
______________________
ID : 2025070498</v>
      </c>
      <c r="E37" s="14" t="str">
        <f>TEXTVALUE!P37</f>
        <v>Rp 0</v>
      </c>
      <c r="F37" s="14"/>
    </row>
    <row r="38">
      <c r="A38" s="14" t="str">
        <f>$E$1&amp;""&amp;TEXTVALUE!H38</f>
        <v>+6285784282773</v>
      </c>
      <c r="B38" s="14" t="str">
        <f>TEXTVALUE!B38</f>
        <v>KAYSYAH AZIZATUS SAADA</v>
      </c>
      <c r="C38" s="14" t="str">
        <f>TEXTVALUE!$E$1&amp;" : "&amp;TEXTVALUE!E38&amp;"
"&amp;TEXTVALUE!$G$1&amp;" : "&amp;TEXTVALUE!G38</f>
        <v>KAMAR : E-4
MADRASIAH : 2 ULA B PUTRI</v>
      </c>
      <c r="D38" s="14" t="str">
        <f>TEXTVALUE!Q38</f>
        <v>Syahriyah = Rp 0
Jariyah = Rp 1.000.000
Daftar Ulang = Rp 0
Total = Rp 1.000.000
______________________
ID : 2025070643</v>
      </c>
      <c r="E38" s="14" t="str">
        <f>TEXTVALUE!P38</f>
        <v>Rp 1.000.000</v>
      </c>
      <c r="F38" s="14"/>
    </row>
    <row r="39">
      <c r="A39" s="14" t="str">
        <f>$E$1&amp;""&amp;TEXTVALUE!H39</f>
        <v>+6285755176962</v>
      </c>
      <c r="B39" s="14" t="str">
        <f>TEXTVALUE!B39</f>
        <v>KHANSA ASADEL AL KHAIBAH</v>
      </c>
      <c r="C39" s="14" t="str">
        <f>TEXTVALUE!$E$1&amp;" : "&amp;TEXTVALUE!E39&amp;"
"&amp;TEXTVALUE!$G$1&amp;" : "&amp;TEXTVALUE!G39</f>
        <v>KAMAR : E-4
MADRASIAH : 2 ULA A PUTRI</v>
      </c>
      <c r="D39" s="14" t="str">
        <f>TEXTVALUE!Q39</f>
        <v>Syahriyah = Rp 0
Jariyah = Rp 0
Daftar Ulang = Rp 0
Total = Rp 0
______________________
ID : 2025070478</v>
      </c>
      <c r="E39" s="14" t="str">
        <f>TEXTVALUE!P39</f>
        <v>Rp 0</v>
      </c>
      <c r="F39" s="14"/>
    </row>
    <row r="40">
      <c r="A40" s="14" t="str">
        <f>$E$1&amp;""&amp;TEXTVALUE!H40</f>
        <v>+6285257244488</v>
      </c>
      <c r="B40" s="14" t="str">
        <f>TEXTVALUE!B40</f>
        <v>NAILATUS SYIFA`UL HUSNA</v>
      </c>
      <c r="C40" s="14" t="str">
        <f>TEXTVALUE!$E$1&amp;" : "&amp;TEXTVALUE!E40&amp;"
"&amp;TEXTVALUE!$G$1&amp;" : "&amp;TEXTVALUE!G40</f>
        <v>KAMAR : E-4
MADRASIAH : 2 ULA A PUTRI</v>
      </c>
      <c r="D40" s="14" t="str">
        <f>TEXTVALUE!Q40</f>
        <v>Syahriyah = Rp 0
Jariyah = Rp 1.000.000
Daftar Ulang = Rp 0
Total = Rp 1.000.000
______________________
ID : 2025070511</v>
      </c>
      <c r="E40" s="14" t="str">
        <f>TEXTVALUE!P40</f>
        <v>Rp 1.000.000</v>
      </c>
      <c r="F40" s="14"/>
    </row>
    <row r="41">
      <c r="A41" s="14" t="str">
        <f>$E$1&amp;""&amp;TEXTVALUE!H41</f>
        <v>+6285606769994</v>
      </c>
      <c r="B41" s="14" t="str">
        <f>TEXTVALUE!B41</f>
        <v>NAJWA BILQIS NAFISAH</v>
      </c>
      <c r="C41" s="14" t="str">
        <f>TEXTVALUE!$E$1&amp;" : "&amp;TEXTVALUE!E41&amp;"
"&amp;TEXTVALUE!$G$1&amp;" : "&amp;TEXTVALUE!G41</f>
        <v>KAMAR : E-4
MADRASIAH : 2 ULA B PUTRI</v>
      </c>
      <c r="D41" s="14" t="str">
        <f>TEXTVALUE!Q41</f>
        <v>Syahriyah = Rp 0
Jariyah = Rp 1.000.000
Daftar Ulang = Rp 0
Total = Rp 1.000.000
______________________
ID : 2025070552</v>
      </c>
      <c r="E41" s="14" t="str">
        <f>TEXTVALUE!P41</f>
        <v>Rp 1.000.000</v>
      </c>
      <c r="F41" s="14"/>
    </row>
    <row r="42">
      <c r="A42" s="14" t="str">
        <f>$E$1&amp;""&amp;TEXTVALUE!H42</f>
        <v>+6287783842404</v>
      </c>
      <c r="B42" s="14" t="str">
        <f>TEXTVALUE!B42</f>
        <v>NOVITA PUTRI SALSABILA</v>
      </c>
      <c r="C42" s="14" t="str">
        <f>TEXTVALUE!$E$1&amp;" : "&amp;TEXTVALUE!E42&amp;"
"&amp;TEXTVALUE!$G$1&amp;" : "&amp;TEXTVALUE!G42</f>
        <v>KAMAR : E-4
MADRASIAH : 2 ULA A PUTRI</v>
      </c>
      <c r="D42" s="14" t="str">
        <f>TEXTVALUE!Q42</f>
        <v>Syahriyah = Rp 0
Jariyah = Rp 0
Daftar Ulang = Rp 0
Total = Rp 0
______________________
ID : 2025070506</v>
      </c>
      <c r="E42" s="14" t="str">
        <f>TEXTVALUE!P42</f>
        <v>Rp 0</v>
      </c>
      <c r="F42" s="14"/>
    </row>
    <row r="43">
      <c r="A43" s="14" t="str">
        <f>$E$1&amp;""&amp;TEXTVALUE!H43</f>
        <v>+6285815230735</v>
      </c>
      <c r="B43" s="14" t="str">
        <f>TEXTVALUE!B43</f>
        <v>RIZKA ILMA HAQQIYA</v>
      </c>
      <c r="C43" s="14" t="str">
        <f>TEXTVALUE!$E$1&amp;" : "&amp;TEXTVALUE!E43&amp;"
"&amp;TEXTVALUE!$G$1&amp;" : "&amp;TEXTVALUE!G43</f>
        <v>KAMAR : E-4
MADRASIAH : 2 ULA A PUTRI</v>
      </c>
      <c r="D43" s="14" t="str">
        <f>TEXTVALUE!Q43</f>
        <v>Syahriyah = Rp 0
Jariyah = Rp 0
Daftar Ulang = Rp 0
Total = Rp 0
______________________
ID : 2025070629</v>
      </c>
      <c r="E43" s="14" t="str">
        <f>TEXTVALUE!P43</f>
        <v>Rp 0</v>
      </c>
      <c r="F43" s="14"/>
    </row>
    <row r="44">
      <c r="A44" s="14" t="str">
        <f>$E$1&amp;""&amp;TEXTVALUE!H44</f>
        <v>+6285706162506</v>
      </c>
      <c r="B44" s="14" t="str">
        <f>TEXTVALUE!B44</f>
        <v>SHOFIE AULIA AFIQAH MARSAID</v>
      </c>
      <c r="C44" s="14" t="str">
        <f>TEXTVALUE!$E$1&amp;" : "&amp;TEXTVALUE!E44&amp;"
"&amp;TEXTVALUE!$G$1&amp;" : "&amp;TEXTVALUE!G44</f>
        <v>KAMAR : E-4
MADRASIAH : ULA</v>
      </c>
      <c r="D44" s="14" t="str">
        <f>TEXTVALUE!Q44</f>
        <v>Syahriyah = Rp 500.000
Jariyah = Rp 1.000.000
Daftar Ulang = Rp 0
Total = Rp 1.500.000
______________________
ID : 2025070593</v>
      </c>
      <c r="E44" s="14" t="str">
        <f>TEXTVALUE!P44</f>
        <v>Rp 1.500.000</v>
      </c>
      <c r="F44" s="14"/>
    </row>
    <row r="45">
      <c r="A45" s="14" t="str">
        <f>$E$1&amp;""&amp;TEXTVALUE!H45</f>
        <v>+6281335474858</v>
      </c>
      <c r="B45" s="14" t="str">
        <f>TEXTVALUE!B45</f>
        <v>SINTIYA PUTRI HIDAYAH</v>
      </c>
      <c r="C45" s="14" t="str">
        <f>TEXTVALUE!$E$1&amp;" : "&amp;TEXTVALUE!E45&amp;"
"&amp;TEXTVALUE!$G$1&amp;" : "&amp;TEXTVALUE!G45</f>
        <v>KAMAR : E-4
MADRASIAH : 2 ULA A PUTRI</v>
      </c>
      <c r="D45" s="14" t="str">
        <f>TEXTVALUE!Q45</f>
        <v>Syahriyah = Rp 0
Jariyah = Rp 1.000.000
Daftar Ulang = Rp 0
Total = Rp 1.000.000
______________________
ID : 2025070614</v>
      </c>
      <c r="E45" s="14" t="str">
        <f>TEXTVALUE!P45</f>
        <v>Rp 1.000.000</v>
      </c>
      <c r="F45" s="14"/>
    </row>
    <row r="46">
      <c r="A46" s="14" t="str">
        <f>$E$1&amp;""&amp;TEXTVALUE!H46</f>
        <v>+62881026635988</v>
      </c>
      <c r="B46" s="14" t="str">
        <f>TEXTVALUE!B46</f>
        <v>AFRA NAILA ARKARNA</v>
      </c>
      <c r="C46" s="14" t="str">
        <f>TEXTVALUE!$E$1&amp;" : "&amp;TEXTVALUE!E46&amp;"
"&amp;TEXTVALUE!$G$1&amp;" : "&amp;TEXTVALUE!G46</f>
        <v>KAMAR : E-5
MADRASIAH : 2 WUSTHO B PUTRI</v>
      </c>
      <c r="D46" s="14" t="str">
        <f>TEXTVALUE!Q46</f>
        <v>Syahriyah = Rp 950.000
Jariyah = Rp 800.000
Daftar Ulang = Rp 0
Total = Rp 1.750.000
______________________
ID : 2025070164</v>
      </c>
      <c r="E46" s="14" t="str">
        <f>TEXTVALUE!P46</f>
        <v>Rp 1.750.000</v>
      </c>
      <c r="F46" s="14"/>
    </row>
    <row r="47">
      <c r="A47" s="14" t="str">
        <f>$E$1&amp;""&amp;TEXTVALUE!H47</f>
        <v>+62895410761833</v>
      </c>
      <c r="B47" s="14" t="str">
        <f>TEXTVALUE!B47</f>
        <v>ALMIRA GHANIYAH AZ-ZAHRAH</v>
      </c>
      <c r="C47" s="14" t="str">
        <f>TEXTVALUE!$E$1&amp;" : "&amp;TEXTVALUE!E47&amp;"
"&amp;TEXTVALUE!$G$1&amp;" : "&amp;TEXTVALUE!G47</f>
        <v>KAMAR : E-5
MADRASIAH : 2 WUSTHO B PUTRI</v>
      </c>
      <c r="D47" s="14" t="str">
        <f>TEXTVALUE!Q47</f>
        <v>Syahriyah = Rp 0
Jariyah = Rp 0
Daftar Ulang = Rp 0
Total = Rp 0
______________________
ID : 2025070071</v>
      </c>
      <c r="E47" s="14" t="str">
        <f>TEXTVALUE!P47</f>
        <v>Rp 0</v>
      </c>
      <c r="F47" s="14"/>
    </row>
    <row r="48">
      <c r="A48" s="14" t="str">
        <f>$E$1&amp;""&amp;TEXTVALUE!H48</f>
        <v>+6285802923208</v>
      </c>
      <c r="B48" s="14" t="str">
        <f>TEXTVALUE!B48</f>
        <v>ALVINA AGHNIYA FATMAH</v>
      </c>
      <c r="C48" s="14" t="str">
        <f>TEXTVALUE!$E$1&amp;" : "&amp;TEXTVALUE!E48&amp;"
"&amp;TEXTVALUE!$G$1&amp;" : "&amp;TEXTVALUE!G48</f>
        <v>KAMAR : E-5
MADRASIAH : TAHFIDZ</v>
      </c>
      <c r="D48" s="14" t="str">
        <f>TEXTVALUE!Q48</f>
        <v>Syahriyah = Rp 0
Jariyah = Rp 1.000.000
Daftar Ulang = Rp 0
Total = Rp 1.000.000
______________________
ID : 2025070316</v>
      </c>
      <c r="E48" s="14" t="str">
        <f>TEXTVALUE!P48</f>
        <v>Rp 1.000.000</v>
      </c>
      <c r="F48" s="14"/>
    </row>
    <row r="49">
      <c r="A49" s="14" t="str">
        <f>$E$1&amp;""&amp;TEXTVALUE!H49</f>
        <v>+6281216494000</v>
      </c>
      <c r="B49" s="14" t="str">
        <f>TEXTVALUE!B49</f>
        <v>FARIZA KAHLA` NAJWA</v>
      </c>
      <c r="C49" s="14" t="str">
        <f>TEXTVALUE!$E$1&amp;" : "&amp;TEXTVALUE!E49&amp;"
"&amp;TEXTVALUE!$G$1&amp;" : "&amp;TEXTVALUE!G49</f>
        <v>KAMAR : E-5
MADRASIAH : 2 WUSTHO B PUTRI</v>
      </c>
      <c r="D49" s="14" t="str">
        <f>TEXTVALUE!Q49</f>
        <v>Syahriyah = Rp 0
Jariyah = Rp 0
Daftar Ulang = Rp 0
Total = Rp 0
______________________
ID : 2025070149</v>
      </c>
      <c r="E49" s="14" t="str">
        <f>TEXTVALUE!P49</f>
        <v>Rp 0</v>
      </c>
      <c r="F49" s="14"/>
    </row>
    <row r="50">
      <c r="A50" s="14" t="str">
        <f>$E$1&amp;""&amp;TEXTVALUE!H50</f>
        <v>+6281515526152</v>
      </c>
      <c r="B50" s="14" t="str">
        <f>TEXTVALUE!B50</f>
        <v>HALWA MALEEHATUL FITRIYAH</v>
      </c>
      <c r="C50" s="14" t="str">
        <f>TEXTVALUE!$E$1&amp;" : "&amp;TEXTVALUE!E50&amp;"
"&amp;TEXTVALUE!$G$1&amp;" : "&amp;TEXTVALUE!G50</f>
        <v>KAMAR : E-5
MADRASIAH : 2 ULA A PUTRI</v>
      </c>
      <c r="D50" s="14" t="str">
        <f>TEXTVALUE!Q50</f>
        <v>Syahriyah = Rp 0
Jariyah = Rp 1.000.000
Daftar Ulang = Rp 0
Total = Rp 1.000.000
______________________
ID : 2025070655</v>
      </c>
      <c r="E50" s="14" t="str">
        <f>TEXTVALUE!P50</f>
        <v>Rp 1.000.000</v>
      </c>
      <c r="F50" s="14"/>
    </row>
    <row r="51">
      <c r="A51" s="14" t="str">
        <f>$E$1&amp;""&amp;TEXTVALUE!H51</f>
        <v>+6288989765237</v>
      </c>
      <c r="B51" s="14" t="str">
        <f>TEXTVALUE!B51</f>
        <v>HILWAA FARIDATUL AZIZAH</v>
      </c>
      <c r="C51" s="14" t="str">
        <f>TEXTVALUE!$E$1&amp;" : "&amp;TEXTVALUE!E51&amp;"
"&amp;TEXTVALUE!$G$1&amp;" : "&amp;TEXTVALUE!G51</f>
        <v>KAMAR : E-5
MADRASIAH : 2 WUSTHO B PUTRI</v>
      </c>
      <c r="D51" s="14" t="str">
        <f>TEXTVALUE!Q51</f>
        <v>Syahriyah = Rp 0
Jariyah = Rp 0
Daftar Ulang = Rp 0
Total = Rp 0
______________________
ID : 2025070355</v>
      </c>
      <c r="E51" s="14" t="str">
        <f>TEXTVALUE!P51</f>
        <v>Rp 0</v>
      </c>
      <c r="F51" s="14"/>
    </row>
    <row r="52">
      <c r="A52" s="14" t="str">
        <f>$E$1&amp;""&amp;TEXTVALUE!H52</f>
        <v>+6281331557560</v>
      </c>
      <c r="B52" s="14" t="str">
        <f>TEXTVALUE!B52</f>
        <v>INDAH AYU FERA</v>
      </c>
      <c r="C52" s="14" t="str">
        <f>TEXTVALUE!$E$1&amp;" : "&amp;TEXTVALUE!E52&amp;"
"&amp;TEXTVALUE!$G$1&amp;" : "&amp;TEXTVALUE!G52</f>
        <v>KAMAR : E-5
MADRASIAH : 2 WUSTHO B PUTRI</v>
      </c>
      <c r="D52" s="14" t="str">
        <f>TEXTVALUE!Q52</f>
        <v>Syahriyah = Rp 2.000.000
Jariyah = Rp 0
Daftar Ulang = Rp 0
Total = Rp 2.000.000
______________________
ID : 2025070167</v>
      </c>
      <c r="E52" s="14" t="str">
        <f>TEXTVALUE!P52</f>
        <v>Rp 2.000.000</v>
      </c>
      <c r="F52" s="14"/>
    </row>
    <row r="53">
      <c r="A53" s="14" t="str">
        <f>$E$1&amp;""&amp;TEXTVALUE!H53</f>
        <v>+6281216956050</v>
      </c>
      <c r="B53" s="14" t="str">
        <f>TEXTVALUE!B53</f>
        <v>KHANSA ZHAFIRAH AFRAH</v>
      </c>
      <c r="C53" s="14" t="str">
        <f>TEXTVALUE!$E$1&amp;" : "&amp;TEXTVALUE!E53&amp;"
"&amp;TEXTVALUE!$G$1&amp;" : "&amp;TEXTVALUE!G53</f>
        <v>KAMAR : E-5
MADRASIAH : 2 MAK PUTRI</v>
      </c>
      <c r="D53" s="14" t="str">
        <f>TEXTVALUE!Q53</f>
        <v>Syahriyah = Rp 1.000.000
Jariyah = Rp 0
Daftar Ulang = Rp 0
Total = Rp 1.000.000
______________________
ID : 2025070141</v>
      </c>
      <c r="E53" s="14" t="str">
        <f>TEXTVALUE!P53</f>
        <v>Rp 1.000.000</v>
      </c>
      <c r="F53" s="14"/>
    </row>
    <row r="54">
      <c r="A54" s="14" t="str">
        <f>$E$1&amp;""&amp;TEXTVALUE!H54</f>
        <v>+6281230750632</v>
      </c>
      <c r="B54" s="14" t="str">
        <f>TEXTVALUE!B54</f>
        <v>MAULIDA ARIFAH</v>
      </c>
      <c r="C54" s="14" t="str">
        <f>TEXTVALUE!$E$1&amp;" : "&amp;TEXTVALUE!E54&amp;"
"&amp;TEXTVALUE!$G$1&amp;" : "&amp;TEXTVALUE!G54</f>
        <v>KAMAR : E-5
MADRASIAH : 2 ULA A PUTRI</v>
      </c>
      <c r="D54" s="14" t="str">
        <f>TEXTVALUE!Q54</f>
        <v>Syahriyah = Rp 500.000
Jariyah = Rp 1.000.000
Daftar Ulang = Rp 0
Total = Rp 1.500.000
______________________
ID : 2025070510</v>
      </c>
      <c r="E54" s="14" t="str">
        <f>TEXTVALUE!P54</f>
        <v>Rp 1.500.000</v>
      </c>
      <c r="F54" s="14"/>
    </row>
    <row r="55">
      <c r="A55" s="14" t="str">
        <f>$E$1&amp;""&amp;TEXTVALUE!H55</f>
        <v>+6285815643321</v>
      </c>
      <c r="B55" s="14" t="str">
        <f>TEXTVALUE!B55</f>
        <v>NURISMA ZIANA</v>
      </c>
      <c r="C55" s="14" t="str">
        <f>TEXTVALUE!$E$1&amp;" : "&amp;TEXTVALUE!E55&amp;"
"&amp;TEXTVALUE!$G$1&amp;" : "&amp;TEXTVALUE!G55</f>
        <v>KAMAR : E-5
MADRASIAH : 2 WUSTHO D PUTRI</v>
      </c>
      <c r="D55" s="14" t="str">
        <f>TEXTVALUE!Q55</f>
        <v>Syahriyah = Rp 500.000
Jariyah = Rp 0
Daftar Ulang = Rp 0
Total = Rp 500.000
______________________
ID : 2025070443</v>
      </c>
      <c r="E55" s="14" t="str">
        <f>TEXTVALUE!P55</f>
        <v>Rp 500.000</v>
      </c>
      <c r="F55" s="14"/>
    </row>
    <row r="56">
      <c r="A56" s="14" t="str">
        <f>$E$1&amp;""&amp;TEXTVALUE!H56</f>
        <v>+6285755749598</v>
      </c>
      <c r="B56" s="14" t="str">
        <f>TEXTVALUE!B56</f>
        <v>SHOFFI NANDHA RISTASARI</v>
      </c>
      <c r="C56" s="14" t="str">
        <f>TEXTVALUE!$E$1&amp;" : "&amp;TEXTVALUE!E56&amp;"
"&amp;TEXTVALUE!$G$1&amp;" : "&amp;TEXTVALUE!G56</f>
        <v>KAMAR : E-5
MADRASIAH : 2 MAK PUTRI</v>
      </c>
      <c r="D56" s="14" t="str">
        <f>TEXTVALUE!Q56</f>
        <v>Syahriyah = Rp 500.000
Jariyah = Rp 1.000.000
Daftar Ulang = Rp 0
Total = Rp 1.500.000
______________________
ID : 2025070234</v>
      </c>
      <c r="E56" s="14" t="str">
        <f>TEXTVALUE!P56</f>
        <v>Rp 1.500.000</v>
      </c>
      <c r="F56" s="14"/>
    </row>
    <row r="57">
      <c r="A57" s="14" t="str">
        <f>$E$1&amp;""&amp;TEXTVALUE!H57</f>
        <v>+6285755100370</v>
      </c>
      <c r="B57" s="14" t="str">
        <f>TEXTVALUE!B57</f>
        <v>YOGI ROFIATUS MAULA</v>
      </c>
      <c r="C57" s="14" t="str">
        <f>TEXTVALUE!$E$1&amp;" : "&amp;TEXTVALUE!E57&amp;"
"&amp;TEXTVALUE!$G$1&amp;" : "&amp;TEXTVALUE!G57</f>
        <v>KAMAR : E-5
MADRASIAH : 2 ULA C PUTRI</v>
      </c>
      <c r="D57" s="14" t="str">
        <f>TEXTVALUE!Q57</f>
        <v>Syahriyah = Rp 0
Jariyah = Rp 1.000.000
Daftar Ulang = Rp 0
Total = Rp 1.000.000
______________________
ID : 2025070503</v>
      </c>
      <c r="E57" s="14" t="str">
        <f>TEXTVALUE!P57</f>
        <v>Rp 1.000.000</v>
      </c>
      <c r="F57" s="14"/>
    </row>
    <row r="58">
      <c r="A58" s="14" t="str">
        <f>$E$1&amp;""&amp;TEXTVALUE!H58</f>
        <v>+6285859402324</v>
      </c>
      <c r="B58" s="14" t="str">
        <f>TEXTVALUE!B58</f>
        <v>ZAHIRA JULIA SAIDAH</v>
      </c>
      <c r="C58" s="14" t="str">
        <f>TEXTVALUE!$E$1&amp;" : "&amp;TEXTVALUE!E58&amp;"
"&amp;TEXTVALUE!$G$1&amp;" : "&amp;TEXTVALUE!G58</f>
        <v>KAMAR : E-5
MADRASIAH : 2 WUSTHO B PUTRI</v>
      </c>
      <c r="D58" s="14" t="str">
        <f>TEXTVALUE!Q58</f>
        <v>Syahriyah = Rp 3.500.000
Jariyah = Rp 0
Daftar Ulang = Rp 0
Total = Rp 3.500.000
______________________
ID : 2025070168</v>
      </c>
      <c r="E58" s="14" t="str">
        <f>TEXTVALUE!P58</f>
        <v>Rp 3.500.000</v>
      </c>
      <c r="F58" s="14"/>
    </row>
    <row r="59">
      <c r="A59" s="14" t="str">
        <f>$E$1&amp;""&amp;TEXTVALUE!H59</f>
        <v>+6282141276033</v>
      </c>
      <c r="B59" s="14" t="str">
        <f>TEXTVALUE!B59</f>
        <v>AURA HANNA ZILFAH DLOFWATUL `AISY</v>
      </c>
      <c r="C59" s="14" t="str">
        <f>TEXTVALUE!$E$1&amp;" : "&amp;TEXTVALUE!E59&amp;"
"&amp;TEXTVALUE!$G$1&amp;" : "&amp;TEXTVALUE!G59</f>
        <v>KAMAR : E-5
MADRASIAH : 2 WUSTHO B PUTRI</v>
      </c>
      <c r="D59" s="14" t="str">
        <f>TEXTVALUE!Q59</f>
        <v>Syahriyah = Rp 0
Jariyah = Rp 0
Daftar Ulang = Rp 0
Total = Rp 0
______________________
ID : 2025070411</v>
      </c>
      <c r="E59" s="14" t="str">
        <f>TEXTVALUE!P59</f>
        <v>Rp 0</v>
      </c>
      <c r="F59" s="14"/>
    </row>
    <row r="60">
      <c r="A60" s="14" t="str">
        <f>$E$1&amp;""&amp;TEXTVALUE!H60</f>
        <v>+6285607273151</v>
      </c>
      <c r="B60" s="14" t="str">
        <f>TEXTVALUE!B60</f>
        <v>NURUL AZMY</v>
      </c>
      <c r="C60" s="14" t="str">
        <f>TEXTVALUE!$E$1&amp;" : "&amp;TEXTVALUE!E60&amp;"
"&amp;TEXTVALUE!$G$1&amp;" : "&amp;TEXTVALUE!G60</f>
        <v>KAMAR : E-5
MADRASIAH : 2 MAK PUTRI</v>
      </c>
      <c r="D60" s="14" t="str">
        <f>TEXTVALUE!Q60</f>
        <v>Syahriyah = Rp 0
Jariyah = Rp 0
Daftar Ulang = Rp 0
Total = Rp 0
______________________
ID : 2025070130</v>
      </c>
      <c r="E60" s="14" t="str">
        <f>TEXTVALUE!P60</f>
        <v>Rp 0</v>
      </c>
      <c r="F60" s="14"/>
    </row>
    <row r="61">
      <c r="A61" s="14" t="str">
        <f>$E$1&amp;""&amp;TEXTVALUE!H61</f>
        <v>+62882010266512</v>
      </c>
      <c r="B61" s="14" t="str">
        <f>TEXTVALUE!B61</f>
        <v>INTAN PUTRI CAHYANI</v>
      </c>
      <c r="C61" s="14" t="str">
        <f>TEXTVALUE!$E$1&amp;" : "&amp;TEXTVALUE!E61&amp;"
"&amp;TEXTVALUE!$G$1&amp;" : "&amp;TEXTVALUE!G61</f>
        <v>KAMAR : E-5
MADRASIAH : 2 MAK PUTRI</v>
      </c>
      <c r="D61" s="14" t="str">
        <f>TEXTVALUE!Q61</f>
        <v>Syahriyah = Rp 0
Jariyah = Rp 0
Daftar Ulang = Rp 0
Total = Rp 0
______________________
ID : 2025070101</v>
      </c>
      <c r="E61" s="14" t="str">
        <f>TEXTVALUE!P61</f>
        <v>Rp 0</v>
      </c>
      <c r="F61" s="14"/>
    </row>
    <row r="62">
      <c r="A62" s="14" t="str">
        <f>$E$1&amp;""&amp;TEXTVALUE!H62</f>
        <v>+6285812457269</v>
      </c>
      <c r="B62" s="14" t="str">
        <f>TEXTVALUE!B62</f>
        <v>ZAIMAH LULU AZKIYAH</v>
      </c>
      <c r="C62" s="14" t="str">
        <f>TEXTVALUE!$E$1&amp;" : "&amp;TEXTVALUE!E62&amp;"
"&amp;TEXTVALUE!$G$1&amp;" : "&amp;TEXTVALUE!G62</f>
        <v>KAMAR : E-5
MADRASIAH : 2 WUSTHO B PUTRI</v>
      </c>
      <c r="D62" s="14" t="str">
        <f>TEXTVALUE!Q62</f>
        <v>Syahriyah = Rp 1.000.000
Jariyah = Rp 0
Daftar Ulang = Rp 0
Total = Rp 1.000.000
______________________
ID : 2025070210</v>
      </c>
      <c r="E62" s="14" t="str">
        <f>TEXTVALUE!P62</f>
        <v>Rp 1.000.000</v>
      </c>
      <c r="F62" s="14"/>
    </row>
    <row r="63">
      <c r="A63" s="14" t="str">
        <f>$E$1&amp;""&amp;TEXTVALUE!H63</f>
        <v>+6285749892788</v>
      </c>
      <c r="B63" s="14" t="str">
        <f>TEXTVALUE!B63</f>
        <v>ANISA RETNO LULUK NUR MANGGALI</v>
      </c>
      <c r="C63" s="14" t="str">
        <f>TEXTVALUE!$E$1&amp;" : "&amp;TEXTVALUE!E63&amp;"
"&amp;TEXTVALUE!$G$1&amp;" : "&amp;TEXTVALUE!G63</f>
        <v>KAMAR : E-6
MADRASIAH : 2 ULA C PUTRI</v>
      </c>
      <c r="D63" s="14" t="str">
        <f>TEXTVALUE!Q63</f>
        <v>Syahriyah = Rp 0
Jariyah = Rp 200.000
Daftar Ulang = Rp 0
Total = Rp 200.000
______________________
ID : 2025070598</v>
      </c>
      <c r="E63" s="14" t="str">
        <f>TEXTVALUE!P63</f>
        <v>Rp 200.000</v>
      </c>
      <c r="F63" s="14"/>
    </row>
    <row r="64">
      <c r="A64" s="14" t="str">
        <f>$E$1&amp;""&amp;TEXTVALUE!H64</f>
        <v>+6285749892788</v>
      </c>
      <c r="B64" s="14" t="str">
        <f>TEXTVALUE!B64</f>
        <v>ANITA RETNO LULUK NUR WAKISTASARI</v>
      </c>
      <c r="C64" s="14" t="str">
        <f>TEXTVALUE!$E$1&amp;" : "&amp;TEXTVALUE!E64&amp;"
"&amp;TEXTVALUE!$G$1&amp;" : "&amp;TEXTVALUE!G64</f>
        <v>KAMAR : E-6
MADRASIAH : 2 ULA B PUTRI</v>
      </c>
      <c r="D64" s="14" t="str">
        <f>TEXTVALUE!Q64</f>
        <v>Syahriyah = Rp 0
Jariyah = Rp 200.000
Daftar Ulang = Rp 0
Total = Rp 200.000
______________________
ID : 2025070599</v>
      </c>
      <c r="E64" s="14" t="str">
        <f>TEXTVALUE!P64</f>
        <v>Rp 200.000</v>
      </c>
      <c r="F64" s="14"/>
    </row>
    <row r="65">
      <c r="A65" s="14" t="str">
        <f>$E$1&amp;""&amp;TEXTVALUE!H65</f>
        <v>+6285859446395</v>
      </c>
      <c r="B65" s="14" t="str">
        <f>TEXTVALUE!B65</f>
        <v>ASYIFATUR RAHMAH AL AZZA</v>
      </c>
      <c r="C65" s="14" t="str">
        <f>TEXTVALUE!$E$1&amp;" : "&amp;TEXTVALUE!E65&amp;"
"&amp;TEXTVALUE!$G$1&amp;" : "&amp;TEXTVALUE!G65</f>
        <v>KAMAR : E-6
MADRASIAH : 2 ULA B PUTRI</v>
      </c>
      <c r="D65" s="14" t="str">
        <f>TEXTVALUE!Q65</f>
        <v>Syahriyah = Rp 3.000.000
Jariyah = Rp 0
Daftar Ulang = Rp 0
Total = Rp 3.000.000
______________________
ID : 2025070664</v>
      </c>
      <c r="E65" s="14" t="str">
        <f>TEXTVALUE!P65</f>
        <v>Rp 3.000.000</v>
      </c>
      <c r="F65" s="14"/>
    </row>
    <row r="66">
      <c r="A66" s="14" t="str">
        <f>$E$1&amp;""&amp;TEXTVALUE!H66</f>
        <v>+6281293344944</v>
      </c>
      <c r="B66" s="14" t="str">
        <f>TEXTVALUE!B66</f>
        <v>CITRA RAMADHANIA ABDILLAH</v>
      </c>
      <c r="C66" s="14" t="str">
        <f>TEXTVALUE!$E$1&amp;" : "&amp;TEXTVALUE!E66&amp;"
"&amp;TEXTVALUE!$G$1&amp;" : "&amp;TEXTVALUE!G66</f>
        <v>KAMAR : E-6
MADRASIAH : 2 ULA B PUTRI</v>
      </c>
      <c r="D66" s="14" t="str">
        <f>TEXTVALUE!Q66</f>
        <v>Syahriyah = Rp 0
Jariyah = Rp 0
Daftar Ulang = Rp 0
Total = Rp 0
______________________
ID : 2025070549</v>
      </c>
      <c r="E66" s="14" t="str">
        <f>TEXTVALUE!P66</f>
        <v>Rp 0</v>
      </c>
      <c r="F66" s="14"/>
    </row>
    <row r="67">
      <c r="A67" s="14" t="str">
        <f>$E$1&amp;""&amp;TEXTVALUE!H67</f>
        <v>+6287701956767</v>
      </c>
      <c r="B67" s="14" t="str">
        <f>TEXTVALUE!B67</f>
        <v>FAIZAH WAHIDATUR RAHMAH</v>
      </c>
      <c r="C67" s="14" t="str">
        <f>TEXTVALUE!$E$1&amp;" : "&amp;TEXTVALUE!E67&amp;"
"&amp;TEXTVALUE!$G$1&amp;" : "&amp;TEXTVALUE!G67</f>
        <v>KAMAR : E-6
MADRASIAH : 2 ULA B PUTRI</v>
      </c>
      <c r="D67" s="14" t="str">
        <f>TEXTVALUE!Q67</f>
        <v>Syahriyah = Rp 0
Jariyah = Rp 1.000.000
Daftar Ulang = Rp 0
Total = Rp 1.000.000
______________________
ID : 2025070570</v>
      </c>
      <c r="E67" s="14" t="str">
        <f>TEXTVALUE!P67</f>
        <v>Rp 1.000.000</v>
      </c>
      <c r="F67" s="14"/>
    </row>
    <row r="68">
      <c r="A68" s="14" t="str">
        <f>$E$1&amp;""&amp;TEXTVALUE!H68</f>
        <v>+6285755628243</v>
      </c>
      <c r="B68" s="14" t="str">
        <f>TEXTVALUE!B68</f>
        <v>TITIN HAMIDAH ALIFIA</v>
      </c>
      <c r="C68" s="14" t="str">
        <f>TEXTVALUE!$E$1&amp;" : "&amp;TEXTVALUE!E68&amp;"
"&amp;TEXTVALUE!$G$1&amp;" : "&amp;TEXTVALUE!G68</f>
        <v>KAMAR : E-6
MADRASIAH : 2 ULA A PUTRI</v>
      </c>
      <c r="D68" s="14" t="str">
        <f>TEXTVALUE!Q68</f>
        <v>Syahriyah = Rp 0
Jariyah = Rp 500.000
Daftar Ulang = Rp 0
Total = Rp 500.000
______________________
ID : 2025070581</v>
      </c>
      <c r="E68" s="14" t="str">
        <f>TEXTVALUE!P68</f>
        <v>Rp 500.000</v>
      </c>
      <c r="F68" s="14"/>
    </row>
    <row r="69">
      <c r="A69" s="14" t="str">
        <f>$E$1&amp;""&amp;TEXTVALUE!H69</f>
        <v>+62816216569</v>
      </c>
      <c r="B69" s="14" t="str">
        <f>TEXTVALUE!B69</f>
        <v>AJENG `AINUS SHOFIA</v>
      </c>
      <c r="C69" s="14" t="str">
        <f>TEXTVALUE!$E$1&amp;" : "&amp;TEXTVALUE!E69&amp;"
"&amp;TEXTVALUE!$G$1&amp;" : "&amp;TEXTVALUE!G69</f>
        <v>KAMAR : E-6
MADRASIAH : 2 WUSTHO B PUTRI</v>
      </c>
      <c r="D69" s="14" t="str">
        <f>TEXTVALUE!Q69</f>
        <v>Syahriyah = Rp 0
Jariyah = Rp 0
Daftar Ulang = Rp 0
Total = Rp 0
______________________
ID : 2025070024</v>
      </c>
      <c r="E69" s="14" t="str">
        <f>TEXTVALUE!P69</f>
        <v>Rp 0</v>
      </c>
      <c r="F69" s="14"/>
    </row>
    <row r="70">
      <c r="A70" s="14" t="str">
        <f>$E$1&amp;""&amp;TEXTVALUE!H70</f>
        <v>+6285606014252</v>
      </c>
      <c r="B70" s="14" t="str">
        <f>TEXTVALUE!B70</f>
        <v>NI`MATUL JANNAH</v>
      </c>
      <c r="C70" s="14" t="str">
        <f>TEXTVALUE!$E$1&amp;" : "&amp;TEXTVALUE!E70&amp;"
"&amp;TEXTVALUE!$G$1&amp;" : "&amp;TEXTVALUE!G70</f>
        <v>KAMAR : E-6
MADRASIAH : 2 MAK PUTRI</v>
      </c>
      <c r="D70" s="14" t="str">
        <f>TEXTVALUE!Q70</f>
        <v>Syahriyah = Rp 0
Jariyah = Rp 0
Daftar Ulang = Rp 0
Total = Rp 0
______________________
ID : 2025070199</v>
      </c>
      <c r="E70" s="14" t="str">
        <f>TEXTVALUE!P70</f>
        <v>Rp 0</v>
      </c>
      <c r="F70" s="14"/>
    </row>
    <row r="71">
      <c r="A71" s="14" t="str">
        <f>$E$1&amp;""&amp;TEXTVALUE!H71</f>
        <v>+6285732704608</v>
      </c>
      <c r="B71" s="14" t="str">
        <f>TEXTVALUE!B71</f>
        <v>AIDA NURUL AINI</v>
      </c>
      <c r="C71" s="14" t="str">
        <f>TEXTVALUE!$E$1&amp;" : "&amp;TEXTVALUE!E71&amp;"
"&amp;TEXTVALUE!$G$1&amp;" : "&amp;TEXTVALUE!G71</f>
        <v>KAMAR : E-9
MADRASIAH : 3 ULA A PUTRI</v>
      </c>
      <c r="D71" s="14" t="str">
        <f>TEXTVALUE!Q71</f>
        <v>Syahriyah = Rp 0
Jariyah = Rp 1.000.000
Daftar Ulang = Rp 0
Total = Rp 1.000.000
______________________
ID : 2024070582</v>
      </c>
      <c r="E71" s="14" t="str">
        <f>TEXTVALUE!P71</f>
        <v>Rp 1.000.000</v>
      </c>
      <c r="F71" s="14"/>
    </row>
    <row r="72">
      <c r="A72" s="14" t="str">
        <f>$E$1&amp;""&amp;TEXTVALUE!H72</f>
        <v>+6285733946516</v>
      </c>
      <c r="B72" s="14" t="str">
        <f>TEXTVALUE!B72</f>
        <v>AIKE NESAFA ULIFIA</v>
      </c>
      <c r="C72" s="14" t="str">
        <f>TEXTVALUE!$E$1&amp;" : "&amp;TEXTVALUE!E72&amp;"
"&amp;TEXTVALUE!$G$1&amp;" : "&amp;TEXTVALUE!G72</f>
        <v>KAMAR : E-9
MADRASIAH : 3 ULA B PUTRI</v>
      </c>
      <c r="D72" s="14" t="str">
        <f>TEXTVALUE!Q72</f>
        <v>Syahriyah = Rp 0
Jariyah = Rp 0
Daftar Ulang = Rp 0
Total = Rp 0
______________________
ID : 2024070450</v>
      </c>
      <c r="E72" s="14" t="str">
        <f>TEXTVALUE!P72</f>
        <v>Rp 0</v>
      </c>
      <c r="F72" s="14"/>
    </row>
    <row r="73">
      <c r="A73" s="14" t="str">
        <f>$E$1&amp;""&amp;TEXTVALUE!H73</f>
        <v>+6282234537281</v>
      </c>
      <c r="B73" s="14" t="str">
        <f>TEXTVALUE!B73</f>
        <v>CHARISA WANIDYA UTAMA HARTONO</v>
      </c>
      <c r="C73" s="14" t="str">
        <f>TEXTVALUE!$E$1&amp;" : "&amp;TEXTVALUE!E73&amp;"
"&amp;TEXTVALUE!$G$1&amp;" : "&amp;TEXTVALUE!G73</f>
        <v>KAMAR : E-9
MADRASIAH : 3 ULA A PUTRI</v>
      </c>
      <c r="D73" s="14" t="str">
        <f>TEXTVALUE!Q73</f>
        <v>Syahriyah = Rp 0
Jariyah = Rp 0
Daftar Ulang = Rp 0
Total = Rp 0
______________________
ID : 2024070476</v>
      </c>
      <c r="E73" s="14" t="str">
        <f>TEXTVALUE!P73</f>
        <v>Rp 0</v>
      </c>
      <c r="F73" s="14"/>
    </row>
    <row r="74">
      <c r="A74" s="14" t="str">
        <f>$E$1&amp;""&amp;TEXTVALUE!H74</f>
        <v>+6285853420436</v>
      </c>
      <c r="B74" s="14" t="str">
        <f>TEXTVALUE!B74</f>
        <v>DWI MAULIDIYAH</v>
      </c>
      <c r="C74" s="14" t="str">
        <f>TEXTVALUE!$E$1&amp;" : "&amp;TEXTVALUE!E74&amp;"
"&amp;TEXTVALUE!$G$1&amp;" : "&amp;TEXTVALUE!G74</f>
        <v>KAMAR : E-9
MADRASIAH : 3 ULA B PUTRI</v>
      </c>
      <c r="D74" s="14" t="str">
        <f>TEXTVALUE!Q74</f>
        <v>Syahriyah = Rp 270.000
Jariyah = Rp 0
Daftar Ulang = Rp 0
Total = Rp 270.000
______________________
ID : 2024070596</v>
      </c>
      <c r="E74" s="14" t="str">
        <f>TEXTVALUE!P74</f>
        <v>Rp 270.000</v>
      </c>
      <c r="F74" s="14"/>
    </row>
    <row r="75">
      <c r="A75" s="14" t="str">
        <f>$E$1&amp;""&amp;TEXTVALUE!H75</f>
        <v>+6281332772930</v>
      </c>
      <c r="B75" s="14" t="str">
        <f>TEXTVALUE!B75</f>
        <v>FARAH OKTARIAN SYAHPUTRI</v>
      </c>
      <c r="C75" s="14" t="str">
        <f>TEXTVALUE!$E$1&amp;" : "&amp;TEXTVALUE!E75&amp;"
"&amp;TEXTVALUE!$G$1&amp;" : "&amp;TEXTVALUE!G75</f>
        <v>KAMAR : E-9
MADRASIAH : 3 ULA C PUTRI</v>
      </c>
      <c r="D75" s="14" t="str">
        <f>TEXTVALUE!Q75</f>
        <v>Syahriyah = Rp 0
Jariyah = Rp 500.000
Daftar Ulang = Rp 0
Total = Rp 500.000
______________________
ID : 2024070466</v>
      </c>
      <c r="E75" s="14" t="str">
        <f>TEXTVALUE!P75</f>
        <v>Rp 500.000</v>
      </c>
      <c r="F75" s="14"/>
    </row>
    <row r="76">
      <c r="A76" s="14" t="str">
        <f>$E$1&amp;""&amp;TEXTVALUE!H76</f>
        <v>+6285745981726</v>
      </c>
      <c r="B76" s="14" t="str">
        <f>TEXTVALUE!B76</f>
        <v>LAILATUL MAGHFIROH</v>
      </c>
      <c r="C76" s="14" t="str">
        <f>TEXTVALUE!$E$1&amp;" : "&amp;TEXTVALUE!E76&amp;"
"&amp;TEXTVALUE!$G$1&amp;" : "&amp;TEXTVALUE!G76</f>
        <v>KAMAR : E-9
MADRASIAH : 3 ULA A PUTRI</v>
      </c>
      <c r="D76" s="14" t="str">
        <f>TEXTVALUE!Q76</f>
        <v>Syahriyah = Rp 0
Jariyah = Rp 0
Daftar Ulang = Rp 0
Total = Rp 0
______________________
ID : 2024070449</v>
      </c>
      <c r="E76" s="14" t="str">
        <f>TEXTVALUE!P76</f>
        <v>Rp 0</v>
      </c>
      <c r="F76" s="14"/>
    </row>
    <row r="77">
      <c r="A77" s="14" t="str">
        <f>$E$1&amp;""&amp;TEXTVALUE!H77</f>
        <v>+6285655316635</v>
      </c>
      <c r="B77" s="14" t="str">
        <f>TEXTVALUE!B77</f>
        <v>RENY ARYSTA MIERZA</v>
      </c>
      <c r="C77" s="14" t="str">
        <f>TEXTVALUE!$E$1&amp;" : "&amp;TEXTVALUE!E77&amp;"
"&amp;TEXTVALUE!$G$1&amp;" : "&amp;TEXTVALUE!G77</f>
        <v>KAMAR : E-9
MADRASIAH : 3 ULA B PUTRI</v>
      </c>
      <c r="D77" s="14" t="str">
        <f>TEXTVALUE!Q77</f>
        <v>Syahriyah = Rp 0
Jariyah = Rp 1.000.000
Daftar Ulang = Rp 0
Total = Rp 1.000.000
______________________
ID : 2024070583</v>
      </c>
      <c r="E77" s="14" t="str">
        <f>TEXTVALUE!P77</f>
        <v>Rp 1.000.000</v>
      </c>
      <c r="F77" s="14"/>
    </row>
    <row r="78">
      <c r="A78" s="14" t="str">
        <f>$E$1&amp;""&amp;TEXTVALUE!H78</f>
        <v>+6289535203055</v>
      </c>
      <c r="B78" s="14" t="str">
        <f>TEXTVALUE!B78</f>
        <v>RHEISYA BRILIANT OKTAVIANI</v>
      </c>
      <c r="C78" s="14" t="str">
        <f>TEXTVALUE!$E$1&amp;" : "&amp;TEXTVALUE!E78&amp;"
"&amp;TEXTVALUE!$G$1&amp;" : "&amp;TEXTVALUE!G78</f>
        <v>KAMAR : E-9
MADRASIAH : 3 ULA C PUTRI</v>
      </c>
      <c r="D78" s="14" t="str">
        <f>TEXTVALUE!Q78</f>
        <v>Syahriyah = Rp 0
Jariyah = Rp 500.000
Daftar Ulang = Rp 0
Total = Rp 500.000
______________________
ID : 2024070536</v>
      </c>
      <c r="E78" s="14" t="str">
        <f>TEXTVALUE!P78</f>
        <v>Rp 500.000</v>
      </c>
      <c r="F78" s="14"/>
    </row>
    <row r="79">
      <c r="A79" s="14" t="str">
        <f>$E$1&amp;""&amp;TEXTVALUE!H79</f>
        <v>+6282175167141</v>
      </c>
      <c r="B79" s="14" t="str">
        <f>TEXTVALUE!B79</f>
        <v>ROSSALIA BELLA RAISYA</v>
      </c>
      <c r="C79" s="14" t="str">
        <f>TEXTVALUE!$E$1&amp;" : "&amp;TEXTVALUE!E79&amp;"
"&amp;TEXTVALUE!$G$1&amp;" : "&amp;TEXTVALUE!G79</f>
        <v>KAMAR : E-9
MADRASIAH : 3 ULA C PUTRI</v>
      </c>
      <c r="D79" s="14" t="str">
        <f>TEXTVALUE!Q79</f>
        <v>Syahriyah = Rp 0
Jariyah = Rp 0
Daftar Ulang = Rp 0
Total = Rp 0
______________________
ID : 2024070443</v>
      </c>
      <c r="E79" s="14" t="str">
        <f>TEXTVALUE!P79</f>
        <v>Rp 0</v>
      </c>
      <c r="F79" s="14"/>
    </row>
    <row r="80">
      <c r="A80" s="14" t="str">
        <f>$E$1&amp;""&amp;TEXTVALUE!H80</f>
        <v>+6285815817989</v>
      </c>
      <c r="B80" s="14" t="str">
        <f>TEXTVALUE!B80</f>
        <v>ZALVI SYAFIRA SA`BANIA PUTRI</v>
      </c>
      <c r="C80" s="14" t="str">
        <f>TEXTVALUE!$E$1&amp;" : "&amp;TEXTVALUE!E80&amp;"
"&amp;TEXTVALUE!$G$1&amp;" : "&amp;TEXTVALUE!G80</f>
        <v>KAMAR : E-9
MADRASIAH : 3 ULA A PUTRI</v>
      </c>
      <c r="D80" s="14" t="str">
        <f>TEXTVALUE!Q80</f>
        <v>Syahriyah = Rp 0
Jariyah = Rp 1.000.000
Daftar Ulang = Rp 0
Total = Rp 1.000.000
______________________
ID : 2024070446</v>
      </c>
      <c r="E80" s="14" t="str">
        <f>TEXTVALUE!P80</f>
        <v>Rp 1.000.000</v>
      </c>
      <c r="F80" s="14"/>
    </row>
    <row r="81">
      <c r="A81" s="14" t="str">
        <f>$E$1&amp;""&amp;TEXTVALUE!H81</f>
        <v>+6285852103712</v>
      </c>
      <c r="B81" s="14" t="str">
        <f>TEXTVALUE!B81</f>
        <v>ZASKIA MAHARANI PUTRI</v>
      </c>
      <c r="C81" s="14" t="str">
        <f>TEXTVALUE!$E$1&amp;" : "&amp;TEXTVALUE!E81&amp;"
"&amp;TEXTVALUE!$G$1&amp;" : "&amp;TEXTVALUE!G81</f>
        <v>KAMAR : E-9
MADRASIAH : 3 ULA A PUTRI</v>
      </c>
      <c r="D81" s="14" t="str">
        <f>TEXTVALUE!Q81</f>
        <v>Syahriyah = Rp 7.500.000
Jariyah = Rp 1.600.000
Daftar Ulang = Rp 350.000
Total = Rp 9.450.000
______________________
ID : 2024070586</v>
      </c>
      <c r="E81" s="14" t="str">
        <f>TEXTVALUE!P81</f>
        <v>Rp 9.450.000</v>
      </c>
      <c r="F81" s="14"/>
    </row>
    <row r="82">
      <c r="A82" s="14" t="str">
        <f>$E$1&amp;""&amp;TEXTVALUE!H82</f>
        <v>+6285745828753</v>
      </c>
      <c r="B82" s="14" t="str">
        <f>TEXTVALUE!B82</f>
        <v>ZHAFIRA MAULIDA</v>
      </c>
      <c r="C82" s="14" t="str">
        <f>TEXTVALUE!$E$1&amp;" : "&amp;TEXTVALUE!E82&amp;"
"&amp;TEXTVALUE!$G$1&amp;" : "&amp;TEXTVALUE!G82</f>
        <v>KAMAR : E-9
MADRASIAH : 3 ULA B PUTRI</v>
      </c>
      <c r="D82" s="14" t="str">
        <f>TEXTVALUE!Q82</f>
        <v>Syahriyah = Rp 0
Jariyah = Rp 1.000.000
Daftar Ulang = Rp 0
Total = Rp 1.000.000
______________________
ID : 2024070606</v>
      </c>
      <c r="E82" s="14" t="str">
        <f>TEXTVALUE!P82</f>
        <v>Rp 1.000.000</v>
      </c>
      <c r="F82" s="14"/>
    </row>
    <row r="83">
      <c r="A83" s="14" t="str">
        <f>$E$1&amp;""&amp;TEXTVALUE!H83</f>
        <v>+628573050168</v>
      </c>
      <c r="B83" s="14" t="str">
        <f>TEXTVALUE!B83</f>
        <v>QUEENSHA KHAURA AFIQAH AL AZIFA</v>
      </c>
      <c r="C83" s="14" t="str">
        <f>TEXTVALUE!$E$1&amp;" : "&amp;TEXTVALUE!E83&amp;"
"&amp;TEXTVALUE!$G$1&amp;" : "&amp;TEXTVALUE!G83</f>
        <v>KAMAR : E-9
MADRASIAH : 3 ULA B PUTRI</v>
      </c>
      <c r="D83" s="14" t="str">
        <f>TEXTVALUE!Q83</f>
        <v>Syahriyah = Rp 0
Jariyah = Rp 1.000.000
Daftar Ulang = Rp 0
Total = Rp 1.000.000
______________________
ID : 2024070647</v>
      </c>
      <c r="E83" s="14" t="str">
        <f>TEXTVALUE!P83</f>
        <v>Rp 1.000.000</v>
      </c>
      <c r="F83" s="14"/>
    </row>
    <row r="84">
      <c r="A84" s="14" t="str">
        <f>$E$1&amp;""&amp;TEXTVALUE!H84</f>
        <v>+</v>
      </c>
      <c r="B84" s="14" t="str">
        <f>TEXTVALUE!B84</f>
        <v/>
      </c>
      <c r="C84" s="14" t="str">
        <f>TEXTVALUE!$E$1&amp;" : "&amp;TEXTVALUE!E84&amp;"
"&amp;TEXTVALUE!$G$1&amp;" : "&amp;TEXTVALUE!G84</f>
        <v>KAMAR : 
MADRASIAH : </v>
      </c>
      <c r="D84" s="14" t="str">
        <f>TEXTVALUE!Q84</f>
        <v>Syahriyah = Rp 0
Jariyah = Rp 0
Daftar Ulang = Rp 0
Total = Rp 0
______________________
ID : </v>
      </c>
      <c r="E84" s="14" t="str">
        <f>TEXTVALUE!P84</f>
        <v>Rp 0</v>
      </c>
      <c r="F84" s="14"/>
    </row>
    <row r="85">
      <c r="A85" s="14" t="str">
        <f>$E$1&amp;""&amp;TEXTVALUE!H85</f>
        <v>+</v>
      </c>
      <c r="B85" s="14" t="str">
        <f>TEXTVALUE!B85</f>
        <v/>
      </c>
      <c r="C85" s="14" t="str">
        <f>TEXTVALUE!$E$1&amp;" : "&amp;TEXTVALUE!E85&amp;"
"&amp;TEXTVALUE!$G$1&amp;" : "&amp;TEXTVALUE!G85</f>
        <v>KAMAR : 
MADRASIAH : </v>
      </c>
      <c r="D85" s="14" t="str">
        <f>TEXTVALUE!Q85</f>
        <v>Syahriyah = Rp 0
Jariyah = Rp 0
Daftar Ulang = Rp 0
Total = Rp 0
______________________
ID : </v>
      </c>
      <c r="E85" s="14" t="str">
        <f>TEXTVALUE!P85</f>
        <v>Rp 0</v>
      </c>
      <c r="F85" s="14"/>
    </row>
    <row r="86">
      <c r="A86" s="14" t="str">
        <f>$E$1&amp;""&amp;TEXTVALUE!H86</f>
        <v>+</v>
      </c>
      <c r="B86" s="14" t="str">
        <f>TEXTVALUE!B86</f>
        <v/>
      </c>
      <c r="C86" s="14" t="str">
        <f>TEXTVALUE!$E$1&amp;" : "&amp;TEXTVALUE!E86&amp;"
"&amp;TEXTVALUE!$G$1&amp;" : "&amp;TEXTVALUE!G86</f>
        <v>KAMAR : 
MADRASIAH : </v>
      </c>
      <c r="D86" s="14" t="str">
        <f>TEXTVALUE!Q86</f>
        <v>Syahriyah = Rp 0
Jariyah = Rp 0
Daftar Ulang = Rp 0
Total = Rp 0
______________________
ID : </v>
      </c>
      <c r="E86" s="14" t="str">
        <f>TEXTVALUE!P86</f>
        <v>Rp 0</v>
      </c>
      <c r="F86" s="14"/>
    </row>
    <row r="87">
      <c r="A87" s="14" t="str">
        <f>$E$1&amp;""&amp;TEXTVALUE!H87</f>
        <v>+</v>
      </c>
      <c r="B87" s="14" t="str">
        <f>TEXTVALUE!B87</f>
        <v/>
      </c>
      <c r="C87" s="14" t="str">
        <f>TEXTVALUE!$E$1&amp;" : "&amp;TEXTVALUE!E87&amp;"
"&amp;TEXTVALUE!$G$1&amp;" : "&amp;TEXTVALUE!G87</f>
        <v>KAMAR : 
MADRASIAH : </v>
      </c>
      <c r="D87" s="14" t="str">
        <f>TEXTVALUE!Q87</f>
        <v>Syahriyah = Rp 0
Jariyah = Rp 0
Daftar Ulang = Rp 0
Total = Rp 0
______________________
ID : </v>
      </c>
      <c r="E87" s="14" t="str">
        <f>TEXTVALUE!P87</f>
        <v>Rp 0</v>
      </c>
      <c r="F87" s="14"/>
    </row>
    <row r="88">
      <c r="A88" s="14" t="str">
        <f>$E$1&amp;""&amp;TEXTVALUE!H88</f>
        <v>+</v>
      </c>
      <c r="B88" s="14" t="str">
        <f>TEXTVALUE!B88</f>
        <v/>
      </c>
      <c r="C88" s="14" t="str">
        <f>TEXTVALUE!$E$1&amp;" : "&amp;TEXTVALUE!E88&amp;"
"&amp;TEXTVALUE!$G$1&amp;" : "&amp;TEXTVALUE!G88</f>
        <v>KAMAR : 
MADRASIAH : </v>
      </c>
      <c r="D88" s="14" t="str">
        <f>TEXTVALUE!Q88</f>
        <v>Syahriyah = Rp 0
Jariyah = Rp 0
Daftar Ulang = Rp 0
Total = Rp 0
______________________
ID : </v>
      </c>
      <c r="E88" s="14" t="str">
        <f>TEXTVALUE!P88</f>
        <v>Rp 0</v>
      </c>
      <c r="F88" s="14"/>
    </row>
    <row r="89">
      <c r="A89" s="14" t="str">
        <f>$E$1&amp;""&amp;TEXTVALUE!H89</f>
        <v>+</v>
      </c>
      <c r="B89" s="14" t="str">
        <f>TEXTVALUE!B89</f>
        <v/>
      </c>
      <c r="C89" s="14" t="str">
        <f>TEXTVALUE!$E$1&amp;" : "&amp;TEXTVALUE!E89&amp;"
"&amp;TEXTVALUE!$G$1&amp;" : "&amp;TEXTVALUE!G89</f>
        <v>KAMAR : 
MADRASIAH : </v>
      </c>
      <c r="D89" s="14" t="str">
        <f>TEXTVALUE!Q89</f>
        <v>Syahriyah = Rp 0
Jariyah = Rp 0
Daftar Ulang = Rp 0
Total = Rp 0
______________________
ID : </v>
      </c>
      <c r="E89" s="14" t="str">
        <f>TEXTVALUE!P89</f>
        <v>Rp 0</v>
      </c>
      <c r="F89" s="14"/>
    </row>
    <row r="90">
      <c r="A90" s="14" t="str">
        <f>$E$1&amp;""&amp;TEXTVALUE!H90</f>
        <v>+</v>
      </c>
      <c r="B90" s="14" t="str">
        <f>TEXTVALUE!B90</f>
        <v/>
      </c>
      <c r="C90" s="14" t="str">
        <f>TEXTVALUE!$E$1&amp;" : "&amp;TEXTVALUE!E90&amp;"
"&amp;TEXTVALUE!$G$1&amp;" : "&amp;TEXTVALUE!G90</f>
        <v>KAMAR : 
MADRASIAH : </v>
      </c>
      <c r="D90" s="14" t="str">
        <f>TEXTVALUE!Q90</f>
        <v>Syahriyah = Rp 0
Jariyah = Rp 0
Daftar Ulang = Rp 0
Total = Rp 0
______________________
ID : </v>
      </c>
      <c r="E90" s="14" t="str">
        <f>TEXTVALUE!P90</f>
        <v>Rp 0</v>
      </c>
      <c r="F90" s="14"/>
    </row>
    <row r="91">
      <c r="A91" s="14" t="str">
        <f>$E$1&amp;""&amp;TEXTVALUE!H91</f>
        <v>+</v>
      </c>
      <c r="B91" s="14" t="str">
        <f>TEXTVALUE!B91</f>
        <v/>
      </c>
      <c r="C91" s="14" t="str">
        <f>TEXTVALUE!$E$1&amp;" : "&amp;TEXTVALUE!E91&amp;"
"&amp;TEXTVALUE!$G$1&amp;" : "&amp;TEXTVALUE!G91</f>
        <v>KAMAR : 
MADRASIAH : </v>
      </c>
      <c r="D91" s="14" t="str">
        <f>TEXTVALUE!Q91</f>
        <v>Syahriyah = Rp 0
Jariyah = Rp 0
Daftar Ulang = Rp 0
Total = Rp 0
______________________
ID : </v>
      </c>
      <c r="E91" s="14" t="str">
        <f>TEXTVALUE!P91</f>
        <v>Rp 0</v>
      </c>
      <c r="F91" s="14"/>
    </row>
    <row r="92">
      <c r="A92" s="14" t="str">
        <f>$E$1&amp;""&amp;TEXTVALUE!H92</f>
        <v>+</v>
      </c>
      <c r="B92" s="14" t="str">
        <f>TEXTVALUE!B92</f>
        <v/>
      </c>
      <c r="C92" s="14" t="str">
        <f>TEXTVALUE!$E$1&amp;" : "&amp;TEXTVALUE!E92&amp;"
"&amp;TEXTVALUE!$G$1&amp;" : "&amp;TEXTVALUE!G92</f>
        <v>KAMAR : 
MADRASIAH : </v>
      </c>
      <c r="D92" s="14" t="str">
        <f>TEXTVALUE!Q92</f>
        <v>Syahriyah = Rp 0
Jariyah = Rp 0
Daftar Ulang = Rp 0
Total = Rp 0
______________________
ID : </v>
      </c>
      <c r="E92" s="14" t="str">
        <f>TEXTVALUE!P92</f>
        <v>Rp 0</v>
      </c>
      <c r="F92" s="14"/>
    </row>
    <row r="93">
      <c r="A93" s="14" t="str">
        <f>$E$1&amp;""&amp;TEXTVALUE!H93</f>
        <v>+</v>
      </c>
      <c r="B93" s="14" t="str">
        <f>TEXTVALUE!B93</f>
        <v/>
      </c>
      <c r="C93" s="14" t="str">
        <f>TEXTVALUE!$E$1&amp;" : "&amp;TEXTVALUE!E93&amp;"
"&amp;TEXTVALUE!$G$1&amp;" : "&amp;TEXTVALUE!G93</f>
        <v>KAMAR : 
MADRASIAH : </v>
      </c>
      <c r="D93" s="14" t="str">
        <f>TEXTVALUE!Q93</f>
        <v>Syahriyah = Rp 0
Jariyah = Rp 0
Daftar Ulang = Rp 0
Total = Rp 0
______________________
ID : </v>
      </c>
      <c r="E93" s="14" t="str">
        <f>TEXTVALUE!P93</f>
        <v>Rp 0</v>
      </c>
      <c r="F93" s="14"/>
    </row>
    <row r="94">
      <c r="A94" s="14" t="str">
        <f>$E$1&amp;""&amp;TEXTVALUE!H94</f>
        <v>+</v>
      </c>
      <c r="B94" s="14" t="str">
        <f>TEXTVALUE!B94</f>
        <v/>
      </c>
      <c r="C94" s="14" t="str">
        <f>TEXTVALUE!$E$1&amp;" : "&amp;TEXTVALUE!E94&amp;"
"&amp;TEXTVALUE!$G$1&amp;" : "&amp;TEXTVALUE!G94</f>
        <v>KAMAR : 
MADRASIAH : </v>
      </c>
      <c r="D94" s="14" t="str">
        <f>TEXTVALUE!Q94</f>
        <v>Syahriyah = Rp 0
Jariyah = Rp 0
Daftar Ulang = Rp 0
Total = Rp 0
______________________
ID : </v>
      </c>
      <c r="E94" s="14" t="str">
        <f>TEXTVALUE!P94</f>
        <v>Rp 0</v>
      </c>
      <c r="F94" s="14"/>
    </row>
    <row r="95">
      <c r="A95" s="14" t="str">
        <f>$E$1&amp;""&amp;TEXTVALUE!H95</f>
        <v>+</v>
      </c>
      <c r="B95" s="14" t="str">
        <f>TEXTVALUE!B95</f>
        <v/>
      </c>
      <c r="C95" s="14" t="str">
        <f>TEXTVALUE!$E$1&amp;" : "&amp;TEXTVALUE!E95&amp;"
"&amp;TEXTVALUE!$G$1&amp;" : "&amp;TEXTVALUE!G95</f>
        <v>KAMAR : 
MADRASIAH : </v>
      </c>
      <c r="D95" s="14" t="str">
        <f>TEXTVALUE!Q95</f>
        <v>Syahriyah = Rp 0
Jariyah = Rp 0
Daftar Ulang = Rp 0
Total = Rp 0
______________________
ID : </v>
      </c>
      <c r="E95" s="14" t="str">
        <f>TEXTVALUE!P95</f>
        <v>Rp 0</v>
      </c>
      <c r="F95" s="14"/>
    </row>
    <row r="96">
      <c r="A96" s="14" t="str">
        <f>$E$1&amp;""&amp;TEXTVALUE!H96</f>
        <v>+</v>
      </c>
      <c r="B96" s="14" t="str">
        <f>TEXTVALUE!B96</f>
        <v/>
      </c>
      <c r="C96" s="14" t="str">
        <f>TEXTVALUE!$E$1&amp;" : "&amp;TEXTVALUE!E96&amp;"
"&amp;TEXTVALUE!$G$1&amp;" : "&amp;TEXTVALUE!G96</f>
        <v>KAMAR : 
MADRASIAH : </v>
      </c>
      <c r="D96" s="14" t="str">
        <f>TEXTVALUE!Q96</f>
        <v>Syahriyah = Rp 0
Jariyah = Rp 0
Daftar Ulang = Rp 0
Total = Rp 0
______________________
ID : </v>
      </c>
      <c r="E96" s="14" t="str">
        <f>TEXTVALUE!P96</f>
        <v>Rp 0</v>
      </c>
      <c r="F96" s="14"/>
    </row>
    <row r="97">
      <c r="A97" s="14" t="str">
        <f>$E$1&amp;""&amp;TEXTVALUE!H97</f>
        <v>+</v>
      </c>
      <c r="B97" s="14" t="str">
        <f>TEXTVALUE!B97</f>
        <v/>
      </c>
      <c r="C97" s="14" t="str">
        <f>TEXTVALUE!$E$1&amp;" : "&amp;TEXTVALUE!E97&amp;"
"&amp;TEXTVALUE!$G$1&amp;" : "&amp;TEXTVALUE!G97</f>
        <v>KAMAR : 
MADRASIAH : </v>
      </c>
      <c r="D97" s="14" t="str">
        <f>TEXTVALUE!Q97</f>
        <v>Syahriyah = Rp 0
Jariyah = Rp 0
Daftar Ulang = Rp 0
Total = Rp 0
______________________
ID : </v>
      </c>
      <c r="E97" s="14" t="str">
        <f>TEXTVALUE!P97</f>
        <v>Rp 0</v>
      </c>
      <c r="F97" s="14"/>
    </row>
    <row r="98">
      <c r="A98" s="14" t="str">
        <f>$E$1&amp;""&amp;TEXTVALUE!H98</f>
        <v>+</v>
      </c>
      <c r="B98" s="14" t="str">
        <f>TEXTVALUE!B98</f>
        <v/>
      </c>
      <c r="C98" s="14" t="str">
        <f>TEXTVALUE!$E$1&amp;" : "&amp;TEXTVALUE!E98&amp;"
"&amp;TEXTVALUE!$G$1&amp;" : "&amp;TEXTVALUE!G98</f>
        <v>KAMAR : 
MADRASIAH : </v>
      </c>
      <c r="D98" s="14" t="str">
        <f>TEXTVALUE!Q98</f>
        <v>Syahriyah = Rp 0
Jariyah = Rp 0
Daftar Ulang = Rp 0
Total = Rp 0
______________________
ID : </v>
      </c>
      <c r="E98" s="14" t="str">
        <f>TEXTVALUE!P98</f>
        <v>Rp 0</v>
      </c>
      <c r="F98" s="14"/>
    </row>
    <row r="99">
      <c r="A99" s="14" t="str">
        <f>$E$1&amp;""&amp;TEXTVALUE!H99</f>
        <v>+</v>
      </c>
      <c r="B99" s="14" t="str">
        <f>TEXTVALUE!B99</f>
        <v/>
      </c>
      <c r="C99" s="14" t="str">
        <f>TEXTVALUE!$E$1&amp;" : "&amp;TEXTVALUE!E99&amp;"
"&amp;TEXTVALUE!$G$1&amp;" : "&amp;TEXTVALUE!G99</f>
        <v>KAMAR : 
MADRASIAH : </v>
      </c>
      <c r="D99" s="14" t="str">
        <f>TEXTVALUE!Q99</f>
        <v>Syahriyah = Rp 0
Jariyah = Rp 0
Daftar Ulang = Rp 0
Total = Rp 0
______________________
ID : </v>
      </c>
      <c r="E99" s="14" t="str">
        <f>TEXTVALUE!P99</f>
        <v>Rp 0</v>
      </c>
      <c r="F99" s="14"/>
    </row>
    <row r="100">
      <c r="A100" s="14" t="str">
        <f>$E$1&amp;""&amp;TEXTVALUE!H100</f>
        <v>+</v>
      </c>
      <c r="B100" s="14" t="str">
        <f>TEXTVALUE!B100</f>
        <v/>
      </c>
      <c r="C100" s="14" t="str">
        <f>TEXTVALUE!$E$1&amp;" : "&amp;TEXTVALUE!E100&amp;"
"&amp;TEXTVALUE!$G$1&amp;" : "&amp;TEXTVALUE!G100</f>
        <v>KAMAR : 
MADRASIAH : </v>
      </c>
      <c r="D100" s="14" t="str">
        <f>TEXTVALUE!Q100</f>
        <v>Syahriyah = Rp 0
Jariyah = Rp 0
Daftar Ulang = Rp 0
Total = Rp 0
______________________
ID : </v>
      </c>
      <c r="E100" s="14" t="str">
        <f>TEXTVALUE!P100</f>
        <v>Rp 0</v>
      </c>
      <c r="F100" s="14"/>
    </row>
    <row r="101">
      <c r="A101" s="14" t="str">
        <f>$E$1&amp;""&amp;TEXTVALUE!H101</f>
        <v>+</v>
      </c>
      <c r="B101" s="14" t="str">
        <f>TEXTVALUE!B101</f>
        <v/>
      </c>
      <c r="C101" s="14" t="str">
        <f>TEXTVALUE!$E$1&amp;" : "&amp;TEXTVALUE!E101&amp;"
"&amp;TEXTVALUE!$G$1&amp;" : "&amp;TEXTVALUE!G101</f>
        <v>KAMAR : 
MADRASIAH : </v>
      </c>
      <c r="D101" s="14" t="str">
        <f>TEXTVALUE!Q101</f>
        <v>Syahriyah = Rp 0
Jariyah = Rp 0
Daftar Ulang = Rp 0
Total = Rp 0
______________________
ID : </v>
      </c>
      <c r="E101" s="14" t="str">
        <f>TEXTVALUE!P101</f>
        <v>Rp 0</v>
      </c>
      <c r="F101" s="14"/>
    </row>
    <row r="102">
      <c r="A102" s="14" t="str">
        <f>$E$1&amp;""&amp;TEXTVALUE!H102</f>
        <v>+</v>
      </c>
      <c r="B102" s="14" t="str">
        <f>TEXTVALUE!B102</f>
        <v/>
      </c>
      <c r="C102" s="14" t="str">
        <f>TEXTVALUE!$E$1&amp;" : "&amp;TEXTVALUE!E102&amp;"
"&amp;TEXTVALUE!$G$1&amp;" : "&amp;TEXTVALUE!G102</f>
        <v>KAMAR : 
MADRASIAH : </v>
      </c>
      <c r="D102" s="14" t="str">
        <f>TEXTVALUE!Q102</f>
        <v>Syahriyah = Rp 0
Jariyah = Rp 0
Daftar Ulang = Rp 0
Total = Rp 0
______________________
ID : </v>
      </c>
      <c r="E102" s="14" t="str">
        <f>TEXTVALUE!P102</f>
        <v>Rp 0</v>
      </c>
      <c r="F102" s="14"/>
    </row>
    <row r="103">
      <c r="A103" s="14" t="str">
        <f>$E$1&amp;""&amp;TEXTVALUE!H103</f>
        <v>+</v>
      </c>
      <c r="B103" s="14" t="str">
        <f>TEXTVALUE!B103</f>
        <v/>
      </c>
      <c r="C103" s="14" t="str">
        <f>TEXTVALUE!$E$1&amp;" : "&amp;TEXTVALUE!E103&amp;"
"&amp;TEXTVALUE!$G$1&amp;" : "&amp;TEXTVALUE!G103</f>
        <v>KAMAR : 
MADRASIAH : </v>
      </c>
      <c r="D103" s="14" t="str">
        <f>TEXTVALUE!Q103</f>
        <v>Syahriyah = Rp 0
Jariyah = Rp 0
Daftar Ulang = Rp 0
Total = Rp 0
______________________
ID : </v>
      </c>
      <c r="E103" s="14" t="str">
        <f>TEXTVALUE!P103</f>
        <v>Rp 0</v>
      </c>
      <c r="F103" s="14"/>
    </row>
    <row r="104">
      <c r="A104" s="14" t="str">
        <f>$E$1&amp;""&amp;TEXTVALUE!H104</f>
        <v>+</v>
      </c>
      <c r="B104" s="14" t="str">
        <f>TEXTVALUE!B104</f>
        <v/>
      </c>
      <c r="C104" s="14" t="str">
        <f>TEXTVALUE!$E$1&amp;" : "&amp;TEXTVALUE!E104&amp;"
"&amp;TEXTVALUE!$G$1&amp;" : "&amp;TEXTVALUE!G104</f>
        <v>KAMAR : 
MADRASIAH : </v>
      </c>
      <c r="D104" s="14" t="str">
        <f>TEXTVALUE!Q104</f>
        <v>Syahriyah = Rp 0
Jariyah = Rp 0
Daftar Ulang = Rp 0
Total = Rp 0
______________________
ID : </v>
      </c>
      <c r="E104" s="14" t="str">
        <f>TEXTVALUE!P104</f>
        <v>Rp 0</v>
      </c>
      <c r="F104" s="14"/>
    </row>
    <row r="105">
      <c r="A105" s="14" t="str">
        <f>$E$1&amp;""&amp;TEXTVALUE!H105</f>
        <v>+</v>
      </c>
      <c r="B105" s="14" t="str">
        <f>TEXTVALUE!B105</f>
        <v/>
      </c>
      <c r="C105" s="14" t="str">
        <f>TEXTVALUE!$E$1&amp;" : "&amp;TEXTVALUE!E105&amp;"
"&amp;TEXTVALUE!$G$1&amp;" : "&amp;TEXTVALUE!G105</f>
        <v>KAMAR : 
MADRASIAH : </v>
      </c>
      <c r="D105" s="14" t="str">
        <f>TEXTVALUE!Q105</f>
        <v>Syahriyah = Rp 0
Jariyah = Rp 0
Daftar Ulang = Rp 0
Total = Rp 0
______________________
ID : </v>
      </c>
      <c r="E105" s="14" t="str">
        <f>TEXTVALUE!P105</f>
        <v>Rp 0</v>
      </c>
      <c r="F105" s="14"/>
    </row>
    <row r="106">
      <c r="A106" s="14" t="str">
        <f>$E$1&amp;""&amp;TEXTVALUE!H106</f>
        <v>+</v>
      </c>
      <c r="B106" s="14" t="str">
        <f>TEXTVALUE!B106</f>
        <v/>
      </c>
      <c r="C106" s="14" t="str">
        <f>TEXTVALUE!$E$1&amp;" : "&amp;TEXTVALUE!E106&amp;"
"&amp;TEXTVALUE!$G$1&amp;" : "&amp;TEXTVALUE!G106</f>
        <v>KAMAR : 
MADRASIAH : </v>
      </c>
      <c r="D106" s="14" t="str">
        <f>TEXTVALUE!Q106</f>
        <v>Syahriyah = Rp 0
Jariyah = Rp 0
Daftar Ulang = Rp 0
Total = Rp 0
______________________
ID : </v>
      </c>
      <c r="E106" s="14" t="str">
        <f>TEXTVALUE!P106</f>
        <v>Rp 0</v>
      </c>
      <c r="F106" s="14"/>
    </row>
    <row r="107">
      <c r="A107" s="14" t="str">
        <f>$E$1&amp;""&amp;TEXTVALUE!H107</f>
        <v>+</v>
      </c>
      <c r="B107" s="14" t="str">
        <f>TEXTVALUE!B107</f>
        <v/>
      </c>
      <c r="C107" s="14" t="str">
        <f>TEXTVALUE!$E$1&amp;" : "&amp;TEXTVALUE!E107&amp;"
"&amp;TEXTVALUE!$G$1&amp;" : "&amp;TEXTVALUE!G107</f>
        <v>KAMAR : 
MADRASIAH : </v>
      </c>
      <c r="D107" s="14" t="str">
        <f>TEXTVALUE!Q107</f>
        <v>Syahriyah = Rp 0
Jariyah = Rp 0
Daftar Ulang = Rp 0
Total = Rp 0
______________________
ID : </v>
      </c>
      <c r="E107" s="14" t="str">
        <f>TEXTVALUE!P107</f>
        <v>Rp 0</v>
      </c>
      <c r="F107" s="14"/>
    </row>
    <row r="108">
      <c r="A108" s="14" t="str">
        <f>$E$1&amp;""&amp;TEXTVALUE!H108</f>
        <v>+</v>
      </c>
      <c r="B108" s="14" t="str">
        <f>TEXTVALUE!B108</f>
        <v/>
      </c>
      <c r="C108" s="14" t="str">
        <f>TEXTVALUE!$E$1&amp;" : "&amp;TEXTVALUE!E108&amp;"
"&amp;TEXTVALUE!$G$1&amp;" : "&amp;TEXTVALUE!G108</f>
        <v>KAMAR : 
MADRASIAH : </v>
      </c>
      <c r="D108" s="14" t="str">
        <f>TEXTVALUE!Q108</f>
        <v>Syahriyah = Rp 0
Jariyah = Rp 0
Daftar Ulang = Rp 0
Total = Rp 0
______________________
ID : </v>
      </c>
      <c r="E108" s="14" t="str">
        <f>TEXTVALUE!P108</f>
        <v>Rp 0</v>
      </c>
      <c r="F108" s="14"/>
    </row>
    <row r="109">
      <c r="A109" s="14" t="str">
        <f>$E$1&amp;""&amp;TEXTVALUE!H109</f>
        <v>+</v>
      </c>
      <c r="B109" s="14" t="str">
        <f>TEXTVALUE!B109</f>
        <v/>
      </c>
      <c r="C109" s="14" t="str">
        <f>TEXTVALUE!$E$1&amp;" : "&amp;TEXTVALUE!E109&amp;"
"&amp;TEXTVALUE!$G$1&amp;" : "&amp;TEXTVALUE!G109</f>
        <v>KAMAR : 
MADRASIAH : </v>
      </c>
      <c r="D109" s="14" t="str">
        <f>TEXTVALUE!Q109</f>
        <v>Syahriyah = Rp 0
Jariyah = Rp 0
Daftar Ulang = Rp 0
Total = Rp 0
______________________
ID : </v>
      </c>
      <c r="E109" s="14" t="str">
        <f>TEXTVALUE!P109</f>
        <v>Rp 0</v>
      </c>
      <c r="F109" s="14"/>
    </row>
    <row r="110">
      <c r="A110" s="14" t="str">
        <f>$E$1&amp;""&amp;TEXTVALUE!H110</f>
        <v>+</v>
      </c>
      <c r="B110" s="14" t="str">
        <f>TEXTVALUE!B110</f>
        <v/>
      </c>
      <c r="C110" s="14" t="str">
        <f>TEXTVALUE!$E$1&amp;" : "&amp;TEXTVALUE!E110&amp;"
"&amp;TEXTVALUE!$G$1&amp;" : "&amp;TEXTVALUE!G110</f>
        <v>KAMAR : 
MADRASIAH : </v>
      </c>
      <c r="D110" s="14" t="str">
        <f>TEXTVALUE!Q110</f>
        <v>Syahriyah = Rp 0
Jariyah = Rp 0
Daftar Ulang = Rp 0
Total = Rp 0
______________________
ID : </v>
      </c>
      <c r="E110" s="14" t="str">
        <f>TEXTVALUE!P110</f>
        <v>Rp 0</v>
      </c>
      <c r="F110" s="14"/>
    </row>
    <row r="111">
      <c r="A111" s="14" t="str">
        <f>$E$1&amp;""&amp;TEXTVALUE!H111</f>
        <v>+</v>
      </c>
      <c r="B111" s="14" t="str">
        <f>TEXTVALUE!B111</f>
        <v/>
      </c>
      <c r="C111" s="14" t="str">
        <f>TEXTVALUE!$E$1&amp;" : "&amp;TEXTVALUE!E111&amp;"
"&amp;TEXTVALUE!$G$1&amp;" : "&amp;TEXTVALUE!G111</f>
        <v>KAMAR : 
MADRASIAH : </v>
      </c>
      <c r="D111" s="14" t="str">
        <f>TEXTVALUE!Q111</f>
        <v>Syahriyah = Rp 0
Jariyah = Rp 0
Daftar Ulang = Rp 0
Total = Rp 0
______________________
ID : </v>
      </c>
      <c r="E111" s="14" t="str">
        <f>TEXTVALUE!P111</f>
        <v>Rp 0</v>
      </c>
      <c r="F111" s="14"/>
    </row>
    <row r="112">
      <c r="A112" s="14" t="str">
        <f>$E$1&amp;""&amp;TEXTVALUE!H112</f>
        <v>+</v>
      </c>
      <c r="B112" s="14" t="str">
        <f>TEXTVALUE!B112</f>
        <v/>
      </c>
      <c r="C112" s="14" t="str">
        <f>TEXTVALUE!$E$1&amp;" : "&amp;TEXTVALUE!E112&amp;"
"&amp;TEXTVALUE!$G$1&amp;" : "&amp;TEXTVALUE!G112</f>
        <v>KAMAR : 
MADRASIAH : </v>
      </c>
      <c r="D112" s="14" t="str">
        <f>TEXTVALUE!Q112</f>
        <v>Syahriyah = Rp 0
Jariyah = Rp 0
Daftar Ulang = Rp 0
Total = Rp 0
______________________
ID : </v>
      </c>
      <c r="E112" s="14" t="str">
        <f>TEXTVALUE!P112</f>
        <v>Rp 0</v>
      </c>
      <c r="F112" s="14"/>
    </row>
    <row r="113">
      <c r="A113" s="14" t="str">
        <f>$E$1&amp;""&amp;TEXTVALUE!H113</f>
        <v>+</v>
      </c>
      <c r="B113" s="14" t="str">
        <f>TEXTVALUE!B113</f>
        <v/>
      </c>
      <c r="C113" s="14" t="str">
        <f>TEXTVALUE!$E$1&amp;" : "&amp;TEXTVALUE!E113&amp;"
"&amp;TEXTVALUE!$G$1&amp;" : "&amp;TEXTVALUE!G113</f>
        <v>KAMAR : 
MADRASIAH : </v>
      </c>
      <c r="D113" s="14" t="str">
        <f>TEXTVALUE!Q113</f>
        <v>Syahriyah = Rp 0
Jariyah = Rp 0
Daftar Ulang = Rp 0
Total = Rp 0
______________________
ID : </v>
      </c>
      <c r="E113" s="14" t="str">
        <f>TEXTVALUE!P113</f>
        <v>Rp 0</v>
      </c>
      <c r="F113" s="14"/>
    </row>
    <row r="114">
      <c r="A114" s="14" t="str">
        <f>$E$1&amp;""&amp;TEXTVALUE!H114</f>
        <v>+</v>
      </c>
      <c r="B114" s="14" t="str">
        <f>TEXTVALUE!B114</f>
        <v/>
      </c>
      <c r="C114" s="14" t="str">
        <f>TEXTVALUE!$E$1&amp;" : "&amp;TEXTVALUE!E114&amp;"
"&amp;TEXTVALUE!$G$1&amp;" : "&amp;TEXTVALUE!G114</f>
        <v>KAMAR : 
MADRASIAH : </v>
      </c>
      <c r="D114" s="14" t="str">
        <f>TEXTVALUE!Q114</f>
        <v>Syahriyah = Rp 0
Jariyah = Rp 0
Daftar Ulang = Rp 0
Total = Rp 0
______________________
ID : </v>
      </c>
      <c r="E114" s="14" t="str">
        <f>TEXTVALUE!P114</f>
        <v>Rp 0</v>
      </c>
      <c r="F114" s="14"/>
    </row>
    <row r="115">
      <c r="A115" s="14" t="str">
        <f>$E$1&amp;""&amp;TEXTVALUE!H115</f>
        <v>+</v>
      </c>
      <c r="B115" s="14" t="str">
        <f>TEXTVALUE!B115</f>
        <v/>
      </c>
      <c r="C115" s="14" t="str">
        <f>TEXTVALUE!$E$1&amp;" : "&amp;TEXTVALUE!E115&amp;"
"&amp;TEXTVALUE!$G$1&amp;" : "&amp;TEXTVALUE!G115</f>
        <v>KAMAR : 
MADRASIAH : </v>
      </c>
      <c r="D115" s="14" t="str">
        <f>TEXTVALUE!Q115</f>
        <v>Syahriyah = Rp 0
Jariyah = Rp 0
Daftar Ulang = Rp 0
Total = Rp 0
______________________
ID : </v>
      </c>
      <c r="E115" s="14" t="str">
        <f>TEXTVALUE!P115</f>
        <v>Rp 0</v>
      </c>
      <c r="F115" s="14"/>
    </row>
    <row r="116">
      <c r="A116" s="14" t="str">
        <f>$E$1&amp;""&amp;TEXTVALUE!H116</f>
        <v>+</v>
      </c>
      <c r="B116" s="14" t="str">
        <f>TEXTVALUE!B116</f>
        <v/>
      </c>
      <c r="C116" s="14" t="str">
        <f>TEXTVALUE!$E$1&amp;" : "&amp;TEXTVALUE!E116&amp;"
"&amp;TEXTVALUE!$G$1&amp;" : "&amp;TEXTVALUE!G116</f>
        <v>KAMAR : 
MADRASIAH : </v>
      </c>
      <c r="D116" s="14" t="str">
        <f>TEXTVALUE!Q116</f>
        <v>Syahriyah = Rp 0
Jariyah = Rp 0
Daftar Ulang = Rp 0
Total = Rp 0
______________________
ID : </v>
      </c>
      <c r="E116" s="14" t="str">
        <f>TEXTVALUE!P116</f>
        <v>Rp 0</v>
      </c>
      <c r="F116" s="14"/>
    </row>
    <row r="117">
      <c r="A117" s="14" t="str">
        <f>$E$1&amp;""&amp;TEXTVALUE!H117</f>
        <v>+</v>
      </c>
      <c r="B117" s="14" t="str">
        <f>TEXTVALUE!B117</f>
        <v/>
      </c>
      <c r="C117" s="14" t="str">
        <f>TEXTVALUE!$E$1&amp;" : "&amp;TEXTVALUE!E117&amp;"
"&amp;TEXTVALUE!$G$1&amp;" : "&amp;TEXTVALUE!G117</f>
        <v>KAMAR : 
MADRASIAH : </v>
      </c>
      <c r="D117" s="14" t="str">
        <f>TEXTVALUE!Q117</f>
        <v>Syahriyah = Rp 0
Jariyah = Rp 0
Daftar Ulang = Rp 0
Total = Rp 0
______________________
ID : </v>
      </c>
      <c r="E117" s="14" t="str">
        <f>TEXTVALUE!P117</f>
        <v>Rp 0</v>
      </c>
      <c r="F117" s="14"/>
    </row>
    <row r="118">
      <c r="A118" s="14" t="str">
        <f>$E$1&amp;""&amp;TEXTVALUE!H118</f>
        <v>+</v>
      </c>
      <c r="B118" s="14" t="str">
        <f>TEXTVALUE!B118</f>
        <v/>
      </c>
      <c r="C118" s="14" t="str">
        <f>TEXTVALUE!$E$1&amp;" : "&amp;TEXTVALUE!E118&amp;"
"&amp;TEXTVALUE!$G$1&amp;" : "&amp;TEXTVALUE!G118</f>
        <v>KAMAR : 
MADRASIAH : </v>
      </c>
      <c r="D118" s="14" t="str">
        <f>TEXTVALUE!Q118</f>
        <v>Syahriyah = Rp 0
Jariyah = Rp 0
Daftar Ulang = Rp 0
Total = Rp 0
______________________
ID : </v>
      </c>
      <c r="E118" s="14" t="str">
        <f>TEXTVALUE!P118</f>
        <v>Rp 0</v>
      </c>
      <c r="F118" s="14"/>
    </row>
    <row r="119">
      <c r="A119" s="14" t="str">
        <f>$E$1&amp;""&amp;TEXTVALUE!H119</f>
        <v>+</v>
      </c>
      <c r="B119" s="14" t="str">
        <f>TEXTVALUE!B119</f>
        <v/>
      </c>
      <c r="C119" s="14" t="str">
        <f>TEXTVALUE!$E$1&amp;" : "&amp;TEXTVALUE!E119&amp;"
"&amp;TEXTVALUE!$G$1&amp;" : "&amp;TEXTVALUE!G119</f>
        <v>KAMAR : 
MADRASIAH : </v>
      </c>
      <c r="D119" s="14" t="str">
        <f>TEXTVALUE!Q119</f>
        <v>Syahriyah = Rp 0
Jariyah = Rp 0
Daftar Ulang = Rp 0
Total = Rp 0
______________________
ID : </v>
      </c>
      <c r="E119" s="14" t="str">
        <f>TEXTVALUE!P119</f>
        <v>Rp 0</v>
      </c>
      <c r="F119" s="14"/>
    </row>
    <row r="120">
      <c r="A120" s="14" t="str">
        <f>$E$1&amp;""&amp;TEXTVALUE!H120</f>
        <v>+</v>
      </c>
      <c r="B120" s="14" t="str">
        <f>TEXTVALUE!B120</f>
        <v/>
      </c>
      <c r="C120" s="14" t="str">
        <f>TEXTVALUE!$E$1&amp;" : "&amp;TEXTVALUE!E120&amp;"
"&amp;TEXTVALUE!$G$1&amp;" : "&amp;TEXTVALUE!G120</f>
        <v>KAMAR : 
MADRASIAH : </v>
      </c>
      <c r="D120" s="14" t="str">
        <f>TEXTVALUE!Q120</f>
        <v>Syahriyah = Rp 0
Jariyah = Rp 0
Daftar Ulang = Rp 0
Total = Rp 0
______________________
ID : </v>
      </c>
      <c r="E120" s="14" t="str">
        <f>TEXTVALUE!P120</f>
        <v>Rp 0</v>
      </c>
      <c r="F120" s="14"/>
    </row>
    <row r="121">
      <c r="A121" s="14" t="str">
        <f>$E$1&amp;""&amp;TEXTVALUE!H121</f>
        <v>+</v>
      </c>
      <c r="B121" s="14" t="str">
        <f>TEXTVALUE!B121</f>
        <v/>
      </c>
      <c r="C121" s="14" t="str">
        <f>TEXTVALUE!$E$1&amp;" : "&amp;TEXTVALUE!E121&amp;"
"&amp;TEXTVALUE!$G$1&amp;" : "&amp;TEXTVALUE!G121</f>
        <v>KAMAR : 
MADRASIAH : </v>
      </c>
      <c r="D121" s="14" t="str">
        <f>TEXTVALUE!Q121</f>
        <v>Syahriyah = Rp 0
Jariyah = Rp 0
Daftar Ulang = Rp 0
Total = Rp 0
______________________
ID : </v>
      </c>
      <c r="E121" s="14" t="str">
        <f>TEXTVALUE!P121</f>
        <v>Rp 0</v>
      </c>
      <c r="F121" s="14"/>
    </row>
    <row r="122">
      <c r="A122" s="14" t="str">
        <f>$E$1&amp;""&amp;TEXTVALUE!H122</f>
        <v>+</v>
      </c>
      <c r="B122" s="14" t="str">
        <f>TEXTVALUE!B122</f>
        <v/>
      </c>
      <c r="C122" s="14" t="str">
        <f>TEXTVALUE!$E$1&amp;" : "&amp;TEXTVALUE!E122&amp;"
"&amp;TEXTVALUE!$G$1&amp;" : "&amp;TEXTVALUE!G122</f>
        <v>KAMAR : 
MADRASIAH : </v>
      </c>
      <c r="D122" s="14" t="str">
        <f>TEXTVALUE!Q122</f>
        <v>Syahriyah = Rp 0
Jariyah = Rp 0
Daftar Ulang = Rp 0
Total = Rp 0
______________________
ID : </v>
      </c>
      <c r="E122" s="14" t="str">
        <f>TEXTVALUE!P122</f>
        <v>Rp 0</v>
      </c>
      <c r="F122" s="14"/>
    </row>
    <row r="123">
      <c r="A123" s="14" t="str">
        <f>$E$1&amp;""&amp;TEXTVALUE!H123</f>
        <v>+</v>
      </c>
      <c r="B123" s="14" t="str">
        <f>TEXTVALUE!B123</f>
        <v/>
      </c>
      <c r="C123" s="14" t="str">
        <f>TEXTVALUE!$E$1&amp;" : "&amp;TEXTVALUE!E123&amp;"
"&amp;TEXTVALUE!$G$1&amp;" : "&amp;TEXTVALUE!G123</f>
        <v>KAMAR : 
MADRASIAH : </v>
      </c>
      <c r="D123" s="14" t="str">
        <f>TEXTVALUE!Q123</f>
        <v>Syahriyah = Rp 0
Jariyah = Rp 0
Daftar Ulang = Rp 0
Total = Rp 0
______________________
ID : </v>
      </c>
      <c r="E123" s="14" t="str">
        <f>TEXTVALUE!P123</f>
        <v>Rp 0</v>
      </c>
      <c r="F123" s="14"/>
    </row>
    <row r="124">
      <c r="A124" s="14" t="str">
        <f>$E$1&amp;""&amp;TEXTVALUE!H124</f>
        <v>+</v>
      </c>
      <c r="B124" s="14" t="str">
        <f>TEXTVALUE!B124</f>
        <v/>
      </c>
      <c r="C124" s="14" t="str">
        <f>TEXTVALUE!$E$1&amp;" : "&amp;TEXTVALUE!E124&amp;"
"&amp;TEXTVALUE!$G$1&amp;" : "&amp;TEXTVALUE!G124</f>
        <v>KAMAR : 
MADRASIAH : </v>
      </c>
      <c r="D124" s="14" t="str">
        <f>TEXTVALUE!Q124</f>
        <v>Syahriyah = Rp 0
Jariyah = Rp 0
Daftar Ulang = Rp 0
Total = Rp 0
______________________
ID : </v>
      </c>
      <c r="E124" s="14" t="str">
        <f>TEXTVALUE!P124</f>
        <v>Rp 0</v>
      </c>
      <c r="F124" s="14"/>
    </row>
    <row r="125">
      <c r="A125" s="14" t="str">
        <f>$E$1&amp;""&amp;TEXTVALUE!H125</f>
        <v>+</v>
      </c>
      <c r="B125" s="14" t="str">
        <f>TEXTVALUE!B125</f>
        <v/>
      </c>
      <c r="C125" s="14" t="str">
        <f>TEXTVALUE!$E$1&amp;" : "&amp;TEXTVALUE!E125&amp;"
"&amp;TEXTVALUE!$G$1&amp;" : "&amp;TEXTVALUE!G125</f>
        <v>KAMAR : 
MADRASIAH : </v>
      </c>
      <c r="D125" s="14" t="str">
        <f>TEXTVALUE!Q125</f>
        <v>Syahriyah = Rp 0
Jariyah = Rp 0
Daftar Ulang = Rp 0
Total = Rp 0
______________________
ID : </v>
      </c>
      <c r="E125" s="14" t="str">
        <f>TEXTVALUE!P125</f>
        <v>Rp 0</v>
      </c>
      <c r="F125" s="14"/>
    </row>
    <row r="126">
      <c r="A126" s="14" t="str">
        <f>$E$1&amp;""&amp;TEXTVALUE!H126</f>
        <v>+</v>
      </c>
      <c r="B126" s="14" t="str">
        <f>TEXTVALUE!B126</f>
        <v/>
      </c>
      <c r="C126" s="14" t="str">
        <f>TEXTVALUE!$E$1&amp;" : "&amp;TEXTVALUE!E126&amp;"
"&amp;TEXTVALUE!$G$1&amp;" : "&amp;TEXTVALUE!G126</f>
        <v>KAMAR : 
MADRASIAH : </v>
      </c>
      <c r="D126" s="14" t="str">
        <f>TEXTVALUE!Q126</f>
        <v>Syahriyah = Rp 0
Jariyah = Rp 0
Daftar Ulang = Rp 0
Total = Rp 0
______________________
ID : </v>
      </c>
      <c r="E126" s="14" t="str">
        <f>TEXTVALUE!P126</f>
        <v>Rp 0</v>
      </c>
      <c r="F126" s="14"/>
    </row>
    <row r="127">
      <c r="A127" s="14" t="str">
        <f>$E$1&amp;""&amp;TEXTVALUE!H127</f>
        <v>+</v>
      </c>
      <c r="B127" s="14" t="str">
        <f>TEXTVALUE!B127</f>
        <v/>
      </c>
      <c r="C127" s="14" t="str">
        <f>TEXTVALUE!$E$1&amp;" : "&amp;TEXTVALUE!E127&amp;"
"&amp;TEXTVALUE!$G$1&amp;" : "&amp;TEXTVALUE!G127</f>
        <v>KAMAR : 
MADRASIAH : </v>
      </c>
      <c r="D127" s="14" t="str">
        <f>TEXTVALUE!Q127</f>
        <v>Syahriyah = Rp 0
Jariyah = Rp 0
Daftar Ulang = Rp 0
Total = Rp 0
______________________
ID : </v>
      </c>
      <c r="E127" s="14" t="str">
        <f>TEXTVALUE!P127</f>
        <v>Rp 0</v>
      </c>
      <c r="F127" s="14"/>
    </row>
    <row r="128">
      <c r="A128" s="14" t="str">
        <f>$E$1&amp;""&amp;TEXTVALUE!H128</f>
        <v>+</v>
      </c>
      <c r="B128" s="14" t="str">
        <f>TEXTVALUE!B128</f>
        <v/>
      </c>
      <c r="C128" s="14" t="str">
        <f>TEXTVALUE!$E$1&amp;" : "&amp;TEXTVALUE!E128&amp;"
"&amp;TEXTVALUE!$G$1&amp;" : "&amp;TEXTVALUE!G128</f>
        <v>KAMAR : 
MADRASIAH : </v>
      </c>
      <c r="D128" s="14" t="str">
        <f>TEXTVALUE!Q128</f>
        <v>Syahriyah = Rp 0
Jariyah = Rp 0
Daftar Ulang = Rp 0
Total = Rp 0
______________________
ID : </v>
      </c>
      <c r="E128" s="14" t="str">
        <f>TEXTVALUE!P128</f>
        <v>Rp 0</v>
      </c>
      <c r="F128" s="14"/>
    </row>
    <row r="129">
      <c r="A129" s="14" t="str">
        <f>$E$1&amp;""&amp;TEXTVALUE!H129</f>
        <v>+</v>
      </c>
      <c r="B129" s="14" t="str">
        <f>TEXTVALUE!B129</f>
        <v/>
      </c>
      <c r="C129" s="14" t="str">
        <f>TEXTVALUE!$E$1&amp;" : "&amp;TEXTVALUE!E129&amp;"
"&amp;TEXTVALUE!$G$1&amp;" : "&amp;TEXTVALUE!G129</f>
        <v>KAMAR : 
MADRASIAH : </v>
      </c>
      <c r="D129" s="14" t="str">
        <f>TEXTVALUE!Q129</f>
        <v>Syahriyah = Rp 0
Jariyah = Rp 0
Daftar Ulang = Rp 0
Total = Rp 0
______________________
ID : </v>
      </c>
      <c r="E129" s="14" t="str">
        <f>TEXTVALUE!P129</f>
        <v>Rp 0</v>
      </c>
      <c r="F129" s="14"/>
    </row>
    <row r="130">
      <c r="A130" s="14" t="str">
        <f>$E$1&amp;""&amp;TEXTVALUE!H130</f>
        <v>+</v>
      </c>
      <c r="B130" s="14" t="str">
        <f>TEXTVALUE!B130</f>
        <v/>
      </c>
      <c r="C130" s="14" t="str">
        <f>TEXTVALUE!$E$1&amp;" : "&amp;TEXTVALUE!E130&amp;"
"&amp;TEXTVALUE!$G$1&amp;" : "&amp;TEXTVALUE!G130</f>
        <v>KAMAR : 
MADRASIAH : </v>
      </c>
      <c r="D130" s="14" t="str">
        <f>TEXTVALUE!Q130</f>
        <v>Syahriyah = Rp 0
Jariyah = Rp 0
Daftar Ulang = Rp 0
Total = Rp 0
______________________
ID : </v>
      </c>
      <c r="E130" s="14" t="str">
        <f>TEXTVALUE!P130</f>
        <v>Rp 0</v>
      </c>
      <c r="F130" s="14"/>
    </row>
    <row r="131">
      <c r="A131" s="14" t="str">
        <f>$E$1&amp;""&amp;TEXTVALUE!H131</f>
        <v>+</v>
      </c>
      <c r="B131" s="14" t="str">
        <f>TEXTVALUE!B131</f>
        <v/>
      </c>
      <c r="C131" s="14" t="str">
        <f>TEXTVALUE!$E$1&amp;" : "&amp;TEXTVALUE!E131&amp;"
"&amp;TEXTVALUE!$G$1&amp;" : "&amp;TEXTVALUE!G131</f>
        <v>KAMAR : 
MADRASIAH : </v>
      </c>
      <c r="D131" s="14" t="str">
        <f>TEXTVALUE!Q131</f>
        <v>Syahriyah = Rp 0
Jariyah = Rp 0
Daftar Ulang = Rp 0
Total = Rp 0
______________________
ID : </v>
      </c>
      <c r="E131" s="14" t="str">
        <f>TEXTVALUE!P131</f>
        <v>Rp 0</v>
      </c>
      <c r="F131" s="14"/>
    </row>
    <row r="132">
      <c r="A132" s="14" t="str">
        <f>$E$1&amp;""&amp;TEXTVALUE!H132</f>
        <v>+</v>
      </c>
      <c r="B132" s="14" t="str">
        <f>TEXTVALUE!B132</f>
        <v/>
      </c>
      <c r="C132" s="14" t="str">
        <f>TEXTVALUE!$E$1&amp;" : "&amp;TEXTVALUE!E132&amp;"
"&amp;TEXTVALUE!$G$1&amp;" : "&amp;TEXTVALUE!G132</f>
        <v>KAMAR : 
MADRASIAH : </v>
      </c>
      <c r="D132" s="14" t="str">
        <f>TEXTVALUE!Q132</f>
        <v>Syahriyah = Rp 0
Jariyah = Rp 0
Daftar Ulang = Rp 0
Total = Rp 0
______________________
ID : </v>
      </c>
      <c r="E132" s="14" t="str">
        <f>TEXTVALUE!P132</f>
        <v>Rp 0</v>
      </c>
      <c r="F132" s="14"/>
    </row>
    <row r="133">
      <c r="A133" s="14" t="str">
        <f>$E$1&amp;""&amp;TEXTVALUE!H133</f>
        <v>+</v>
      </c>
      <c r="B133" s="14" t="str">
        <f>TEXTVALUE!B133</f>
        <v/>
      </c>
      <c r="C133" s="14" t="str">
        <f>TEXTVALUE!$E$1&amp;" : "&amp;TEXTVALUE!E133&amp;"
"&amp;TEXTVALUE!$G$1&amp;" : "&amp;TEXTVALUE!G133</f>
        <v>KAMAR : 
MADRASIAH : </v>
      </c>
      <c r="D133" s="14" t="str">
        <f>TEXTVALUE!Q133</f>
        <v>Syahriyah = Rp 0
Jariyah = Rp 0
Daftar Ulang = Rp 0
Total = Rp 0
______________________
ID : </v>
      </c>
      <c r="E133" s="14" t="str">
        <f>TEXTVALUE!P133</f>
        <v>Rp 0</v>
      </c>
      <c r="F133" s="14"/>
    </row>
    <row r="134">
      <c r="A134" s="14" t="str">
        <f>$E$1&amp;""&amp;TEXTVALUE!H134</f>
        <v>+</v>
      </c>
      <c r="B134" s="14" t="str">
        <f>TEXTVALUE!B134</f>
        <v/>
      </c>
      <c r="C134" s="14" t="str">
        <f>TEXTVALUE!$E$1&amp;" : "&amp;TEXTVALUE!E134&amp;"
"&amp;TEXTVALUE!$G$1&amp;" : "&amp;TEXTVALUE!G134</f>
        <v>KAMAR : 
MADRASIAH : </v>
      </c>
      <c r="D134" s="14" t="str">
        <f>TEXTVALUE!Q134</f>
        <v>Syahriyah = Rp 0
Jariyah = Rp 0
Daftar Ulang = Rp 0
Total = Rp 0
______________________
ID : </v>
      </c>
      <c r="E134" s="14" t="str">
        <f>TEXTVALUE!P134</f>
        <v>Rp 0</v>
      </c>
      <c r="F134" s="14"/>
    </row>
    <row r="135">
      <c r="A135" s="14" t="str">
        <f>$E$1&amp;""&amp;TEXTVALUE!H135</f>
        <v>+</v>
      </c>
      <c r="B135" s="14" t="str">
        <f>TEXTVALUE!B135</f>
        <v/>
      </c>
      <c r="C135" s="14" t="str">
        <f>TEXTVALUE!$E$1&amp;" : "&amp;TEXTVALUE!E135&amp;"
"&amp;TEXTVALUE!$G$1&amp;" : "&amp;TEXTVALUE!G135</f>
        <v>KAMAR : 
MADRASIAH : </v>
      </c>
      <c r="D135" s="14" t="str">
        <f>TEXTVALUE!Q135</f>
        <v>Syahriyah = Rp 0
Jariyah = Rp 0
Daftar Ulang = Rp 0
Total = Rp 0
______________________
ID : </v>
      </c>
      <c r="E135" s="14" t="str">
        <f>TEXTVALUE!P135</f>
        <v>Rp 0</v>
      </c>
      <c r="F135" s="14"/>
    </row>
    <row r="136">
      <c r="A136" s="14" t="str">
        <f>$E$1&amp;""&amp;TEXTVALUE!H136</f>
        <v>+</v>
      </c>
      <c r="B136" s="14" t="str">
        <f>TEXTVALUE!B136</f>
        <v/>
      </c>
      <c r="C136" s="14" t="str">
        <f>TEXTVALUE!$E$1&amp;" : "&amp;TEXTVALUE!E136&amp;"
"&amp;TEXTVALUE!$G$1&amp;" : "&amp;TEXTVALUE!G136</f>
        <v>KAMAR : 
MADRASIAH : </v>
      </c>
      <c r="D136" s="14" t="str">
        <f>TEXTVALUE!Q136</f>
        <v>Syahriyah = Rp 0
Jariyah = Rp 0
Daftar Ulang = Rp 0
Total = Rp 0
______________________
ID : </v>
      </c>
      <c r="E136" s="14" t="str">
        <f>TEXTVALUE!P136</f>
        <v>Rp 0</v>
      </c>
      <c r="F136" s="14"/>
    </row>
    <row r="137">
      <c r="A137" s="14" t="str">
        <f>$E$1&amp;""&amp;TEXTVALUE!H137</f>
        <v>+</v>
      </c>
      <c r="B137" s="14" t="str">
        <f>TEXTVALUE!B137</f>
        <v/>
      </c>
      <c r="C137" s="14" t="str">
        <f>TEXTVALUE!$E$1&amp;" : "&amp;TEXTVALUE!E137&amp;"
"&amp;TEXTVALUE!$G$1&amp;" : "&amp;TEXTVALUE!G137</f>
        <v>KAMAR : 
MADRASIAH : </v>
      </c>
      <c r="D137" s="14" t="str">
        <f>TEXTVALUE!Q137</f>
        <v>Syahriyah = Rp 0
Jariyah = Rp 0
Daftar Ulang = Rp 0
Total = Rp 0
______________________
ID : </v>
      </c>
      <c r="E137" s="14" t="str">
        <f>TEXTVALUE!P137</f>
        <v>Rp 0</v>
      </c>
      <c r="F137" s="14"/>
    </row>
    <row r="138">
      <c r="A138" s="14" t="str">
        <f>$E$1&amp;""&amp;TEXTVALUE!H138</f>
        <v>+</v>
      </c>
      <c r="B138" s="14" t="str">
        <f>TEXTVALUE!B138</f>
        <v/>
      </c>
      <c r="C138" s="14" t="str">
        <f>TEXTVALUE!$E$1&amp;" : "&amp;TEXTVALUE!E138&amp;"
"&amp;TEXTVALUE!$G$1&amp;" : "&amp;TEXTVALUE!G138</f>
        <v>KAMAR : 
MADRASIAH : </v>
      </c>
      <c r="D138" s="14" t="str">
        <f>TEXTVALUE!Q138</f>
        <v>Syahriyah = Rp 0
Jariyah = Rp 0
Daftar Ulang = Rp 0
Total = Rp 0
______________________
ID : </v>
      </c>
      <c r="E138" s="14" t="str">
        <f>TEXTVALUE!P138</f>
        <v>Rp 0</v>
      </c>
      <c r="F138" s="14"/>
    </row>
    <row r="139">
      <c r="A139" s="14" t="str">
        <f>$E$1&amp;""&amp;TEXTVALUE!H139</f>
        <v>+</v>
      </c>
      <c r="B139" s="14" t="str">
        <f>TEXTVALUE!B139</f>
        <v/>
      </c>
      <c r="C139" s="14" t="str">
        <f>TEXTVALUE!$E$1&amp;" : "&amp;TEXTVALUE!E139&amp;"
"&amp;TEXTVALUE!$G$1&amp;" : "&amp;TEXTVALUE!G139</f>
        <v>KAMAR : 
MADRASIAH : </v>
      </c>
      <c r="D139" s="14" t="str">
        <f>TEXTVALUE!Q139</f>
        <v>Syahriyah = Rp 0
Jariyah = Rp 0
Daftar Ulang = Rp 0
Total = Rp 0
______________________
ID : </v>
      </c>
      <c r="E139" s="14" t="str">
        <f>TEXTVALUE!P139</f>
        <v>Rp 0</v>
      </c>
      <c r="F139" s="14"/>
    </row>
    <row r="140">
      <c r="A140" s="14" t="str">
        <f>$E$1&amp;""&amp;TEXTVALUE!H140</f>
        <v>+</v>
      </c>
      <c r="B140" s="14" t="str">
        <f>TEXTVALUE!B140</f>
        <v/>
      </c>
      <c r="C140" s="14" t="str">
        <f>TEXTVALUE!$E$1&amp;" : "&amp;TEXTVALUE!E140&amp;"
"&amp;TEXTVALUE!$G$1&amp;" : "&amp;TEXTVALUE!G140</f>
        <v>KAMAR : 
MADRASIAH : </v>
      </c>
      <c r="D140" s="14" t="str">
        <f>TEXTVALUE!Q140</f>
        <v>Syahriyah = Rp 0
Jariyah = Rp 0
Daftar Ulang = Rp 0
Total = Rp 0
______________________
ID : </v>
      </c>
      <c r="E140" s="14" t="str">
        <f>TEXTVALUE!P140</f>
        <v>Rp 0</v>
      </c>
      <c r="F140" s="14"/>
    </row>
    <row r="141">
      <c r="A141" s="14" t="str">
        <f>$E$1&amp;""&amp;TEXTVALUE!H141</f>
        <v>+</v>
      </c>
      <c r="B141" s="14" t="str">
        <f>TEXTVALUE!B141</f>
        <v/>
      </c>
      <c r="C141" s="14" t="str">
        <f>TEXTVALUE!$E$1&amp;" : "&amp;TEXTVALUE!E141&amp;"
"&amp;TEXTVALUE!$G$1&amp;" : "&amp;TEXTVALUE!G141</f>
        <v>KAMAR : 
MADRASIAH : </v>
      </c>
      <c r="D141" s="14" t="str">
        <f>TEXTVALUE!Q141</f>
        <v>Syahriyah = Rp 0
Jariyah = Rp 0
Daftar Ulang = Rp 0
Total = Rp 0
______________________
ID : </v>
      </c>
      <c r="E141" s="14" t="str">
        <f>TEXTVALUE!P141</f>
        <v>Rp 0</v>
      </c>
      <c r="F141" s="14"/>
    </row>
    <row r="142">
      <c r="A142" s="14" t="str">
        <f>$E$1&amp;""&amp;TEXTVALUE!H142</f>
        <v>+</v>
      </c>
      <c r="B142" s="14" t="str">
        <f>TEXTVALUE!B142</f>
        <v/>
      </c>
      <c r="C142" s="14" t="str">
        <f>TEXTVALUE!$E$1&amp;" : "&amp;TEXTVALUE!E142&amp;"
"&amp;TEXTVALUE!$G$1&amp;" : "&amp;TEXTVALUE!G142</f>
        <v>KAMAR : 
MADRASIAH : </v>
      </c>
      <c r="D142" s="14" t="str">
        <f>TEXTVALUE!Q142</f>
        <v>Syahriyah = Rp 0
Jariyah = Rp 0
Daftar Ulang = Rp 0
Total = Rp 0
______________________
ID : </v>
      </c>
      <c r="E142" s="14" t="str">
        <f>TEXTVALUE!P142</f>
        <v>Rp 0</v>
      </c>
      <c r="F142" s="14"/>
    </row>
    <row r="143">
      <c r="A143" s="14" t="str">
        <f>$E$1&amp;""&amp;TEXTVALUE!H143</f>
        <v>+</v>
      </c>
      <c r="B143" s="14" t="str">
        <f>TEXTVALUE!B143</f>
        <v/>
      </c>
      <c r="C143" s="14" t="str">
        <f>TEXTVALUE!$E$1&amp;" : "&amp;TEXTVALUE!E143&amp;"
"&amp;TEXTVALUE!$G$1&amp;" : "&amp;TEXTVALUE!G143</f>
        <v>KAMAR : 
MADRASIAH : </v>
      </c>
      <c r="D143" s="14" t="str">
        <f>TEXTVALUE!Q143</f>
        <v>Syahriyah = Rp 0
Jariyah = Rp 0
Daftar Ulang = Rp 0
Total = Rp 0
______________________
ID : </v>
      </c>
      <c r="E143" s="14" t="str">
        <f>TEXTVALUE!P143</f>
        <v>Rp 0</v>
      </c>
      <c r="F143" s="14"/>
    </row>
    <row r="144">
      <c r="A144" s="14" t="str">
        <f>$E$1&amp;""&amp;TEXTVALUE!H144</f>
        <v>+</v>
      </c>
      <c r="B144" s="14" t="str">
        <f>TEXTVALUE!B144</f>
        <v/>
      </c>
      <c r="C144" s="14" t="str">
        <f>TEXTVALUE!$E$1&amp;" : "&amp;TEXTVALUE!E144&amp;"
"&amp;TEXTVALUE!$G$1&amp;" : "&amp;TEXTVALUE!G144</f>
        <v>KAMAR : 
MADRASIAH : </v>
      </c>
      <c r="D144" s="14" t="str">
        <f>TEXTVALUE!Q144</f>
        <v>Syahriyah = Rp 0
Jariyah = Rp 0
Daftar Ulang = Rp 0
Total = Rp 0
______________________
ID : </v>
      </c>
      <c r="E144" s="14" t="str">
        <f>TEXTVALUE!P144</f>
        <v>Rp 0</v>
      </c>
      <c r="F144" s="14"/>
    </row>
    <row r="145">
      <c r="A145" s="14" t="str">
        <f>$E$1&amp;""&amp;TEXTVALUE!H145</f>
        <v>+</v>
      </c>
      <c r="B145" s="14" t="str">
        <f>TEXTVALUE!B145</f>
        <v/>
      </c>
      <c r="C145" s="14" t="str">
        <f>TEXTVALUE!$E$1&amp;" : "&amp;TEXTVALUE!E145&amp;"
"&amp;TEXTVALUE!$G$1&amp;" : "&amp;TEXTVALUE!G145</f>
        <v>KAMAR : 
MADRASIAH : </v>
      </c>
      <c r="D145" s="14" t="str">
        <f>TEXTVALUE!Q145</f>
        <v>Syahriyah = Rp 0
Jariyah = Rp 0
Daftar Ulang = Rp 0
Total = Rp 0
______________________
ID : </v>
      </c>
      <c r="E145" s="14" t="str">
        <f>TEXTVALUE!P145</f>
        <v>Rp 0</v>
      </c>
      <c r="F145" s="14"/>
    </row>
    <row r="146">
      <c r="A146" s="14" t="str">
        <f>$E$1&amp;""&amp;TEXTVALUE!H146</f>
        <v>+</v>
      </c>
      <c r="B146" s="14" t="str">
        <f>TEXTVALUE!B146</f>
        <v/>
      </c>
      <c r="C146" s="14" t="str">
        <f>TEXTVALUE!$E$1&amp;" : "&amp;TEXTVALUE!E146&amp;"
"&amp;TEXTVALUE!$G$1&amp;" : "&amp;TEXTVALUE!G146</f>
        <v>KAMAR : 
MADRASIAH : </v>
      </c>
      <c r="D146" s="14" t="str">
        <f>TEXTVALUE!Q146</f>
        <v>Syahriyah = Rp 0
Jariyah = Rp 0
Daftar Ulang = Rp 0
Total = Rp 0
______________________
ID : </v>
      </c>
      <c r="E146" s="14" t="str">
        <f>TEXTVALUE!P146</f>
        <v>Rp 0</v>
      </c>
      <c r="F146" s="14"/>
    </row>
    <row r="147">
      <c r="A147" s="14" t="str">
        <f>$E$1&amp;""&amp;TEXTVALUE!H147</f>
        <v>+</v>
      </c>
      <c r="B147" s="14" t="str">
        <f>TEXTVALUE!B147</f>
        <v/>
      </c>
      <c r="C147" s="14" t="str">
        <f>TEXTVALUE!$E$1&amp;" : "&amp;TEXTVALUE!E147&amp;"
"&amp;TEXTVALUE!$G$1&amp;" : "&amp;TEXTVALUE!G147</f>
        <v>KAMAR : 
MADRASIAH : </v>
      </c>
      <c r="D147" s="14" t="str">
        <f>TEXTVALUE!Q147</f>
        <v>Syahriyah = Rp 0
Jariyah = Rp 0
Daftar Ulang = Rp 0
Total = Rp 0
______________________
ID : </v>
      </c>
      <c r="E147" s="14" t="str">
        <f>TEXTVALUE!P147</f>
        <v>Rp 0</v>
      </c>
      <c r="F147" s="14"/>
    </row>
    <row r="148">
      <c r="A148" s="14" t="str">
        <f>$E$1&amp;""&amp;TEXTVALUE!H148</f>
        <v>+</v>
      </c>
      <c r="B148" s="14" t="str">
        <f>TEXTVALUE!B148</f>
        <v/>
      </c>
      <c r="C148" s="14" t="str">
        <f>TEXTVALUE!$E$1&amp;" : "&amp;TEXTVALUE!E148&amp;"
"&amp;TEXTVALUE!$G$1&amp;" : "&amp;TEXTVALUE!G148</f>
        <v>KAMAR : 
MADRASIAH : </v>
      </c>
      <c r="D148" s="14" t="str">
        <f>TEXTVALUE!Q148</f>
        <v>Syahriyah = Rp 0
Jariyah = Rp 0
Daftar Ulang = Rp 0
Total = Rp 0
______________________
ID : </v>
      </c>
      <c r="E148" s="14" t="str">
        <f>TEXTVALUE!P148</f>
        <v>Rp 0</v>
      </c>
      <c r="F148" s="14"/>
    </row>
    <row r="149">
      <c r="A149" s="14" t="str">
        <f>$E$1&amp;""&amp;TEXTVALUE!H149</f>
        <v>+</v>
      </c>
      <c r="B149" s="14" t="str">
        <f>TEXTVALUE!B149</f>
        <v/>
      </c>
      <c r="C149" s="14" t="str">
        <f>TEXTVALUE!$E$1&amp;" : "&amp;TEXTVALUE!E149&amp;"
"&amp;TEXTVALUE!$G$1&amp;" : "&amp;TEXTVALUE!G149</f>
        <v>KAMAR : 
MADRASIAH : </v>
      </c>
      <c r="D149" s="14" t="str">
        <f>TEXTVALUE!Q149</f>
        <v>Syahriyah = Rp 0
Jariyah = Rp 0
Daftar Ulang = Rp 0
Total = Rp 0
______________________
ID : </v>
      </c>
      <c r="E149" s="14" t="str">
        <f>TEXTVALUE!P149</f>
        <v>Rp 0</v>
      </c>
      <c r="F149" s="14"/>
    </row>
    <row r="150">
      <c r="A150" s="14" t="str">
        <f>$E$1&amp;""&amp;TEXTVALUE!H150</f>
        <v>+</v>
      </c>
      <c r="B150" s="14" t="str">
        <f>TEXTVALUE!B150</f>
        <v/>
      </c>
      <c r="C150" s="14" t="str">
        <f>TEXTVALUE!$E$1&amp;" : "&amp;TEXTVALUE!E150&amp;"
"&amp;TEXTVALUE!$G$1&amp;" : "&amp;TEXTVALUE!G150</f>
        <v>KAMAR : 
MADRASIAH : </v>
      </c>
      <c r="D150" s="14" t="str">
        <f>TEXTVALUE!Q150</f>
        <v>Syahriyah = Rp 0
Jariyah = Rp 0
Daftar Ulang = Rp 0
Total = Rp 0
______________________
ID : </v>
      </c>
      <c r="E150" s="14" t="str">
        <f>TEXTVALUE!P150</f>
        <v>Rp 0</v>
      </c>
      <c r="F150" s="14"/>
    </row>
    <row r="151">
      <c r="A151" s="14" t="str">
        <f>$E$1&amp;""&amp;TEXTVALUE!H151</f>
        <v>+</v>
      </c>
      <c r="B151" s="14" t="str">
        <f>TEXTVALUE!B151</f>
        <v/>
      </c>
      <c r="C151" s="14" t="str">
        <f>TEXTVALUE!$E$1&amp;" : "&amp;TEXTVALUE!E151&amp;"
"&amp;TEXTVALUE!$G$1&amp;" : "&amp;TEXTVALUE!G151</f>
        <v>KAMAR : 
MADRASIAH : </v>
      </c>
      <c r="D151" s="14" t="str">
        <f>TEXTVALUE!Q151</f>
        <v>Syahriyah = Rp 0
Jariyah = Rp 0
Daftar Ulang = Rp 0
Total = Rp 0
______________________
ID : </v>
      </c>
      <c r="E151" s="14" t="str">
        <f>TEXTVALUE!P151</f>
        <v>Rp 0</v>
      </c>
      <c r="F151" s="14"/>
    </row>
    <row r="152">
      <c r="A152" s="14" t="str">
        <f>$E$1&amp;""&amp;TEXTVALUE!H152</f>
        <v>+</v>
      </c>
      <c r="B152" s="14" t="str">
        <f>TEXTVALUE!B152</f>
        <v/>
      </c>
      <c r="C152" s="14" t="str">
        <f>TEXTVALUE!$E$1&amp;" : "&amp;TEXTVALUE!E152&amp;"
"&amp;TEXTVALUE!$G$1&amp;" : "&amp;TEXTVALUE!G152</f>
        <v>KAMAR : 
MADRASIAH : </v>
      </c>
      <c r="D152" s="14" t="str">
        <f>TEXTVALUE!Q152</f>
        <v>Syahriyah = Rp 0
Jariyah = Rp 0
Daftar Ulang = Rp 0
Total = Rp 0
______________________
ID : </v>
      </c>
      <c r="E152" s="14" t="str">
        <f>TEXTVALUE!P152</f>
        <v>Rp 0</v>
      </c>
      <c r="F152" s="14"/>
    </row>
    <row r="153">
      <c r="A153" s="14" t="str">
        <f>$E$1&amp;""&amp;TEXTVALUE!H153</f>
        <v>+</v>
      </c>
      <c r="B153" s="14" t="str">
        <f>TEXTVALUE!B153</f>
        <v/>
      </c>
      <c r="C153" s="14" t="str">
        <f>TEXTVALUE!$E$1&amp;" : "&amp;TEXTVALUE!E153&amp;"
"&amp;TEXTVALUE!$G$1&amp;" : "&amp;TEXTVALUE!G153</f>
        <v>KAMAR : 
MADRASIAH : </v>
      </c>
      <c r="D153" s="14" t="str">
        <f>TEXTVALUE!Q153</f>
        <v>Syahriyah = Rp 0
Jariyah = Rp 0
Daftar Ulang = Rp 0
Total = Rp 0
______________________
ID : </v>
      </c>
      <c r="E153" s="14" t="str">
        <f>TEXTVALUE!P153</f>
        <v>Rp 0</v>
      </c>
      <c r="F153" s="14"/>
    </row>
    <row r="154">
      <c r="A154" s="14" t="str">
        <f>$E$1&amp;""&amp;TEXTVALUE!H154</f>
        <v>+</v>
      </c>
      <c r="B154" s="14" t="str">
        <f>TEXTVALUE!B154</f>
        <v/>
      </c>
      <c r="C154" s="14" t="str">
        <f>TEXTVALUE!$E$1&amp;" : "&amp;TEXTVALUE!E154&amp;"
"&amp;TEXTVALUE!$G$1&amp;" : "&amp;TEXTVALUE!G154</f>
        <v>KAMAR : 
MADRASIAH : </v>
      </c>
      <c r="D154" s="14" t="str">
        <f>TEXTVALUE!Q154</f>
        <v>Syahriyah = Rp 0
Jariyah = Rp 0
Daftar Ulang = Rp 0
Total = Rp 0
______________________
ID : </v>
      </c>
      <c r="E154" s="14" t="str">
        <f>TEXTVALUE!P154</f>
        <v>Rp 0</v>
      </c>
      <c r="F154" s="14"/>
    </row>
    <row r="155">
      <c r="A155" s="14" t="str">
        <f>$E$1&amp;""&amp;TEXTVALUE!H155</f>
        <v>+</v>
      </c>
      <c r="B155" s="14" t="str">
        <f>TEXTVALUE!B155</f>
        <v/>
      </c>
      <c r="C155" s="14" t="str">
        <f>TEXTVALUE!$E$1&amp;" : "&amp;TEXTVALUE!E155&amp;"
"&amp;TEXTVALUE!$G$1&amp;" : "&amp;TEXTVALUE!G155</f>
        <v>KAMAR : 
MADRASIAH : </v>
      </c>
      <c r="D155" s="14" t="str">
        <f>TEXTVALUE!Q155</f>
        <v>Syahriyah = Rp 0
Jariyah = Rp 0
Daftar Ulang = Rp 0
Total = Rp 0
______________________
ID : </v>
      </c>
      <c r="E155" s="14" t="str">
        <f>TEXTVALUE!P155</f>
        <v>Rp 0</v>
      </c>
      <c r="F155" s="14"/>
    </row>
    <row r="156">
      <c r="A156" s="14" t="str">
        <f>$E$1&amp;""&amp;TEXTVALUE!H156</f>
        <v>+</v>
      </c>
      <c r="B156" s="14" t="str">
        <f>TEXTVALUE!B156</f>
        <v/>
      </c>
      <c r="C156" s="14" t="str">
        <f>TEXTVALUE!$E$1&amp;" : "&amp;TEXTVALUE!E156&amp;"
"&amp;TEXTVALUE!$G$1&amp;" : "&amp;TEXTVALUE!G156</f>
        <v>KAMAR : 
MADRASIAH : </v>
      </c>
      <c r="D156" s="14" t="str">
        <f>TEXTVALUE!Q156</f>
        <v>Syahriyah = Rp 0
Jariyah = Rp 0
Daftar Ulang = Rp 0
Total = Rp 0
______________________
ID : </v>
      </c>
      <c r="E156" s="14" t="str">
        <f>TEXTVALUE!P156</f>
        <v>Rp 0</v>
      </c>
      <c r="F156" s="14"/>
    </row>
    <row r="157">
      <c r="A157" s="14" t="str">
        <f>$E$1&amp;""&amp;TEXTVALUE!H157</f>
        <v>+</v>
      </c>
      <c r="B157" s="14" t="str">
        <f>TEXTVALUE!B157</f>
        <v/>
      </c>
      <c r="C157" s="14" t="str">
        <f>TEXTVALUE!$E$1&amp;" : "&amp;TEXTVALUE!E157&amp;"
"&amp;TEXTVALUE!$G$1&amp;" : "&amp;TEXTVALUE!G157</f>
        <v>KAMAR : 
MADRASIAH : </v>
      </c>
      <c r="D157" s="14" t="str">
        <f>TEXTVALUE!Q157</f>
        <v>Syahriyah = Rp 0
Jariyah = Rp 0
Daftar Ulang = Rp 0
Total = Rp 0
______________________
ID : </v>
      </c>
      <c r="E157" s="14" t="str">
        <f>TEXTVALUE!P157</f>
        <v>Rp 0</v>
      </c>
      <c r="F157" s="14"/>
    </row>
    <row r="158">
      <c r="A158" s="14" t="str">
        <f>$E$1&amp;""&amp;TEXTVALUE!H158</f>
        <v>+</v>
      </c>
      <c r="B158" s="14" t="str">
        <f>TEXTVALUE!B158</f>
        <v/>
      </c>
      <c r="C158" s="14" t="str">
        <f>TEXTVALUE!$E$1&amp;" : "&amp;TEXTVALUE!E158&amp;"
"&amp;TEXTVALUE!$G$1&amp;" : "&amp;TEXTVALUE!G158</f>
        <v>KAMAR : 
MADRASIAH : </v>
      </c>
      <c r="D158" s="14" t="str">
        <f>TEXTVALUE!Q158</f>
        <v>Syahriyah = Rp 0
Jariyah = Rp 0
Daftar Ulang = Rp 0
Total = Rp 0
______________________
ID : </v>
      </c>
      <c r="E158" s="14" t="str">
        <f>TEXTVALUE!P158</f>
        <v>Rp 0</v>
      </c>
      <c r="F158" s="14"/>
    </row>
    <row r="159">
      <c r="A159" s="14" t="str">
        <f>$E$1&amp;""&amp;TEXTVALUE!H159</f>
        <v>+</v>
      </c>
      <c r="B159" s="14" t="str">
        <f>TEXTVALUE!B159</f>
        <v/>
      </c>
      <c r="C159" s="14" t="str">
        <f>TEXTVALUE!$E$1&amp;" : "&amp;TEXTVALUE!E159&amp;"
"&amp;TEXTVALUE!$G$1&amp;" : "&amp;TEXTVALUE!G159</f>
        <v>KAMAR : 
MADRASIAH : </v>
      </c>
      <c r="D159" s="14" t="str">
        <f>TEXTVALUE!Q159</f>
        <v>Syahriyah = Rp 0
Jariyah = Rp 0
Daftar Ulang = Rp 0
Total = Rp 0
______________________
ID : </v>
      </c>
      <c r="E159" s="14" t="str">
        <f>TEXTVALUE!P159</f>
        <v>Rp 0</v>
      </c>
      <c r="F159" s="14"/>
    </row>
    <row r="160">
      <c r="A160" s="14" t="str">
        <f>$E$1&amp;""&amp;TEXTVALUE!H160</f>
        <v>+</v>
      </c>
      <c r="B160" s="14" t="str">
        <f>TEXTVALUE!B160</f>
        <v/>
      </c>
      <c r="C160" s="14" t="str">
        <f>TEXTVALUE!$E$1&amp;" : "&amp;TEXTVALUE!E160&amp;"
"&amp;TEXTVALUE!$G$1&amp;" : "&amp;TEXTVALUE!G160</f>
        <v>KAMAR : 
MADRASIAH : </v>
      </c>
      <c r="D160" s="14" t="str">
        <f>TEXTVALUE!Q160</f>
        <v>Syahriyah = Rp 0
Jariyah = Rp 0
Daftar Ulang = Rp 0
Total = Rp 0
______________________
ID : </v>
      </c>
      <c r="E160" s="14" t="str">
        <f>TEXTVALUE!P160</f>
        <v>Rp 0</v>
      </c>
      <c r="F160" s="14"/>
    </row>
    <row r="161">
      <c r="A161" s="14" t="str">
        <f>$E$1&amp;""&amp;TEXTVALUE!H161</f>
        <v>+</v>
      </c>
      <c r="B161" s="14" t="str">
        <f>TEXTVALUE!B161</f>
        <v/>
      </c>
      <c r="C161" s="14" t="str">
        <f>TEXTVALUE!$E$1&amp;" : "&amp;TEXTVALUE!E161&amp;"
"&amp;TEXTVALUE!$G$1&amp;" : "&amp;TEXTVALUE!G161</f>
        <v>KAMAR : 
MADRASIAH : </v>
      </c>
      <c r="D161" s="14" t="str">
        <f>TEXTVALUE!Q161</f>
        <v>Syahriyah = Rp 0
Jariyah = Rp 0
Daftar Ulang = Rp 0
Total = Rp 0
______________________
ID : </v>
      </c>
      <c r="E161" s="14" t="str">
        <f>TEXTVALUE!P161</f>
        <v>Rp 0</v>
      </c>
      <c r="F161" s="14"/>
    </row>
    <row r="162">
      <c r="A162" s="14" t="str">
        <f>$E$1&amp;""&amp;TEXTVALUE!H162</f>
        <v>+</v>
      </c>
      <c r="B162" s="14" t="str">
        <f>TEXTVALUE!B162</f>
        <v/>
      </c>
      <c r="C162" s="14" t="str">
        <f>TEXTVALUE!$E$1&amp;" : "&amp;TEXTVALUE!E162&amp;"
"&amp;TEXTVALUE!$G$1&amp;" : "&amp;TEXTVALUE!G162</f>
        <v>KAMAR : 
MADRASIAH : </v>
      </c>
      <c r="D162" s="14" t="str">
        <f>TEXTVALUE!Q162</f>
        <v>Syahriyah = Rp 0
Jariyah = Rp 0
Daftar Ulang = Rp 0
Total = Rp 0
______________________
ID : </v>
      </c>
      <c r="E162" s="14" t="str">
        <f>TEXTVALUE!P162</f>
        <v>Rp 0</v>
      </c>
      <c r="F162" s="14"/>
    </row>
    <row r="163">
      <c r="A163" s="14" t="str">
        <f>$E$1&amp;""&amp;TEXTVALUE!H163</f>
        <v>+</v>
      </c>
      <c r="B163" s="14" t="str">
        <f>TEXTVALUE!B163</f>
        <v/>
      </c>
      <c r="C163" s="14" t="str">
        <f>TEXTVALUE!$E$1&amp;" : "&amp;TEXTVALUE!E163&amp;"
"&amp;TEXTVALUE!$G$1&amp;" : "&amp;TEXTVALUE!G163</f>
        <v>KAMAR : 
MADRASIAH : </v>
      </c>
      <c r="D163" s="14" t="str">
        <f>TEXTVALUE!Q163</f>
        <v>Syahriyah = Rp 0
Jariyah = Rp 0
Daftar Ulang = Rp 0
Total = Rp 0
______________________
ID : </v>
      </c>
      <c r="E163" s="14" t="str">
        <f>TEXTVALUE!P163</f>
        <v>Rp 0</v>
      </c>
      <c r="F163" s="14"/>
    </row>
    <row r="164">
      <c r="A164" s="14" t="str">
        <f>$E$1&amp;""&amp;TEXTVALUE!H164</f>
        <v>+</v>
      </c>
      <c r="B164" s="14" t="str">
        <f>TEXTVALUE!B164</f>
        <v/>
      </c>
      <c r="C164" s="14" t="str">
        <f>TEXTVALUE!$E$1&amp;" : "&amp;TEXTVALUE!E164&amp;"
"&amp;TEXTVALUE!$G$1&amp;" : "&amp;TEXTVALUE!G164</f>
        <v>KAMAR : 
MADRASIAH : </v>
      </c>
      <c r="D164" s="14" t="str">
        <f>TEXTVALUE!Q164</f>
        <v>Syahriyah = Rp 0
Jariyah = Rp 0
Daftar Ulang = Rp 0
Total = Rp 0
______________________
ID : </v>
      </c>
      <c r="E164" s="14" t="str">
        <f>TEXTVALUE!P164</f>
        <v>Rp 0</v>
      </c>
      <c r="F164" s="14"/>
    </row>
    <row r="165">
      <c r="A165" s="14" t="str">
        <f>$E$1&amp;""&amp;TEXTVALUE!H165</f>
        <v>+</v>
      </c>
      <c r="B165" s="14" t="str">
        <f>TEXTVALUE!B165</f>
        <v/>
      </c>
      <c r="C165" s="14" t="str">
        <f>TEXTVALUE!$E$1&amp;" : "&amp;TEXTVALUE!E165&amp;"
"&amp;TEXTVALUE!$G$1&amp;" : "&amp;TEXTVALUE!G165</f>
        <v>KAMAR : 
MADRASIAH : </v>
      </c>
      <c r="D165" s="14" t="str">
        <f>TEXTVALUE!Q165</f>
        <v>Syahriyah = Rp 0
Jariyah = Rp 0
Daftar Ulang = Rp 0
Total = Rp 0
______________________
ID : </v>
      </c>
      <c r="E165" s="14" t="str">
        <f>TEXTVALUE!P165</f>
        <v>Rp 0</v>
      </c>
      <c r="F165" s="14"/>
    </row>
    <row r="166">
      <c r="A166" s="14" t="str">
        <f>$E$1&amp;""&amp;TEXTVALUE!H166</f>
        <v>+</v>
      </c>
      <c r="B166" s="14" t="str">
        <f>TEXTVALUE!B166</f>
        <v/>
      </c>
      <c r="C166" s="14" t="str">
        <f>TEXTVALUE!$E$1&amp;" : "&amp;TEXTVALUE!E166&amp;"
"&amp;TEXTVALUE!$G$1&amp;" : "&amp;TEXTVALUE!G166</f>
        <v>KAMAR : 
MADRASIAH : </v>
      </c>
      <c r="D166" s="14" t="str">
        <f>TEXTVALUE!Q166</f>
        <v>Syahriyah = Rp 0
Jariyah = Rp 0
Daftar Ulang = Rp 0
Total = Rp 0
______________________
ID : </v>
      </c>
      <c r="E166" s="14" t="str">
        <f>TEXTVALUE!P166</f>
        <v>Rp 0</v>
      </c>
      <c r="F166" s="14"/>
    </row>
    <row r="167">
      <c r="A167" s="14" t="str">
        <f>$E$1&amp;""&amp;TEXTVALUE!H167</f>
        <v>+</v>
      </c>
      <c r="B167" s="14" t="str">
        <f>TEXTVALUE!B167</f>
        <v/>
      </c>
      <c r="C167" s="14" t="str">
        <f>TEXTVALUE!$E$1&amp;" : "&amp;TEXTVALUE!E167&amp;"
"&amp;TEXTVALUE!$G$1&amp;" : "&amp;TEXTVALUE!G167</f>
        <v>KAMAR : 
MADRASIAH : </v>
      </c>
      <c r="D167" s="14" t="str">
        <f>TEXTVALUE!Q167</f>
        <v>Syahriyah = Rp 0
Jariyah = Rp 0
Daftar Ulang = Rp 0
Total = Rp 0
______________________
ID : </v>
      </c>
      <c r="E167" s="14" t="str">
        <f>TEXTVALUE!P167</f>
        <v>Rp 0</v>
      </c>
      <c r="F167" s="14"/>
    </row>
    <row r="168">
      <c r="A168" s="14" t="str">
        <f>$E$1&amp;""&amp;TEXTVALUE!H168</f>
        <v>+</v>
      </c>
      <c r="B168" s="14" t="str">
        <f>TEXTVALUE!B168</f>
        <v/>
      </c>
      <c r="C168" s="14" t="str">
        <f>TEXTVALUE!$E$1&amp;" : "&amp;TEXTVALUE!E168&amp;"
"&amp;TEXTVALUE!$G$1&amp;" : "&amp;TEXTVALUE!G168</f>
        <v>KAMAR : 
MADRASIAH : </v>
      </c>
      <c r="D168" s="14" t="str">
        <f>TEXTVALUE!Q168</f>
        <v>Syahriyah = Rp 0
Jariyah = Rp 0
Daftar Ulang = Rp 0
Total = Rp 0
______________________
ID : </v>
      </c>
      <c r="E168" s="14" t="str">
        <f>TEXTVALUE!P168</f>
        <v>Rp 0</v>
      </c>
      <c r="F168" s="14"/>
    </row>
    <row r="169">
      <c r="A169" s="14" t="str">
        <f>$E$1&amp;""&amp;TEXTVALUE!H169</f>
        <v>+</v>
      </c>
      <c r="B169" s="14" t="str">
        <f>TEXTVALUE!B169</f>
        <v/>
      </c>
      <c r="C169" s="14" t="str">
        <f>TEXTVALUE!$E$1&amp;" : "&amp;TEXTVALUE!E169&amp;"
"&amp;TEXTVALUE!$G$1&amp;" : "&amp;TEXTVALUE!G169</f>
        <v>KAMAR : 
MADRASIAH : </v>
      </c>
      <c r="D169" s="14" t="str">
        <f>TEXTVALUE!Q169</f>
        <v>Syahriyah = Rp 0
Jariyah = Rp 0
Daftar Ulang = Rp 0
Total = Rp 0
______________________
ID : </v>
      </c>
      <c r="E169" s="14" t="str">
        <f>TEXTVALUE!P169</f>
        <v>Rp 0</v>
      </c>
      <c r="F169" s="14"/>
    </row>
    <row r="170">
      <c r="A170" s="14" t="str">
        <f>$E$1&amp;""&amp;TEXTVALUE!H170</f>
        <v>+</v>
      </c>
      <c r="B170" s="14" t="str">
        <f>TEXTVALUE!B170</f>
        <v/>
      </c>
      <c r="C170" s="14" t="str">
        <f>TEXTVALUE!$E$1&amp;" : "&amp;TEXTVALUE!E170&amp;"
"&amp;TEXTVALUE!$G$1&amp;" : "&amp;TEXTVALUE!G170</f>
        <v>KAMAR : 
MADRASIAH : </v>
      </c>
      <c r="D170" s="14" t="str">
        <f>TEXTVALUE!Q170</f>
        <v>Syahriyah = Rp 0
Jariyah = Rp 0
Daftar Ulang = Rp 0
Total = Rp 0
______________________
ID : </v>
      </c>
      <c r="E170" s="14" t="str">
        <f>TEXTVALUE!P170</f>
        <v>Rp 0</v>
      </c>
      <c r="F170" s="14"/>
    </row>
    <row r="171">
      <c r="A171" s="14" t="str">
        <f>$E$1&amp;""&amp;TEXTVALUE!H171</f>
        <v>+</v>
      </c>
      <c r="B171" s="14" t="str">
        <f>TEXTVALUE!B171</f>
        <v/>
      </c>
      <c r="C171" s="14" t="str">
        <f>TEXTVALUE!$E$1&amp;" : "&amp;TEXTVALUE!E171&amp;"
"&amp;TEXTVALUE!$G$1&amp;" : "&amp;TEXTVALUE!G171</f>
        <v>KAMAR : 
MADRASIAH : </v>
      </c>
      <c r="D171" s="14" t="str">
        <f>TEXTVALUE!Q171</f>
        <v>Syahriyah = Rp 0
Jariyah = Rp 0
Daftar Ulang = Rp 0
Total = Rp 0
______________________
ID : </v>
      </c>
      <c r="E171" s="14" t="str">
        <f>TEXTVALUE!P171</f>
        <v>Rp 0</v>
      </c>
      <c r="F171" s="14"/>
    </row>
    <row r="172">
      <c r="A172" s="14" t="str">
        <f>$E$1&amp;""&amp;TEXTVALUE!H172</f>
        <v>+</v>
      </c>
      <c r="B172" s="14" t="str">
        <f>TEXTVALUE!B172</f>
        <v/>
      </c>
      <c r="C172" s="14" t="str">
        <f>TEXTVALUE!$E$1&amp;" : "&amp;TEXTVALUE!E172&amp;"
"&amp;TEXTVALUE!$G$1&amp;" : "&amp;TEXTVALUE!G172</f>
        <v>KAMAR : 
MADRASIAH : </v>
      </c>
      <c r="D172" s="14" t="str">
        <f>TEXTVALUE!Q172</f>
        <v>Syahriyah = Rp 0
Jariyah = Rp 0
Daftar Ulang = Rp 0
Total = Rp 0
______________________
ID : </v>
      </c>
      <c r="E172" s="14" t="str">
        <f>TEXTVALUE!P172</f>
        <v>Rp 0</v>
      </c>
      <c r="F172" s="14"/>
    </row>
    <row r="173">
      <c r="A173" s="14" t="str">
        <f>$E$1&amp;""&amp;TEXTVALUE!H173</f>
        <v>+</v>
      </c>
      <c r="B173" s="14" t="str">
        <f>TEXTVALUE!B173</f>
        <v/>
      </c>
      <c r="C173" s="14" t="str">
        <f>TEXTVALUE!$E$1&amp;" : "&amp;TEXTVALUE!E173&amp;"
"&amp;TEXTVALUE!$G$1&amp;" : "&amp;TEXTVALUE!G173</f>
        <v>KAMAR : 
MADRASIAH : </v>
      </c>
      <c r="D173" s="14" t="str">
        <f>TEXTVALUE!Q173</f>
        <v>Syahriyah = Rp 0
Jariyah = Rp 0
Daftar Ulang = Rp 0
Total = Rp 0
______________________
ID : </v>
      </c>
      <c r="E173" s="14" t="str">
        <f>TEXTVALUE!P173</f>
        <v>Rp 0</v>
      </c>
      <c r="F173" s="14"/>
    </row>
    <row r="174">
      <c r="A174" s="14" t="str">
        <f>$E$1&amp;""&amp;TEXTVALUE!H174</f>
        <v>+</v>
      </c>
      <c r="B174" s="14" t="str">
        <f>TEXTVALUE!B174</f>
        <v/>
      </c>
      <c r="C174" s="14" t="str">
        <f>TEXTVALUE!$E$1&amp;" : "&amp;TEXTVALUE!E174&amp;"
"&amp;TEXTVALUE!$G$1&amp;" : "&amp;TEXTVALUE!G174</f>
        <v>KAMAR : 
MADRASIAH : </v>
      </c>
      <c r="D174" s="14" t="str">
        <f>TEXTVALUE!Q174</f>
        <v>Syahriyah = Rp 0
Jariyah = Rp 0
Daftar Ulang = Rp 0
Total = Rp 0
______________________
ID : </v>
      </c>
      <c r="E174" s="14" t="str">
        <f>TEXTVALUE!P174</f>
        <v>Rp 0</v>
      </c>
      <c r="F174" s="14"/>
    </row>
    <row r="175">
      <c r="A175" s="14" t="str">
        <f>$E$1&amp;""&amp;TEXTVALUE!H175</f>
        <v>+</v>
      </c>
      <c r="B175" s="14" t="str">
        <f>TEXTVALUE!B175</f>
        <v/>
      </c>
      <c r="C175" s="14" t="str">
        <f>TEXTVALUE!$E$1&amp;" : "&amp;TEXTVALUE!E175&amp;"
"&amp;TEXTVALUE!$G$1&amp;" : "&amp;TEXTVALUE!G175</f>
        <v>KAMAR : 
MADRASIAH : </v>
      </c>
      <c r="D175" s="14" t="str">
        <f>TEXTVALUE!Q175</f>
        <v>Syahriyah = Rp 0
Jariyah = Rp 0
Daftar Ulang = Rp 0
Total = Rp 0
______________________
ID : </v>
      </c>
      <c r="E175" s="14" t="str">
        <f>TEXTVALUE!P175</f>
        <v>Rp 0</v>
      </c>
      <c r="F175" s="14"/>
    </row>
    <row r="176">
      <c r="A176" s="14" t="str">
        <f>$E$1&amp;""&amp;TEXTVALUE!H176</f>
        <v>+</v>
      </c>
      <c r="B176" s="14" t="str">
        <f>TEXTVALUE!B176</f>
        <v/>
      </c>
      <c r="C176" s="14" t="str">
        <f>TEXTVALUE!$E$1&amp;" : "&amp;TEXTVALUE!E176&amp;"
"&amp;TEXTVALUE!$G$1&amp;" : "&amp;TEXTVALUE!G176</f>
        <v>KAMAR : 
MADRASIAH : </v>
      </c>
      <c r="D176" s="14" t="str">
        <f>TEXTVALUE!Q176</f>
        <v>Syahriyah = Rp 0
Jariyah = Rp 0
Daftar Ulang = Rp 0
Total = Rp 0
______________________
ID : </v>
      </c>
      <c r="E176" s="14" t="str">
        <f>TEXTVALUE!P176</f>
        <v>Rp 0</v>
      </c>
      <c r="F176" s="14"/>
    </row>
    <row r="177">
      <c r="A177" s="14" t="str">
        <f>$E$1&amp;""&amp;TEXTVALUE!H177</f>
        <v>+</v>
      </c>
      <c r="B177" s="14" t="str">
        <f>TEXTVALUE!B177</f>
        <v/>
      </c>
      <c r="C177" s="14" t="str">
        <f>TEXTVALUE!$E$1&amp;" : "&amp;TEXTVALUE!E177&amp;"
"&amp;TEXTVALUE!$G$1&amp;" : "&amp;TEXTVALUE!G177</f>
        <v>KAMAR : 
MADRASIAH : </v>
      </c>
      <c r="D177" s="14" t="str">
        <f>TEXTVALUE!Q177</f>
        <v>Syahriyah = Rp 0
Jariyah = Rp 0
Daftar Ulang = Rp 0
Total = Rp 0
______________________
ID : </v>
      </c>
      <c r="E177" s="14" t="str">
        <f>TEXTVALUE!P177</f>
        <v>Rp 0</v>
      </c>
      <c r="F177" s="14"/>
    </row>
    <row r="178">
      <c r="A178" s="14" t="str">
        <f>$E$1&amp;""&amp;TEXTVALUE!H178</f>
        <v>+</v>
      </c>
      <c r="B178" s="14" t="str">
        <f>TEXTVALUE!B178</f>
        <v/>
      </c>
      <c r="C178" s="14" t="str">
        <f>TEXTVALUE!$E$1&amp;" : "&amp;TEXTVALUE!E178&amp;"
"&amp;TEXTVALUE!$G$1&amp;" : "&amp;TEXTVALUE!G178</f>
        <v>KAMAR : 
MADRASIAH : </v>
      </c>
      <c r="D178" s="14" t="str">
        <f>TEXTVALUE!Q178</f>
        <v>Syahriyah = Rp 0
Jariyah = Rp 0
Daftar Ulang = Rp 0
Total = Rp 0
______________________
ID : </v>
      </c>
      <c r="E178" s="14" t="str">
        <f>TEXTVALUE!P178</f>
        <v>Rp 0</v>
      </c>
      <c r="F178" s="14"/>
    </row>
    <row r="179">
      <c r="A179" s="14" t="str">
        <f>$E$1&amp;""&amp;TEXTVALUE!H179</f>
        <v>+</v>
      </c>
      <c r="B179" s="14" t="str">
        <f>TEXTVALUE!B179</f>
        <v/>
      </c>
      <c r="C179" s="14" t="str">
        <f>TEXTVALUE!$E$1&amp;" : "&amp;TEXTVALUE!E179&amp;"
"&amp;TEXTVALUE!$G$1&amp;" : "&amp;TEXTVALUE!G179</f>
        <v>KAMAR : 
MADRASIAH : </v>
      </c>
      <c r="D179" s="14" t="str">
        <f>TEXTVALUE!Q179</f>
        <v>Syahriyah = Rp 0
Jariyah = Rp 0
Daftar Ulang = Rp 0
Total = Rp 0
______________________
ID : </v>
      </c>
      <c r="E179" s="14" t="str">
        <f>TEXTVALUE!P179</f>
        <v>Rp 0</v>
      </c>
      <c r="F179" s="14"/>
    </row>
    <row r="180">
      <c r="A180" s="14" t="str">
        <f>$E$1&amp;""&amp;TEXTVALUE!H180</f>
        <v>+</v>
      </c>
      <c r="B180" s="14" t="str">
        <f>TEXTVALUE!B180</f>
        <v/>
      </c>
      <c r="C180" s="14" t="str">
        <f>TEXTVALUE!$E$1&amp;" : "&amp;TEXTVALUE!E180&amp;"
"&amp;TEXTVALUE!$G$1&amp;" : "&amp;TEXTVALUE!G180</f>
        <v>KAMAR : 
MADRASIAH : </v>
      </c>
      <c r="D180" s="14" t="str">
        <f>TEXTVALUE!Q180</f>
        <v>Syahriyah = Rp 0
Jariyah = Rp 0
Daftar Ulang = Rp 0
Total = Rp 0
______________________
ID : </v>
      </c>
      <c r="E180" s="14" t="str">
        <f>TEXTVALUE!P180</f>
        <v>Rp 0</v>
      </c>
      <c r="F180" s="14"/>
    </row>
    <row r="181">
      <c r="A181" s="14" t="str">
        <f>$E$1&amp;""&amp;TEXTVALUE!H181</f>
        <v>+</v>
      </c>
      <c r="B181" s="14" t="str">
        <f>TEXTVALUE!B181</f>
        <v/>
      </c>
      <c r="C181" s="14" t="str">
        <f>TEXTVALUE!$E$1&amp;" : "&amp;TEXTVALUE!E181&amp;"
"&amp;TEXTVALUE!$G$1&amp;" : "&amp;TEXTVALUE!G181</f>
        <v>KAMAR : 
MADRASIAH : </v>
      </c>
      <c r="D181" s="14" t="str">
        <f>TEXTVALUE!Q181</f>
        <v>Syahriyah = Rp 0
Jariyah = Rp 0
Daftar Ulang = Rp 0
Total = Rp 0
______________________
ID : </v>
      </c>
      <c r="E181" s="14" t="str">
        <f>TEXTVALUE!P181</f>
        <v>Rp 0</v>
      </c>
      <c r="F181" s="14"/>
    </row>
    <row r="182">
      <c r="A182" s="14" t="str">
        <f>$E$1&amp;""&amp;TEXTVALUE!H182</f>
        <v>+</v>
      </c>
      <c r="B182" s="14" t="str">
        <f>TEXTVALUE!B182</f>
        <v/>
      </c>
      <c r="C182" s="14" t="str">
        <f>TEXTVALUE!$E$1&amp;" : "&amp;TEXTVALUE!E182&amp;"
"&amp;TEXTVALUE!$G$1&amp;" : "&amp;TEXTVALUE!G182</f>
        <v>KAMAR : 
MADRASIAH : </v>
      </c>
      <c r="D182" s="14" t="str">
        <f>TEXTVALUE!Q182</f>
        <v>Syahriyah = Rp 0
Jariyah = Rp 0
Daftar Ulang = Rp 0
Total = Rp 0
______________________
ID : </v>
      </c>
      <c r="E182" s="14" t="str">
        <f>TEXTVALUE!P182</f>
        <v>Rp 0</v>
      </c>
      <c r="F182" s="14"/>
    </row>
    <row r="183">
      <c r="A183" s="14" t="str">
        <f>$E$1&amp;""&amp;TEXTVALUE!H183</f>
        <v>+</v>
      </c>
      <c r="B183" s="14" t="str">
        <f>TEXTVALUE!B183</f>
        <v/>
      </c>
      <c r="C183" s="14" t="str">
        <f>TEXTVALUE!$E$1&amp;" : "&amp;TEXTVALUE!E183&amp;"
"&amp;TEXTVALUE!$G$1&amp;" : "&amp;TEXTVALUE!G183</f>
        <v>KAMAR : 
MADRASIAH : </v>
      </c>
      <c r="D183" s="14" t="str">
        <f>TEXTVALUE!Q183</f>
        <v>Syahriyah = Rp 0
Jariyah = Rp 0
Daftar Ulang = Rp 0
Total = Rp 0
______________________
ID : </v>
      </c>
      <c r="E183" s="14" t="str">
        <f>TEXTVALUE!P183</f>
        <v>Rp 0</v>
      </c>
      <c r="F183" s="14"/>
    </row>
    <row r="184">
      <c r="A184" s="14" t="str">
        <f>$E$1&amp;""&amp;TEXTVALUE!H184</f>
        <v>+</v>
      </c>
      <c r="B184" s="14" t="str">
        <f>TEXTVALUE!B184</f>
        <v/>
      </c>
      <c r="C184" s="14" t="str">
        <f>TEXTVALUE!$E$1&amp;" : "&amp;TEXTVALUE!E184&amp;"
"&amp;TEXTVALUE!$G$1&amp;" : "&amp;TEXTVALUE!G184</f>
        <v>KAMAR : 
MADRASIAH : </v>
      </c>
      <c r="D184" s="14" t="str">
        <f>TEXTVALUE!Q184</f>
        <v>Syahriyah = Rp 0
Jariyah = Rp 0
Daftar Ulang = Rp 0
Total = Rp 0
______________________
ID : </v>
      </c>
      <c r="E184" s="14" t="str">
        <f>TEXTVALUE!P184</f>
        <v>Rp 0</v>
      </c>
      <c r="F184" s="14"/>
    </row>
    <row r="185">
      <c r="A185" s="14" t="str">
        <f>$E$1&amp;""&amp;TEXTVALUE!H185</f>
        <v>+</v>
      </c>
      <c r="B185" s="14" t="str">
        <f>TEXTVALUE!B185</f>
        <v/>
      </c>
      <c r="C185" s="14" t="str">
        <f>TEXTVALUE!$E$1&amp;" : "&amp;TEXTVALUE!E185&amp;"
"&amp;TEXTVALUE!$G$1&amp;" : "&amp;TEXTVALUE!G185</f>
        <v>KAMAR : 
MADRASIAH : </v>
      </c>
      <c r="D185" s="14" t="str">
        <f>TEXTVALUE!Q185</f>
        <v>Syahriyah = Rp 0
Jariyah = Rp 0
Daftar Ulang = Rp 0
Total = Rp 0
______________________
ID : </v>
      </c>
      <c r="E185" s="14" t="str">
        <f>TEXTVALUE!P185</f>
        <v>Rp 0</v>
      </c>
      <c r="F185" s="14"/>
    </row>
    <row r="186">
      <c r="A186" s="14" t="str">
        <f>$E$1&amp;""&amp;TEXTVALUE!H186</f>
        <v>+</v>
      </c>
      <c r="B186" s="14" t="str">
        <f>TEXTVALUE!B186</f>
        <v/>
      </c>
      <c r="C186" s="14" t="str">
        <f>TEXTVALUE!$E$1&amp;" : "&amp;TEXTVALUE!E186&amp;"
"&amp;TEXTVALUE!$G$1&amp;" : "&amp;TEXTVALUE!G186</f>
        <v>KAMAR : 
MADRASIAH : </v>
      </c>
      <c r="D186" s="14" t="str">
        <f>TEXTVALUE!Q186</f>
        <v>Syahriyah = Rp 0
Jariyah = Rp 0
Daftar Ulang = Rp 0
Total = Rp 0
______________________
ID : </v>
      </c>
      <c r="E186" s="14" t="str">
        <f>TEXTVALUE!P186</f>
        <v>Rp 0</v>
      </c>
      <c r="F186" s="14"/>
    </row>
    <row r="187">
      <c r="A187" s="14" t="str">
        <f>$E$1&amp;""&amp;TEXTVALUE!H187</f>
        <v>+</v>
      </c>
      <c r="B187" s="14" t="str">
        <f>TEXTVALUE!B187</f>
        <v/>
      </c>
      <c r="C187" s="14" t="str">
        <f>TEXTVALUE!$E$1&amp;" : "&amp;TEXTVALUE!E187&amp;"
"&amp;TEXTVALUE!$G$1&amp;" : "&amp;TEXTVALUE!G187</f>
        <v>KAMAR : 
MADRASIAH : </v>
      </c>
      <c r="D187" s="14" t="str">
        <f>TEXTVALUE!Q187</f>
        <v>Syahriyah = Rp 0
Jariyah = Rp 0
Daftar Ulang = Rp 0
Total = Rp 0
______________________
ID : </v>
      </c>
      <c r="E187" s="14" t="str">
        <f>TEXTVALUE!P187</f>
        <v>Rp 0</v>
      </c>
      <c r="F187" s="14"/>
    </row>
    <row r="188">
      <c r="A188" s="14" t="str">
        <f>$E$1&amp;""&amp;TEXTVALUE!H188</f>
        <v>+</v>
      </c>
      <c r="B188" s="14" t="str">
        <f>TEXTVALUE!B188</f>
        <v/>
      </c>
      <c r="C188" s="14" t="str">
        <f>TEXTVALUE!$E$1&amp;" : "&amp;TEXTVALUE!E188&amp;"
"&amp;TEXTVALUE!$G$1&amp;" : "&amp;TEXTVALUE!G188</f>
        <v>KAMAR : 
MADRASIAH : </v>
      </c>
      <c r="D188" s="14" t="str">
        <f>TEXTVALUE!Q188</f>
        <v>Syahriyah = Rp 0
Jariyah = Rp 0
Daftar Ulang = Rp 0
Total = Rp 0
______________________
ID : </v>
      </c>
      <c r="E188" s="14" t="str">
        <f>TEXTVALUE!P188</f>
        <v>Rp 0</v>
      </c>
      <c r="F188" s="14"/>
    </row>
    <row r="189">
      <c r="A189" s="14" t="str">
        <f>$E$1&amp;""&amp;TEXTVALUE!H189</f>
        <v>+</v>
      </c>
      <c r="B189" s="14" t="str">
        <f>TEXTVALUE!B189</f>
        <v/>
      </c>
      <c r="C189" s="14" t="str">
        <f>TEXTVALUE!$E$1&amp;" : "&amp;TEXTVALUE!E189&amp;"
"&amp;TEXTVALUE!$G$1&amp;" : "&amp;TEXTVALUE!G189</f>
        <v>KAMAR : 
MADRASIAH : </v>
      </c>
      <c r="D189" s="14" t="str">
        <f>TEXTVALUE!Q189</f>
        <v>Syahriyah = Rp 0
Jariyah = Rp 0
Daftar Ulang = Rp 0
Total = Rp 0
______________________
ID : </v>
      </c>
      <c r="E189" s="14" t="str">
        <f>TEXTVALUE!P189</f>
        <v>Rp 0</v>
      </c>
      <c r="F189" s="14"/>
    </row>
    <row r="190">
      <c r="A190" s="14" t="str">
        <f>$E$1&amp;""&amp;TEXTVALUE!H190</f>
        <v>+</v>
      </c>
      <c r="B190" s="14" t="str">
        <f>TEXTVALUE!B190</f>
        <v/>
      </c>
      <c r="C190" s="14" t="str">
        <f>TEXTVALUE!$E$1&amp;" : "&amp;TEXTVALUE!E190&amp;"
"&amp;TEXTVALUE!$G$1&amp;" : "&amp;TEXTVALUE!G190</f>
        <v>KAMAR : 
MADRASIAH : </v>
      </c>
      <c r="D190" s="14" t="str">
        <f>TEXTVALUE!Q190</f>
        <v>Syahriyah = Rp 0
Jariyah = Rp 0
Daftar Ulang = Rp 0
Total = Rp 0
______________________
ID : </v>
      </c>
      <c r="E190" s="14" t="str">
        <f>TEXTVALUE!P190</f>
        <v>Rp 0</v>
      </c>
      <c r="F190" s="14"/>
    </row>
    <row r="191">
      <c r="A191" s="14" t="str">
        <f>$E$1&amp;""&amp;TEXTVALUE!H191</f>
        <v>+</v>
      </c>
      <c r="B191" s="14" t="str">
        <f>TEXTVALUE!B191</f>
        <v/>
      </c>
      <c r="C191" s="14" t="str">
        <f>TEXTVALUE!$E$1&amp;" : "&amp;TEXTVALUE!E191&amp;"
"&amp;TEXTVALUE!$G$1&amp;" : "&amp;TEXTVALUE!G191</f>
        <v>KAMAR : 
MADRASIAH : </v>
      </c>
      <c r="D191" s="14" t="str">
        <f>TEXTVALUE!Q191</f>
        <v>Syahriyah = Rp 0
Jariyah = Rp 0
Daftar Ulang = Rp 0
Total = Rp 0
______________________
ID : </v>
      </c>
      <c r="E191" s="14" t="str">
        <f>TEXTVALUE!P191</f>
        <v>Rp 0</v>
      </c>
      <c r="F191" s="14"/>
    </row>
    <row r="192">
      <c r="A192" s="14" t="str">
        <f>$E$1&amp;""&amp;TEXTVALUE!H192</f>
        <v>+</v>
      </c>
      <c r="B192" s="14" t="str">
        <f>TEXTVALUE!B192</f>
        <v/>
      </c>
      <c r="C192" s="14" t="str">
        <f>TEXTVALUE!$E$1&amp;" : "&amp;TEXTVALUE!E192&amp;"
"&amp;TEXTVALUE!$G$1&amp;" : "&amp;TEXTVALUE!G192</f>
        <v>KAMAR : 
MADRASIAH : </v>
      </c>
      <c r="D192" s="14" t="str">
        <f>TEXTVALUE!Q192</f>
        <v>Syahriyah = Rp 0
Jariyah = Rp 0
Daftar Ulang = Rp 0
Total = Rp 0
______________________
ID : </v>
      </c>
      <c r="E192" s="14" t="str">
        <f>TEXTVALUE!P192</f>
        <v>Rp 0</v>
      </c>
      <c r="F192" s="14"/>
    </row>
    <row r="193">
      <c r="A193" s="14" t="str">
        <f>$E$1&amp;""&amp;TEXTVALUE!H193</f>
        <v>+</v>
      </c>
      <c r="B193" s="14" t="str">
        <f>TEXTVALUE!B193</f>
        <v/>
      </c>
      <c r="C193" s="14" t="str">
        <f>TEXTVALUE!$E$1&amp;" : "&amp;TEXTVALUE!E193&amp;"
"&amp;TEXTVALUE!$G$1&amp;" : "&amp;TEXTVALUE!G193</f>
        <v>KAMAR : 
MADRASIAH : </v>
      </c>
      <c r="D193" s="14" t="str">
        <f>TEXTVALUE!Q193</f>
        <v>Syahriyah = Rp 0
Jariyah = Rp 0
Daftar Ulang = Rp 0
Total = Rp 0
______________________
ID : </v>
      </c>
      <c r="E193" s="14" t="str">
        <f>TEXTVALUE!P193</f>
        <v>Rp 0</v>
      </c>
      <c r="F193" s="14"/>
    </row>
    <row r="194">
      <c r="A194" s="14" t="str">
        <f>$E$1&amp;""&amp;TEXTVALUE!H194</f>
        <v>+</v>
      </c>
      <c r="B194" s="14" t="str">
        <f>TEXTVALUE!B194</f>
        <v/>
      </c>
      <c r="C194" s="14" t="str">
        <f>TEXTVALUE!$E$1&amp;" : "&amp;TEXTVALUE!E194&amp;"
"&amp;TEXTVALUE!$G$1&amp;" : "&amp;TEXTVALUE!G194</f>
        <v>KAMAR : 
MADRASIAH : </v>
      </c>
      <c r="D194" s="14" t="str">
        <f>TEXTVALUE!Q194</f>
        <v>Syahriyah = Rp 0
Jariyah = Rp 0
Daftar Ulang = Rp 0
Total = Rp 0
______________________
ID : </v>
      </c>
      <c r="E194" s="14" t="str">
        <f>TEXTVALUE!P194</f>
        <v>Rp 0</v>
      </c>
      <c r="F194" s="14"/>
    </row>
    <row r="195">
      <c r="A195" s="14" t="str">
        <f>$E$1&amp;""&amp;TEXTVALUE!H195</f>
        <v>+</v>
      </c>
      <c r="B195" s="14" t="str">
        <f>TEXTVALUE!B195</f>
        <v/>
      </c>
      <c r="C195" s="14" t="str">
        <f>TEXTVALUE!$E$1&amp;" : "&amp;TEXTVALUE!E195&amp;"
"&amp;TEXTVALUE!$G$1&amp;" : "&amp;TEXTVALUE!G195</f>
        <v>KAMAR : 
MADRASIAH : </v>
      </c>
      <c r="D195" s="14" t="str">
        <f>TEXTVALUE!Q195</f>
        <v>Syahriyah = Rp 0
Jariyah = Rp 0
Daftar Ulang = Rp 0
Total = Rp 0
______________________
ID : </v>
      </c>
      <c r="E195" s="14" t="str">
        <f>TEXTVALUE!P195</f>
        <v>Rp 0</v>
      </c>
      <c r="F195" s="14"/>
    </row>
    <row r="196">
      <c r="A196" s="14" t="str">
        <f>$E$1&amp;""&amp;TEXTVALUE!H196</f>
        <v>+</v>
      </c>
      <c r="B196" s="14" t="str">
        <f>TEXTVALUE!B196</f>
        <v/>
      </c>
      <c r="C196" s="14" t="str">
        <f>TEXTVALUE!$E$1&amp;" : "&amp;TEXTVALUE!E196&amp;"
"&amp;TEXTVALUE!$G$1&amp;" : "&amp;TEXTVALUE!G196</f>
        <v>KAMAR : 
MADRASIAH : </v>
      </c>
      <c r="D196" s="14" t="str">
        <f>TEXTVALUE!Q196</f>
        <v>Syahriyah = Rp 0
Jariyah = Rp 0
Daftar Ulang = Rp 0
Total = Rp 0
______________________
ID : </v>
      </c>
      <c r="E196" s="14" t="str">
        <f>TEXTVALUE!P196</f>
        <v>Rp 0</v>
      </c>
      <c r="F196" s="14"/>
    </row>
    <row r="197">
      <c r="A197" s="14" t="str">
        <f>$E$1&amp;""&amp;TEXTVALUE!H197</f>
        <v>+</v>
      </c>
      <c r="B197" s="14" t="str">
        <f>TEXTVALUE!B197</f>
        <v/>
      </c>
      <c r="C197" s="14" t="str">
        <f>TEXTVALUE!$E$1&amp;" : "&amp;TEXTVALUE!E197&amp;"
"&amp;TEXTVALUE!$G$1&amp;" : "&amp;TEXTVALUE!G197</f>
        <v>KAMAR : 
MADRASIAH : </v>
      </c>
      <c r="D197" s="14" t="str">
        <f>TEXTVALUE!Q197</f>
        <v>Syahriyah = Rp 0
Jariyah = Rp 0
Daftar Ulang = Rp 0
Total = Rp 0
______________________
ID : </v>
      </c>
      <c r="E197" s="14" t="str">
        <f>TEXTVALUE!P197</f>
        <v>Rp 0</v>
      </c>
      <c r="F197" s="14"/>
    </row>
    <row r="198">
      <c r="A198" s="14" t="str">
        <f>$E$1&amp;""&amp;TEXTVALUE!H198</f>
        <v>+</v>
      </c>
      <c r="B198" s="14" t="str">
        <f>TEXTVALUE!B198</f>
        <v/>
      </c>
      <c r="C198" s="14" t="str">
        <f>TEXTVALUE!$E$1&amp;" : "&amp;TEXTVALUE!E198&amp;"
"&amp;TEXTVALUE!$G$1&amp;" : "&amp;TEXTVALUE!G198</f>
        <v>KAMAR : 
MADRASIAH : </v>
      </c>
      <c r="D198" s="14" t="str">
        <f>TEXTVALUE!Q198</f>
        <v>Syahriyah = Rp 0
Jariyah = Rp 0
Daftar Ulang = Rp 0
Total = Rp 0
______________________
ID : </v>
      </c>
      <c r="E198" s="14" t="str">
        <f>TEXTVALUE!P198</f>
        <v>Rp 0</v>
      </c>
      <c r="F198" s="14"/>
    </row>
    <row r="199">
      <c r="A199" s="14" t="str">
        <f>$E$1&amp;""&amp;TEXTVALUE!H199</f>
        <v>+</v>
      </c>
      <c r="B199" s="14" t="str">
        <f>TEXTVALUE!B199</f>
        <v/>
      </c>
      <c r="C199" s="14" t="str">
        <f>TEXTVALUE!$E$1&amp;" : "&amp;TEXTVALUE!E199&amp;"
"&amp;TEXTVALUE!$G$1&amp;" : "&amp;TEXTVALUE!G199</f>
        <v>KAMAR : 
MADRASIAH : </v>
      </c>
      <c r="D199" s="14" t="str">
        <f>TEXTVALUE!Q199</f>
        <v>Syahriyah = Rp 0
Jariyah = Rp 0
Daftar Ulang = Rp 0
Total = Rp 0
______________________
ID : </v>
      </c>
      <c r="E199" s="14" t="str">
        <f>TEXTVALUE!P199</f>
        <v>Rp 0</v>
      </c>
      <c r="F199" s="14"/>
    </row>
    <row r="200">
      <c r="A200" s="14" t="str">
        <f>$E$1&amp;""&amp;TEXTVALUE!H200</f>
        <v>+</v>
      </c>
      <c r="B200" s="14" t="str">
        <f>TEXTVALUE!B200</f>
        <v/>
      </c>
      <c r="C200" s="14" t="str">
        <f>TEXTVALUE!$E$1&amp;" : "&amp;TEXTVALUE!E200&amp;"
"&amp;TEXTVALUE!$G$1&amp;" : "&amp;TEXTVALUE!G200</f>
        <v>KAMAR : 
MADRASIAH : </v>
      </c>
      <c r="D200" s="14" t="str">
        <f>TEXTVALUE!Q200</f>
        <v>Syahriyah = Rp 0
Jariyah = Rp 0
Daftar Ulang = Rp 0
Total = Rp 0
______________________
ID : </v>
      </c>
      <c r="E200" s="14" t="str">
        <f>TEXTVALUE!P200</f>
        <v>Rp 0</v>
      </c>
      <c r="F200" s="14"/>
    </row>
    <row r="201">
      <c r="A201" s="14" t="str">
        <f>$E$1&amp;""&amp;TEXTVALUE!H201</f>
        <v>+</v>
      </c>
      <c r="B201" s="14" t="str">
        <f>TEXTVALUE!B201</f>
        <v/>
      </c>
      <c r="C201" s="14" t="str">
        <f>TEXTVALUE!$E$1&amp;" : "&amp;TEXTVALUE!E201&amp;"
"&amp;TEXTVALUE!$G$1&amp;" : "&amp;TEXTVALUE!G201</f>
        <v>KAMAR : 
MADRASIAH : </v>
      </c>
      <c r="D201" s="14" t="str">
        <f>TEXTVALUE!Q201</f>
        <v>Syahriyah = Rp 0
Jariyah = Rp 0
Daftar Ulang = Rp 0
Total = Rp 0
______________________
ID : </v>
      </c>
      <c r="E201" s="14" t="str">
        <f>TEXTVALUE!P201</f>
        <v>Rp 0</v>
      </c>
      <c r="F201" s="14"/>
    </row>
    <row r="202">
      <c r="A202" s="14" t="str">
        <f>$E$1&amp;""&amp;TEXTVALUE!H202</f>
        <v>+</v>
      </c>
      <c r="B202" s="14" t="str">
        <f>TEXTVALUE!B202</f>
        <v/>
      </c>
      <c r="C202" s="14" t="str">
        <f>TEXTVALUE!$E$1&amp;" : "&amp;TEXTVALUE!E202&amp;"
"&amp;TEXTVALUE!$G$1&amp;" : "&amp;TEXTVALUE!G202</f>
        <v>KAMAR : 
MADRASIAH : </v>
      </c>
      <c r="D202" s="14" t="str">
        <f>TEXTVALUE!Q202</f>
        <v>Syahriyah = Rp 0
Jariyah = Rp 0
Daftar Ulang = Rp 0
Total = Rp 0
______________________
ID : </v>
      </c>
      <c r="E202" s="14" t="str">
        <f>TEXTVALUE!P202</f>
        <v>Rp 0</v>
      </c>
      <c r="F202" s="14"/>
    </row>
    <row r="203">
      <c r="A203" s="14" t="str">
        <f>$E$1&amp;""&amp;TEXTVALUE!H203</f>
        <v>+</v>
      </c>
      <c r="B203" s="14" t="str">
        <f>TEXTVALUE!B203</f>
        <v/>
      </c>
      <c r="C203" s="14" t="str">
        <f>TEXTVALUE!$E$1&amp;" : "&amp;TEXTVALUE!E203&amp;"
"&amp;TEXTVALUE!$G$1&amp;" : "&amp;TEXTVALUE!G203</f>
        <v>KAMAR : 
MADRASIAH : </v>
      </c>
      <c r="D203" s="14" t="str">
        <f>TEXTVALUE!Q203</f>
        <v>Syahriyah = Rp 0
Jariyah = Rp 0
Daftar Ulang = Rp 0
Total = Rp 0
______________________
ID : </v>
      </c>
      <c r="E203" s="14" t="str">
        <f>TEXTVALUE!P203</f>
        <v>Rp 0</v>
      </c>
      <c r="F203" s="14"/>
    </row>
    <row r="204">
      <c r="A204" s="14" t="str">
        <f>$E$1&amp;""&amp;TEXTVALUE!H204</f>
        <v>+</v>
      </c>
      <c r="B204" s="14" t="str">
        <f>TEXTVALUE!B204</f>
        <v/>
      </c>
      <c r="C204" s="14" t="str">
        <f>TEXTVALUE!$E$1&amp;" : "&amp;TEXTVALUE!E204&amp;"
"&amp;TEXTVALUE!$G$1&amp;" : "&amp;TEXTVALUE!G204</f>
        <v>KAMAR : 
MADRASIAH : </v>
      </c>
      <c r="D204" s="14" t="str">
        <f>TEXTVALUE!Q204</f>
        <v>Syahriyah = Rp 0
Jariyah = Rp 0
Daftar Ulang = Rp 0
Total = Rp 0
______________________
ID : </v>
      </c>
      <c r="E204" s="14" t="str">
        <f>TEXTVALUE!P204</f>
        <v>Rp 0</v>
      </c>
      <c r="F204" s="14"/>
    </row>
    <row r="205">
      <c r="A205" s="14" t="str">
        <f>$E$1&amp;""&amp;TEXTVALUE!H205</f>
        <v>+</v>
      </c>
      <c r="B205" s="14" t="str">
        <f>TEXTVALUE!B205</f>
        <v/>
      </c>
      <c r="C205" s="14" t="str">
        <f>TEXTVALUE!$E$1&amp;" : "&amp;TEXTVALUE!E205&amp;"
"&amp;TEXTVALUE!$G$1&amp;" : "&amp;TEXTVALUE!G205</f>
        <v>KAMAR : 
MADRASIAH : </v>
      </c>
      <c r="D205" s="14" t="str">
        <f>TEXTVALUE!Q205</f>
        <v>Syahriyah = Rp 0
Jariyah = Rp 0
Daftar Ulang = Rp 0
Total = Rp 0
______________________
ID : </v>
      </c>
      <c r="E205" s="14" t="str">
        <f>TEXTVALUE!P205</f>
        <v>Rp 0</v>
      </c>
      <c r="F205" s="14"/>
    </row>
    <row r="206">
      <c r="A206" s="14" t="str">
        <f>$E$1&amp;""&amp;TEXTVALUE!H206</f>
        <v>+</v>
      </c>
      <c r="B206" s="14" t="str">
        <f>TEXTVALUE!B206</f>
        <v/>
      </c>
      <c r="C206" s="14" t="str">
        <f>TEXTVALUE!$E$1&amp;" : "&amp;TEXTVALUE!E206&amp;"
"&amp;TEXTVALUE!$G$1&amp;" : "&amp;TEXTVALUE!G206</f>
        <v>KAMAR : 
MADRASIAH : </v>
      </c>
      <c r="D206" s="14" t="str">
        <f>TEXTVALUE!Q206</f>
        <v>Syahriyah = Rp 0
Jariyah = Rp 0
Daftar Ulang = Rp 0
Total = Rp 0
______________________
ID : </v>
      </c>
      <c r="E206" s="14" t="str">
        <f>TEXTVALUE!P206</f>
        <v>Rp 0</v>
      </c>
      <c r="F206" s="14"/>
    </row>
    <row r="207">
      <c r="A207" s="14" t="str">
        <f>$E$1&amp;""&amp;TEXTVALUE!H207</f>
        <v>+</v>
      </c>
      <c r="B207" s="14" t="str">
        <f>TEXTVALUE!B207</f>
        <v/>
      </c>
      <c r="C207" s="14" t="str">
        <f>TEXTVALUE!$E$1&amp;" : "&amp;TEXTVALUE!E207&amp;"
"&amp;TEXTVALUE!$G$1&amp;" : "&amp;TEXTVALUE!G207</f>
        <v>KAMAR : 
MADRASIAH : </v>
      </c>
      <c r="D207" s="14" t="str">
        <f>TEXTVALUE!Q207</f>
        <v>Syahriyah = Rp 0
Jariyah = Rp 0
Daftar Ulang = Rp 0
Total = Rp 0
______________________
ID : </v>
      </c>
      <c r="E207" s="14" t="str">
        <f>TEXTVALUE!P207</f>
        <v>Rp 0</v>
      </c>
      <c r="F207" s="14"/>
    </row>
    <row r="208">
      <c r="A208" s="14" t="str">
        <f>$E$1&amp;""&amp;TEXTVALUE!H208</f>
        <v>+</v>
      </c>
      <c r="B208" s="14" t="str">
        <f>TEXTVALUE!B208</f>
        <v/>
      </c>
      <c r="C208" s="14" t="str">
        <f>TEXTVALUE!$E$1&amp;" : "&amp;TEXTVALUE!E208&amp;"
"&amp;TEXTVALUE!$G$1&amp;" : "&amp;TEXTVALUE!G208</f>
        <v>KAMAR : 
MADRASIAH : </v>
      </c>
      <c r="D208" s="14" t="str">
        <f>TEXTVALUE!Q208</f>
        <v>Syahriyah = Rp 0
Jariyah = Rp 0
Daftar Ulang = Rp 0
Total = Rp 0
______________________
ID : </v>
      </c>
      <c r="E208" s="14" t="str">
        <f>TEXTVALUE!P208</f>
        <v>Rp 0</v>
      </c>
      <c r="F208" s="14"/>
    </row>
    <row r="209">
      <c r="A209" s="14" t="str">
        <f>$E$1&amp;""&amp;TEXTVALUE!H209</f>
        <v>+</v>
      </c>
      <c r="B209" s="14" t="str">
        <f>TEXTVALUE!B209</f>
        <v/>
      </c>
      <c r="C209" s="14" t="str">
        <f>TEXTVALUE!$E$1&amp;" : "&amp;TEXTVALUE!E209&amp;"
"&amp;TEXTVALUE!$G$1&amp;" : "&amp;TEXTVALUE!G209</f>
        <v>KAMAR : 
MADRASIAH : </v>
      </c>
      <c r="D209" s="14" t="str">
        <f>TEXTVALUE!Q209</f>
        <v>Syahriyah = Rp 0
Jariyah = Rp 0
Daftar Ulang = Rp 0
Total = Rp 0
______________________
ID : </v>
      </c>
      <c r="E209" s="14" t="str">
        <f>TEXTVALUE!P209</f>
        <v>Rp 0</v>
      </c>
      <c r="F209" s="14"/>
    </row>
    <row r="210">
      <c r="A210" s="14" t="str">
        <f>$E$1&amp;""&amp;TEXTVALUE!H210</f>
        <v>+</v>
      </c>
      <c r="B210" s="14" t="str">
        <f>TEXTVALUE!B210</f>
        <v/>
      </c>
      <c r="C210" s="14" t="str">
        <f>TEXTVALUE!$E$1&amp;" : "&amp;TEXTVALUE!E210&amp;"
"&amp;TEXTVALUE!$G$1&amp;" : "&amp;TEXTVALUE!G210</f>
        <v>KAMAR : 
MADRASIAH : </v>
      </c>
      <c r="D210" s="14" t="str">
        <f>TEXTVALUE!Q210</f>
        <v>Syahriyah = Rp 0
Jariyah = Rp 0
Daftar Ulang = Rp 0
Total = Rp 0
______________________
ID : </v>
      </c>
      <c r="E210" s="14" t="str">
        <f>TEXTVALUE!P210</f>
        <v>Rp 0</v>
      </c>
      <c r="F210" s="14"/>
    </row>
    <row r="211">
      <c r="A211" s="14" t="str">
        <f>$E$1&amp;""&amp;TEXTVALUE!H211</f>
        <v>+</v>
      </c>
      <c r="B211" s="14" t="str">
        <f>TEXTVALUE!B211</f>
        <v/>
      </c>
      <c r="C211" s="14" t="str">
        <f>TEXTVALUE!$E$1&amp;" : "&amp;TEXTVALUE!E211&amp;"
"&amp;TEXTVALUE!$G$1&amp;" : "&amp;TEXTVALUE!G211</f>
        <v>KAMAR : 
MADRASIAH : </v>
      </c>
      <c r="D211" s="14" t="str">
        <f>TEXTVALUE!Q211</f>
        <v>Syahriyah = Rp 0
Jariyah = Rp 0
Daftar Ulang = Rp 0
Total = Rp 0
______________________
ID : </v>
      </c>
      <c r="E211" s="14" t="str">
        <f>TEXTVALUE!P211</f>
        <v>Rp 0</v>
      </c>
      <c r="F211" s="14"/>
    </row>
    <row r="212">
      <c r="A212" s="14" t="str">
        <f>$E$1&amp;""&amp;TEXTVALUE!H212</f>
        <v>+</v>
      </c>
      <c r="B212" s="14" t="str">
        <f>TEXTVALUE!B212</f>
        <v/>
      </c>
      <c r="C212" s="14" t="str">
        <f>TEXTVALUE!$E$1&amp;" : "&amp;TEXTVALUE!E212&amp;"
"&amp;TEXTVALUE!$G$1&amp;" : "&amp;TEXTVALUE!G212</f>
        <v>KAMAR : 
MADRASIAH : </v>
      </c>
      <c r="D212" s="14" t="str">
        <f>TEXTVALUE!Q212</f>
        <v>Syahriyah = Rp 0
Jariyah = Rp 0
Daftar Ulang = Rp 0
Total = Rp 0
______________________
ID : </v>
      </c>
      <c r="E212" s="14" t="str">
        <f>TEXTVALUE!P212</f>
        <v>Rp 0</v>
      </c>
      <c r="F212" s="14"/>
    </row>
    <row r="213">
      <c r="A213" s="14" t="str">
        <f>$E$1&amp;""&amp;TEXTVALUE!H213</f>
        <v>+</v>
      </c>
      <c r="B213" s="14" t="str">
        <f>TEXTVALUE!B213</f>
        <v/>
      </c>
      <c r="C213" s="14" t="str">
        <f>TEXTVALUE!$E$1&amp;" : "&amp;TEXTVALUE!E213&amp;"
"&amp;TEXTVALUE!$G$1&amp;" : "&amp;TEXTVALUE!G213</f>
        <v>KAMAR : 
MADRASIAH : </v>
      </c>
      <c r="D213" s="14" t="str">
        <f>TEXTVALUE!Q213</f>
        <v>Syahriyah = Rp 0
Jariyah = Rp 0
Daftar Ulang = Rp 0
Total = Rp 0
______________________
ID : </v>
      </c>
      <c r="E213" s="14" t="str">
        <f>TEXTVALUE!P213</f>
        <v>Rp 0</v>
      </c>
      <c r="F213" s="14"/>
    </row>
    <row r="214">
      <c r="A214" s="14" t="str">
        <f>$E$1&amp;""&amp;TEXTVALUE!H214</f>
        <v>+</v>
      </c>
      <c r="B214" s="14" t="str">
        <f>TEXTVALUE!B214</f>
        <v/>
      </c>
      <c r="C214" s="14" t="str">
        <f>TEXTVALUE!$E$1&amp;" : "&amp;TEXTVALUE!E214&amp;"
"&amp;TEXTVALUE!$G$1&amp;" : "&amp;TEXTVALUE!G214</f>
        <v>KAMAR : 
MADRASIAH : </v>
      </c>
      <c r="D214" s="14" t="str">
        <f>TEXTVALUE!Q214</f>
        <v>Syahriyah = Rp 0
Jariyah = Rp 0
Daftar Ulang = Rp 0
Total = Rp 0
______________________
ID : </v>
      </c>
      <c r="E214" s="14" t="str">
        <f>TEXTVALUE!P214</f>
        <v>Rp 0</v>
      </c>
      <c r="F214" s="14"/>
    </row>
    <row r="215">
      <c r="A215" s="14" t="str">
        <f>$E$1&amp;""&amp;TEXTVALUE!H215</f>
        <v>+</v>
      </c>
      <c r="B215" s="14" t="str">
        <f>TEXTVALUE!B215</f>
        <v/>
      </c>
      <c r="C215" s="14" t="str">
        <f>TEXTVALUE!$E$1&amp;" : "&amp;TEXTVALUE!E215&amp;"
"&amp;TEXTVALUE!$G$1&amp;" : "&amp;TEXTVALUE!G215</f>
        <v>KAMAR : 
MADRASIAH : </v>
      </c>
      <c r="D215" s="14" t="str">
        <f>TEXTVALUE!Q215</f>
        <v>Syahriyah = Rp 0
Jariyah = Rp 0
Daftar Ulang = Rp 0
Total = Rp 0
______________________
ID : </v>
      </c>
      <c r="E215" s="14" t="str">
        <f>TEXTVALUE!P215</f>
        <v>Rp 0</v>
      </c>
      <c r="F215" s="14"/>
    </row>
    <row r="216">
      <c r="A216" s="14" t="str">
        <f>$E$1&amp;""&amp;TEXTVALUE!H216</f>
        <v>+</v>
      </c>
      <c r="B216" s="14" t="str">
        <f>TEXTVALUE!B216</f>
        <v/>
      </c>
      <c r="C216" s="14" t="str">
        <f>TEXTVALUE!$E$1&amp;" : "&amp;TEXTVALUE!E216&amp;"
"&amp;TEXTVALUE!$G$1&amp;" : "&amp;TEXTVALUE!G216</f>
        <v>KAMAR : 
MADRASIAH : </v>
      </c>
      <c r="D216" s="14" t="str">
        <f>TEXTVALUE!Q216</f>
        <v>Syahriyah = Rp 0
Jariyah = Rp 0
Daftar Ulang = Rp 0
Total = Rp 0
______________________
ID : </v>
      </c>
      <c r="E216" s="14" t="str">
        <f>TEXTVALUE!P216</f>
        <v>Rp 0</v>
      </c>
      <c r="F216" s="14"/>
    </row>
    <row r="217">
      <c r="A217" s="14" t="str">
        <f>$E$1&amp;""&amp;TEXTVALUE!H217</f>
        <v>+</v>
      </c>
      <c r="B217" s="14" t="str">
        <f>TEXTVALUE!B217</f>
        <v/>
      </c>
      <c r="C217" s="14" t="str">
        <f>TEXTVALUE!$E$1&amp;" : "&amp;TEXTVALUE!E217&amp;"
"&amp;TEXTVALUE!$G$1&amp;" : "&amp;TEXTVALUE!G217</f>
        <v>KAMAR : 
MADRASIAH : </v>
      </c>
      <c r="D217" s="14" t="str">
        <f>TEXTVALUE!Q217</f>
        <v>Syahriyah = Rp 0
Jariyah = Rp 0
Daftar Ulang = Rp 0
Total = Rp 0
______________________
ID : </v>
      </c>
      <c r="E217" s="14" t="str">
        <f>TEXTVALUE!P217</f>
        <v>Rp 0</v>
      </c>
      <c r="F217" s="14"/>
    </row>
    <row r="218">
      <c r="A218" s="14" t="str">
        <f>$E$1&amp;""&amp;TEXTVALUE!H218</f>
        <v>+</v>
      </c>
      <c r="B218" s="14" t="str">
        <f>TEXTVALUE!B218</f>
        <v/>
      </c>
      <c r="C218" s="14" t="str">
        <f>TEXTVALUE!$E$1&amp;" : "&amp;TEXTVALUE!E218&amp;"
"&amp;TEXTVALUE!$G$1&amp;" : "&amp;TEXTVALUE!G218</f>
        <v>KAMAR : 
MADRASIAH : </v>
      </c>
      <c r="D218" s="14" t="str">
        <f>TEXTVALUE!Q218</f>
        <v>Syahriyah = Rp 0
Jariyah = Rp 0
Daftar Ulang = Rp 0
Total = Rp 0
______________________
ID : </v>
      </c>
      <c r="E218" s="14" t="str">
        <f>TEXTVALUE!P218</f>
        <v>Rp 0</v>
      </c>
      <c r="F218" s="14"/>
    </row>
    <row r="219">
      <c r="A219" s="14" t="str">
        <f>$E$1&amp;""&amp;TEXTVALUE!H219</f>
        <v>+</v>
      </c>
      <c r="B219" s="14" t="str">
        <f>TEXTVALUE!B219</f>
        <v/>
      </c>
      <c r="C219" s="14" t="str">
        <f>TEXTVALUE!$E$1&amp;" : "&amp;TEXTVALUE!E219&amp;"
"&amp;TEXTVALUE!$G$1&amp;" : "&amp;TEXTVALUE!G219</f>
        <v>KAMAR : 
MADRASIAH : </v>
      </c>
      <c r="D219" s="14" t="str">
        <f>TEXTVALUE!Q219</f>
        <v>Syahriyah = Rp 0
Jariyah = Rp 0
Daftar Ulang = Rp 0
Total = Rp 0
______________________
ID : </v>
      </c>
      <c r="E219" s="14" t="str">
        <f>TEXTVALUE!P219</f>
        <v>Rp 0</v>
      </c>
      <c r="F219" s="14"/>
    </row>
    <row r="220">
      <c r="A220" s="14" t="str">
        <f>$E$1&amp;""&amp;TEXTVALUE!H220</f>
        <v>+</v>
      </c>
      <c r="B220" s="14" t="str">
        <f>TEXTVALUE!B220</f>
        <v/>
      </c>
      <c r="C220" s="14" t="str">
        <f>TEXTVALUE!$E$1&amp;" : "&amp;TEXTVALUE!E220&amp;"
"&amp;TEXTVALUE!$G$1&amp;" : "&amp;TEXTVALUE!G220</f>
        <v>KAMAR : 
MADRASIAH : </v>
      </c>
      <c r="D220" s="14" t="str">
        <f>TEXTVALUE!Q220</f>
        <v>Syahriyah = Rp 0
Jariyah = Rp 0
Daftar Ulang = Rp 0
Total = Rp 0
______________________
ID : </v>
      </c>
      <c r="E220" s="14" t="str">
        <f>TEXTVALUE!P220</f>
        <v>Rp 0</v>
      </c>
      <c r="F220" s="14"/>
    </row>
    <row r="221">
      <c r="A221" s="14" t="str">
        <f>$E$1&amp;""&amp;TEXTVALUE!H221</f>
        <v>+</v>
      </c>
      <c r="B221" s="14" t="str">
        <f>TEXTVALUE!B221</f>
        <v/>
      </c>
      <c r="C221" s="14" t="str">
        <f>TEXTVALUE!$E$1&amp;" : "&amp;TEXTVALUE!E221&amp;"
"&amp;TEXTVALUE!$G$1&amp;" : "&amp;TEXTVALUE!G221</f>
        <v>KAMAR : 
MADRASIAH : </v>
      </c>
      <c r="D221" s="14" t="str">
        <f>TEXTVALUE!Q221</f>
        <v>Syahriyah = Rp 0
Jariyah = Rp 0
Daftar Ulang = Rp 0
Total = Rp 0
______________________
ID : </v>
      </c>
      <c r="E221" s="14" t="str">
        <f>TEXTVALUE!P221</f>
        <v>Rp 0</v>
      </c>
      <c r="F221" s="14"/>
    </row>
    <row r="222">
      <c r="A222" s="14" t="str">
        <f>$E$1&amp;""&amp;TEXTVALUE!H222</f>
        <v>+</v>
      </c>
      <c r="B222" s="14" t="str">
        <f>TEXTVALUE!B222</f>
        <v/>
      </c>
      <c r="C222" s="14" t="str">
        <f>TEXTVALUE!$E$1&amp;" : "&amp;TEXTVALUE!E222&amp;"
"&amp;TEXTVALUE!$G$1&amp;" : "&amp;TEXTVALUE!G222</f>
        <v>KAMAR : 
MADRASIAH : </v>
      </c>
      <c r="D222" s="14" t="str">
        <f>TEXTVALUE!Q222</f>
        <v>Syahriyah = Rp 0
Jariyah = Rp 0
Daftar Ulang = Rp 0
Total = Rp 0
______________________
ID : </v>
      </c>
      <c r="E222" s="14" t="str">
        <f>TEXTVALUE!P222</f>
        <v>Rp 0</v>
      </c>
      <c r="F222" s="14"/>
    </row>
    <row r="223">
      <c r="A223" s="14" t="str">
        <f>$E$1&amp;""&amp;TEXTVALUE!H223</f>
        <v>+</v>
      </c>
      <c r="B223" s="14" t="str">
        <f>TEXTVALUE!B223</f>
        <v/>
      </c>
      <c r="C223" s="14" t="str">
        <f>TEXTVALUE!$E$1&amp;" : "&amp;TEXTVALUE!E223&amp;"
"&amp;TEXTVALUE!$G$1&amp;" : "&amp;TEXTVALUE!G223</f>
        <v>KAMAR : 
MADRASIAH : </v>
      </c>
      <c r="D223" s="14" t="str">
        <f>TEXTVALUE!Q223</f>
        <v>Syahriyah = Rp 0
Jariyah = Rp 0
Daftar Ulang = Rp 0
Total = Rp 0
______________________
ID : </v>
      </c>
      <c r="E223" s="14" t="str">
        <f>TEXTVALUE!P223</f>
        <v>Rp 0</v>
      </c>
      <c r="F223" s="14"/>
    </row>
    <row r="224">
      <c r="A224" s="14" t="str">
        <f>$E$1&amp;""&amp;TEXTVALUE!H224</f>
        <v>+</v>
      </c>
      <c r="B224" s="14" t="str">
        <f>TEXTVALUE!B224</f>
        <v/>
      </c>
      <c r="C224" s="14" t="str">
        <f>TEXTVALUE!$E$1&amp;" : "&amp;TEXTVALUE!E224&amp;"
"&amp;TEXTVALUE!$G$1&amp;" : "&amp;TEXTVALUE!G224</f>
        <v>KAMAR : 
MADRASIAH : </v>
      </c>
      <c r="D224" s="14" t="str">
        <f>TEXTVALUE!Q224</f>
        <v>Syahriyah = Rp 0
Jariyah = Rp 0
Daftar Ulang = Rp 0
Total = Rp 0
______________________
ID : </v>
      </c>
      <c r="E224" s="14" t="str">
        <f>TEXTVALUE!P224</f>
        <v>Rp 0</v>
      </c>
      <c r="F224" s="14"/>
    </row>
    <row r="225">
      <c r="A225" s="14" t="str">
        <f>$E$1&amp;""&amp;TEXTVALUE!H225</f>
        <v>+</v>
      </c>
      <c r="B225" s="14" t="str">
        <f>TEXTVALUE!B225</f>
        <v/>
      </c>
      <c r="C225" s="14" t="str">
        <f>TEXTVALUE!$E$1&amp;" : "&amp;TEXTVALUE!E225&amp;"
"&amp;TEXTVALUE!$G$1&amp;" : "&amp;TEXTVALUE!G225</f>
        <v>KAMAR : 
MADRASIAH : </v>
      </c>
      <c r="D225" s="14" t="str">
        <f>TEXTVALUE!Q225</f>
        <v>Syahriyah = Rp 0
Jariyah = Rp 0
Daftar Ulang = Rp 0
Total = Rp 0
______________________
ID : </v>
      </c>
      <c r="E225" s="14" t="str">
        <f>TEXTVALUE!P225</f>
        <v>Rp 0</v>
      </c>
      <c r="F225" s="14"/>
    </row>
    <row r="226">
      <c r="A226" s="14" t="str">
        <f>$E$1&amp;""&amp;TEXTVALUE!H226</f>
        <v>+</v>
      </c>
      <c r="B226" s="14" t="str">
        <f>TEXTVALUE!B226</f>
        <v/>
      </c>
      <c r="C226" s="14" t="str">
        <f>TEXTVALUE!$E$1&amp;" : "&amp;TEXTVALUE!E226&amp;"
"&amp;TEXTVALUE!$G$1&amp;" : "&amp;TEXTVALUE!G226</f>
        <v>KAMAR : 
MADRASIAH : </v>
      </c>
      <c r="D226" s="14" t="str">
        <f>TEXTVALUE!Q226</f>
        <v>Syahriyah = Rp 0
Jariyah = Rp 0
Daftar Ulang = Rp 0
Total = Rp 0
______________________
ID : </v>
      </c>
      <c r="E226" s="14" t="str">
        <f>TEXTVALUE!P226</f>
        <v>Rp 0</v>
      </c>
      <c r="F226" s="14"/>
    </row>
    <row r="227">
      <c r="A227" s="14" t="str">
        <f>$E$1&amp;""&amp;TEXTVALUE!H227</f>
        <v>+</v>
      </c>
      <c r="B227" s="14" t="str">
        <f>TEXTVALUE!B227</f>
        <v/>
      </c>
      <c r="C227" s="14" t="str">
        <f>TEXTVALUE!$E$1&amp;" : "&amp;TEXTVALUE!E227&amp;"
"&amp;TEXTVALUE!$G$1&amp;" : "&amp;TEXTVALUE!G227</f>
        <v>KAMAR : 
MADRASIAH : </v>
      </c>
      <c r="D227" s="14" t="str">
        <f>TEXTVALUE!Q227</f>
        <v>Syahriyah = Rp 0
Jariyah = Rp 0
Daftar Ulang = Rp 0
Total = Rp 0
______________________
ID : </v>
      </c>
      <c r="E227" s="14" t="str">
        <f>TEXTVALUE!P227</f>
        <v>Rp 0</v>
      </c>
      <c r="F227" s="14"/>
    </row>
    <row r="228">
      <c r="A228" s="14" t="str">
        <f>$E$1&amp;""&amp;TEXTVALUE!H228</f>
        <v>+</v>
      </c>
      <c r="B228" s="14" t="str">
        <f>TEXTVALUE!B228</f>
        <v/>
      </c>
      <c r="C228" s="14" t="str">
        <f>TEXTVALUE!$E$1&amp;" : "&amp;TEXTVALUE!E228&amp;"
"&amp;TEXTVALUE!$G$1&amp;" : "&amp;TEXTVALUE!G228</f>
        <v>KAMAR : 
MADRASIAH : </v>
      </c>
      <c r="D228" s="14" t="str">
        <f>TEXTVALUE!Q228</f>
        <v>Syahriyah = Rp 0
Jariyah = Rp 0
Daftar Ulang = Rp 0
Total = Rp 0
______________________
ID : </v>
      </c>
      <c r="E228" s="14" t="str">
        <f>TEXTVALUE!P228</f>
        <v>Rp 0</v>
      </c>
      <c r="F228" s="14"/>
    </row>
    <row r="229">
      <c r="A229" s="14" t="str">
        <f>$E$1&amp;""&amp;TEXTVALUE!H229</f>
        <v>+</v>
      </c>
      <c r="B229" s="14" t="str">
        <f>TEXTVALUE!B229</f>
        <v/>
      </c>
      <c r="C229" s="14" t="str">
        <f>TEXTVALUE!$E$1&amp;" : "&amp;TEXTVALUE!E229&amp;"
"&amp;TEXTVALUE!$G$1&amp;" : "&amp;TEXTVALUE!G229</f>
        <v>KAMAR : 
MADRASIAH : </v>
      </c>
      <c r="D229" s="14" t="str">
        <f>TEXTVALUE!Q229</f>
        <v>Syahriyah = Rp 0
Jariyah = Rp 0
Daftar Ulang = Rp 0
Total = Rp 0
______________________
ID : </v>
      </c>
      <c r="E229" s="14" t="str">
        <f>TEXTVALUE!P229</f>
        <v>Rp 0</v>
      </c>
      <c r="F229" s="14"/>
    </row>
    <row r="230">
      <c r="A230" s="14" t="str">
        <f>$E$1&amp;""&amp;TEXTVALUE!H230</f>
        <v>+</v>
      </c>
      <c r="B230" s="14" t="str">
        <f>TEXTVALUE!B230</f>
        <v/>
      </c>
      <c r="C230" s="14" t="str">
        <f>TEXTVALUE!$E$1&amp;" : "&amp;TEXTVALUE!E230&amp;"
"&amp;TEXTVALUE!$G$1&amp;" : "&amp;TEXTVALUE!G230</f>
        <v>KAMAR : 
MADRASIAH : </v>
      </c>
      <c r="D230" s="14" t="str">
        <f>TEXTVALUE!Q230</f>
        <v>Syahriyah = Rp 0
Jariyah = Rp 0
Daftar Ulang = Rp 0
Total = Rp 0
______________________
ID : </v>
      </c>
      <c r="E230" s="14" t="str">
        <f>TEXTVALUE!P230</f>
        <v>Rp 0</v>
      </c>
      <c r="F230" s="14"/>
    </row>
    <row r="231">
      <c r="A231" s="14" t="str">
        <f>$E$1&amp;""&amp;TEXTVALUE!H231</f>
        <v>+</v>
      </c>
      <c r="B231" s="14" t="str">
        <f>TEXTVALUE!B231</f>
        <v/>
      </c>
      <c r="C231" s="14" t="str">
        <f>TEXTVALUE!$E$1&amp;" : "&amp;TEXTVALUE!E231&amp;"
"&amp;TEXTVALUE!$G$1&amp;" : "&amp;TEXTVALUE!G231</f>
        <v>KAMAR : 
MADRASIAH : </v>
      </c>
      <c r="D231" s="14" t="str">
        <f>TEXTVALUE!Q231</f>
        <v>Syahriyah = Rp 0
Jariyah = Rp 0
Daftar Ulang = Rp 0
Total = Rp 0
______________________
ID : </v>
      </c>
      <c r="E231" s="14" t="str">
        <f>TEXTVALUE!P231</f>
        <v>Rp 0</v>
      </c>
      <c r="F231" s="14"/>
    </row>
    <row r="232">
      <c r="A232" s="14" t="str">
        <f>$E$1&amp;""&amp;TEXTVALUE!H232</f>
        <v>+</v>
      </c>
      <c r="B232" s="14" t="str">
        <f>TEXTVALUE!B232</f>
        <v/>
      </c>
      <c r="C232" s="14" t="str">
        <f>TEXTVALUE!$E$1&amp;" : "&amp;TEXTVALUE!E232&amp;"
"&amp;TEXTVALUE!$G$1&amp;" : "&amp;TEXTVALUE!G232</f>
        <v>KAMAR : 
MADRASIAH : </v>
      </c>
      <c r="D232" s="14" t="str">
        <f>TEXTVALUE!Q232</f>
        <v>Syahriyah = Rp 0
Jariyah = Rp 0
Daftar Ulang = Rp 0
Total = Rp 0
______________________
ID : </v>
      </c>
      <c r="E232" s="14" t="str">
        <f>TEXTVALUE!P232</f>
        <v>Rp 0</v>
      </c>
      <c r="F232" s="14"/>
    </row>
    <row r="233">
      <c r="A233" s="14" t="str">
        <f>$E$1&amp;""&amp;TEXTVALUE!H233</f>
        <v>+</v>
      </c>
      <c r="B233" s="14" t="str">
        <f>TEXTVALUE!B233</f>
        <v/>
      </c>
      <c r="C233" s="14" t="str">
        <f>TEXTVALUE!$E$1&amp;" : "&amp;TEXTVALUE!E233&amp;"
"&amp;TEXTVALUE!$G$1&amp;" : "&amp;TEXTVALUE!G233</f>
        <v>KAMAR : 
MADRASIAH : </v>
      </c>
      <c r="D233" s="14" t="str">
        <f>TEXTVALUE!Q233</f>
        <v>Syahriyah = Rp 0
Jariyah = Rp 0
Daftar Ulang = Rp 0
Total = Rp 0
______________________
ID : </v>
      </c>
      <c r="E233" s="14" t="str">
        <f>TEXTVALUE!P233</f>
        <v>Rp 0</v>
      </c>
      <c r="F233" s="14"/>
    </row>
    <row r="234">
      <c r="A234" s="14" t="str">
        <f>$E$1&amp;""&amp;TEXTVALUE!H234</f>
        <v>+</v>
      </c>
      <c r="B234" s="14" t="str">
        <f>TEXTVALUE!B234</f>
        <v/>
      </c>
      <c r="C234" s="14" t="str">
        <f>TEXTVALUE!$E$1&amp;" : "&amp;TEXTVALUE!E234&amp;"
"&amp;TEXTVALUE!$G$1&amp;" : "&amp;TEXTVALUE!G234</f>
        <v>KAMAR : 
MADRASIAH : </v>
      </c>
      <c r="D234" s="14" t="str">
        <f>TEXTVALUE!Q234</f>
        <v>Syahriyah = Rp 0
Jariyah = Rp 0
Daftar Ulang = Rp 0
Total = Rp 0
______________________
ID : </v>
      </c>
      <c r="E234" s="14" t="str">
        <f>TEXTVALUE!P234</f>
        <v>Rp 0</v>
      </c>
      <c r="F234" s="14"/>
    </row>
    <row r="235">
      <c r="A235" s="14" t="str">
        <f>$E$1&amp;""&amp;TEXTVALUE!H235</f>
        <v>+</v>
      </c>
      <c r="B235" s="14" t="str">
        <f>TEXTVALUE!B235</f>
        <v/>
      </c>
      <c r="C235" s="14" t="str">
        <f>TEXTVALUE!$E$1&amp;" : "&amp;TEXTVALUE!E235&amp;"
"&amp;TEXTVALUE!$G$1&amp;" : "&amp;TEXTVALUE!G235</f>
        <v>KAMAR : 
MADRASIAH : </v>
      </c>
      <c r="D235" s="14" t="str">
        <f>TEXTVALUE!Q235</f>
        <v>Syahriyah = Rp 0
Jariyah = Rp 0
Daftar Ulang = Rp 0
Total = Rp 0
______________________
ID : </v>
      </c>
      <c r="E235" s="14" t="str">
        <f>TEXTVALUE!P235</f>
        <v>Rp 0</v>
      </c>
      <c r="F235" s="14"/>
    </row>
    <row r="236">
      <c r="A236" s="14" t="str">
        <f>$E$1&amp;""&amp;TEXTVALUE!H236</f>
        <v>+</v>
      </c>
      <c r="B236" s="14" t="str">
        <f>TEXTVALUE!B236</f>
        <v/>
      </c>
      <c r="C236" s="14" t="str">
        <f>TEXTVALUE!$E$1&amp;" : "&amp;TEXTVALUE!E236&amp;"
"&amp;TEXTVALUE!$G$1&amp;" : "&amp;TEXTVALUE!G236</f>
        <v>KAMAR : 
MADRASIAH : </v>
      </c>
      <c r="D236" s="14" t="str">
        <f>TEXTVALUE!Q236</f>
        <v>Syahriyah = Rp 0
Jariyah = Rp 0
Daftar Ulang = Rp 0
Total = Rp 0
______________________
ID : </v>
      </c>
      <c r="E236" s="14" t="str">
        <f>TEXTVALUE!P236</f>
        <v>Rp 0</v>
      </c>
      <c r="F236" s="14"/>
    </row>
    <row r="237">
      <c r="A237" s="14" t="str">
        <f>$E$1&amp;""&amp;TEXTVALUE!H237</f>
        <v>+</v>
      </c>
      <c r="B237" s="14" t="str">
        <f>TEXTVALUE!B237</f>
        <v/>
      </c>
      <c r="C237" s="14" t="str">
        <f>TEXTVALUE!$E$1&amp;" : "&amp;TEXTVALUE!E237&amp;"
"&amp;TEXTVALUE!$G$1&amp;" : "&amp;TEXTVALUE!G237</f>
        <v>KAMAR : 
MADRASIAH : </v>
      </c>
      <c r="D237" s="14" t="str">
        <f>TEXTVALUE!Q237</f>
        <v>Syahriyah = Rp 0
Jariyah = Rp 0
Daftar Ulang = Rp 0
Total = Rp 0
______________________
ID : </v>
      </c>
      <c r="E237" s="14" t="str">
        <f>TEXTVALUE!P237</f>
        <v>Rp 0</v>
      </c>
      <c r="F237" s="14"/>
    </row>
    <row r="238">
      <c r="A238" s="14" t="str">
        <f>$E$1&amp;""&amp;TEXTVALUE!H238</f>
        <v>+</v>
      </c>
      <c r="B238" s="14" t="str">
        <f>TEXTVALUE!B238</f>
        <v/>
      </c>
      <c r="C238" s="14" t="str">
        <f>TEXTVALUE!$E$1&amp;" : "&amp;TEXTVALUE!E238&amp;"
"&amp;TEXTVALUE!$G$1&amp;" : "&amp;TEXTVALUE!G238</f>
        <v>KAMAR : 
MADRASIAH : </v>
      </c>
      <c r="D238" s="14" t="str">
        <f>TEXTVALUE!Q238</f>
        <v>Syahriyah = Rp 0
Jariyah = Rp 0
Daftar Ulang = Rp 0
Total = Rp 0
______________________
ID : </v>
      </c>
      <c r="E238" s="14" t="str">
        <f>TEXTVALUE!P238</f>
        <v>Rp 0</v>
      </c>
      <c r="F238" s="14"/>
    </row>
    <row r="239">
      <c r="A239" s="14" t="str">
        <f>$E$1&amp;""&amp;TEXTVALUE!H239</f>
        <v>+</v>
      </c>
      <c r="B239" s="14" t="str">
        <f>TEXTVALUE!B239</f>
        <v/>
      </c>
      <c r="C239" s="14" t="str">
        <f>TEXTVALUE!$E$1&amp;" : "&amp;TEXTVALUE!E239&amp;"
"&amp;TEXTVALUE!$G$1&amp;" : "&amp;TEXTVALUE!G239</f>
        <v>KAMAR : 
MADRASIAH : </v>
      </c>
      <c r="D239" s="14" t="str">
        <f>TEXTVALUE!Q239</f>
        <v>Syahriyah = Rp 0
Jariyah = Rp 0
Daftar Ulang = Rp 0
Total = Rp 0
______________________
ID : </v>
      </c>
      <c r="E239" s="14" t="str">
        <f>TEXTVALUE!P239</f>
        <v>Rp 0</v>
      </c>
      <c r="F239" s="14"/>
    </row>
    <row r="240">
      <c r="A240" s="14" t="str">
        <f>$E$1&amp;""&amp;TEXTVALUE!H240</f>
        <v>+</v>
      </c>
      <c r="B240" s="14" t="str">
        <f>TEXTVALUE!B240</f>
        <v/>
      </c>
      <c r="C240" s="14" t="str">
        <f>TEXTVALUE!$E$1&amp;" : "&amp;TEXTVALUE!E240&amp;"
"&amp;TEXTVALUE!$G$1&amp;" : "&amp;TEXTVALUE!G240</f>
        <v>KAMAR : 
MADRASIAH : </v>
      </c>
      <c r="D240" s="14" t="str">
        <f>TEXTVALUE!Q240</f>
        <v>Syahriyah = Rp 0
Jariyah = Rp 0
Daftar Ulang = Rp 0
Total = Rp 0
______________________
ID : </v>
      </c>
      <c r="E240" s="14" t="str">
        <f>TEXTVALUE!P240</f>
        <v>Rp 0</v>
      </c>
      <c r="F240" s="14"/>
    </row>
    <row r="241">
      <c r="A241" s="14" t="str">
        <f>$E$1&amp;""&amp;TEXTVALUE!H241</f>
        <v>+</v>
      </c>
      <c r="B241" s="14" t="str">
        <f>TEXTVALUE!B241</f>
        <v/>
      </c>
      <c r="C241" s="14" t="str">
        <f>TEXTVALUE!$E$1&amp;" : "&amp;TEXTVALUE!E241&amp;"
"&amp;TEXTVALUE!$G$1&amp;" : "&amp;TEXTVALUE!G241</f>
        <v>KAMAR : 
MADRASIAH : </v>
      </c>
      <c r="D241" s="14" t="str">
        <f>TEXTVALUE!Q241</f>
        <v>Syahriyah = Rp 0
Jariyah = Rp 0
Daftar Ulang = Rp 0
Total = Rp 0
______________________
ID : </v>
      </c>
      <c r="E241" s="14" t="str">
        <f>TEXTVALUE!P241</f>
        <v>Rp 0</v>
      </c>
      <c r="F241" s="14"/>
    </row>
    <row r="242">
      <c r="A242" s="14" t="str">
        <f>$E$1&amp;""&amp;TEXTVALUE!H242</f>
        <v>+</v>
      </c>
      <c r="B242" s="14" t="str">
        <f>TEXTVALUE!B242</f>
        <v/>
      </c>
      <c r="C242" s="14" t="str">
        <f>TEXTVALUE!$E$1&amp;" : "&amp;TEXTVALUE!E242&amp;"
"&amp;TEXTVALUE!$G$1&amp;" : "&amp;TEXTVALUE!G242</f>
        <v>KAMAR : 
MADRASIAH : </v>
      </c>
      <c r="D242" s="14" t="str">
        <f>TEXTVALUE!Q242</f>
        <v>Syahriyah = Rp 0
Jariyah = Rp 0
Daftar Ulang = Rp 0
Total = Rp 0
______________________
ID : </v>
      </c>
      <c r="E242" s="14" t="str">
        <f>TEXTVALUE!P242</f>
        <v>Rp 0</v>
      </c>
      <c r="F242" s="14"/>
    </row>
    <row r="243">
      <c r="A243" s="14" t="str">
        <f>$E$1&amp;""&amp;TEXTVALUE!H243</f>
        <v>+</v>
      </c>
      <c r="B243" s="14" t="str">
        <f>TEXTVALUE!B243</f>
        <v/>
      </c>
      <c r="C243" s="14" t="str">
        <f>TEXTVALUE!$E$1&amp;" : "&amp;TEXTVALUE!E243&amp;"
"&amp;TEXTVALUE!$G$1&amp;" : "&amp;TEXTVALUE!G243</f>
        <v>KAMAR : 
MADRASIAH : </v>
      </c>
      <c r="D243" s="14" t="str">
        <f>TEXTVALUE!Q243</f>
        <v>Syahriyah = Rp 0
Jariyah = Rp 0
Daftar Ulang = Rp 0
Total = Rp 0
______________________
ID : </v>
      </c>
      <c r="E243" s="14" t="str">
        <f>TEXTVALUE!P243</f>
        <v>Rp 0</v>
      </c>
      <c r="F243" s="14"/>
    </row>
    <row r="244">
      <c r="A244" s="14" t="str">
        <f>$E$1&amp;""&amp;TEXTVALUE!H244</f>
        <v>+</v>
      </c>
      <c r="B244" s="14" t="str">
        <f>TEXTVALUE!B244</f>
        <v/>
      </c>
      <c r="C244" s="14" t="str">
        <f>TEXTVALUE!$E$1&amp;" : "&amp;TEXTVALUE!E244&amp;"
"&amp;TEXTVALUE!$G$1&amp;" : "&amp;TEXTVALUE!G244</f>
        <v>KAMAR : 
MADRASIAH : </v>
      </c>
      <c r="D244" s="14" t="str">
        <f>TEXTVALUE!Q244</f>
        <v>Syahriyah = Rp 0
Jariyah = Rp 0
Daftar Ulang = Rp 0
Total = Rp 0
______________________
ID : </v>
      </c>
      <c r="E244" s="14" t="str">
        <f>TEXTVALUE!P244</f>
        <v>Rp 0</v>
      </c>
      <c r="F244" s="14"/>
    </row>
    <row r="245">
      <c r="A245" s="14" t="str">
        <f>$E$1&amp;""&amp;TEXTVALUE!H245</f>
        <v>+</v>
      </c>
      <c r="B245" s="14" t="str">
        <f>TEXTVALUE!B245</f>
        <v/>
      </c>
      <c r="C245" s="14" t="str">
        <f>TEXTVALUE!$E$1&amp;" : "&amp;TEXTVALUE!E245&amp;"
"&amp;TEXTVALUE!$G$1&amp;" : "&amp;TEXTVALUE!G245</f>
        <v>KAMAR : 
MADRASIAH : </v>
      </c>
      <c r="D245" s="14" t="str">
        <f>TEXTVALUE!Q245</f>
        <v>Syahriyah = Rp 0
Jariyah = Rp 0
Daftar Ulang = Rp 0
Total = Rp 0
______________________
ID : </v>
      </c>
      <c r="E245" s="14" t="str">
        <f>TEXTVALUE!P245</f>
        <v>Rp 0</v>
      </c>
      <c r="F245" s="14"/>
    </row>
    <row r="246">
      <c r="A246" s="14" t="str">
        <f>$E$1&amp;""&amp;TEXTVALUE!H246</f>
        <v>+</v>
      </c>
      <c r="B246" s="14" t="str">
        <f>TEXTVALUE!B246</f>
        <v/>
      </c>
      <c r="C246" s="14" t="str">
        <f>TEXTVALUE!$E$1&amp;" : "&amp;TEXTVALUE!E246&amp;"
"&amp;TEXTVALUE!$G$1&amp;" : "&amp;TEXTVALUE!G246</f>
        <v>KAMAR : 
MADRASIAH : </v>
      </c>
      <c r="D246" s="14" t="str">
        <f>TEXTVALUE!Q246</f>
        <v>Syahriyah = Rp 0
Jariyah = Rp 0
Daftar Ulang = Rp 0
Total = Rp 0
______________________
ID : </v>
      </c>
      <c r="E246" s="14" t="str">
        <f>TEXTVALUE!P246</f>
        <v>Rp 0</v>
      </c>
      <c r="F246" s="14"/>
    </row>
    <row r="247">
      <c r="A247" s="14" t="str">
        <f>$E$1&amp;""&amp;TEXTVALUE!H247</f>
        <v>+</v>
      </c>
      <c r="B247" s="14" t="str">
        <f>TEXTVALUE!B247</f>
        <v/>
      </c>
      <c r="C247" s="14" t="str">
        <f>TEXTVALUE!$E$1&amp;" : "&amp;TEXTVALUE!E247&amp;"
"&amp;TEXTVALUE!$G$1&amp;" : "&amp;TEXTVALUE!G247</f>
        <v>KAMAR : 
MADRASIAH : </v>
      </c>
      <c r="D247" s="14" t="str">
        <f>TEXTVALUE!Q247</f>
        <v>Syahriyah = Rp 0
Jariyah = Rp 0
Daftar Ulang = Rp 0
Total = Rp 0
______________________
ID : </v>
      </c>
      <c r="E247" s="14" t="str">
        <f>TEXTVALUE!P247</f>
        <v>Rp 0</v>
      </c>
      <c r="F247" s="14"/>
    </row>
    <row r="248">
      <c r="A248" s="14" t="str">
        <f>$E$1&amp;""&amp;TEXTVALUE!H248</f>
        <v>+</v>
      </c>
      <c r="B248" s="14" t="str">
        <f>TEXTVALUE!B248</f>
        <v/>
      </c>
      <c r="C248" s="14" t="str">
        <f>TEXTVALUE!$E$1&amp;" : "&amp;TEXTVALUE!E248&amp;"
"&amp;TEXTVALUE!$G$1&amp;" : "&amp;TEXTVALUE!G248</f>
        <v>KAMAR : 
MADRASIAH : </v>
      </c>
      <c r="D248" s="14" t="str">
        <f>TEXTVALUE!Q248</f>
        <v>Syahriyah = Rp 0
Jariyah = Rp 0
Daftar Ulang = Rp 0
Total = Rp 0
______________________
ID : </v>
      </c>
      <c r="E248" s="14" t="str">
        <f>TEXTVALUE!P248</f>
        <v>Rp 0</v>
      </c>
      <c r="F248" s="14"/>
    </row>
    <row r="249">
      <c r="A249" s="14" t="str">
        <f>$E$1&amp;""&amp;TEXTVALUE!H249</f>
        <v>+</v>
      </c>
      <c r="B249" s="14" t="str">
        <f>TEXTVALUE!B249</f>
        <v/>
      </c>
      <c r="C249" s="14" t="str">
        <f>TEXTVALUE!$E$1&amp;" : "&amp;TEXTVALUE!E249&amp;"
"&amp;TEXTVALUE!$G$1&amp;" : "&amp;TEXTVALUE!G249</f>
        <v>KAMAR : 
MADRASIAH : </v>
      </c>
      <c r="D249" s="14" t="str">
        <f>TEXTVALUE!Q249</f>
        <v>Syahriyah = Rp 0
Jariyah = Rp 0
Daftar Ulang = Rp 0
Total = Rp 0
______________________
ID : </v>
      </c>
      <c r="E249" s="14" t="str">
        <f>TEXTVALUE!P249</f>
        <v>Rp 0</v>
      </c>
      <c r="F249" s="14"/>
    </row>
    <row r="250">
      <c r="A250" s="14" t="str">
        <f>$E$1&amp;""&amp;TEXTVALUE!H250</f>
        <v>+</v>
      </c>
      <c r="B250" s="14" t="str">
        <f>TEXTVALUE!B250</f>
        <v/>
      </c>
      <c r="C250" s="14" t="str">
        <f>TEXTVALUE!$E$1&amp;" : "&amp;TEXTVALUE!E250&amp;"
"&amp;TEXTVALUE!$G$1&amp;" : "&amp;TEXTVALUE!G250</f>
        <v>KAMAR : 
MADRASIAH : </v>
      </c>
      <c r="D250" s="14" t="str">
        <f>TEXTVALUE!Q250</f>
        <v>Syahriyah = Rp 0
Jariyah = Rp 0
Daftar Ulang = Rp 0
Total = Rp 0
______________________
ID : </v>
      </c>
      <c r="E250" s="14" t="str">
        <f>TEXTVALUE!P250</f>
        <v>Rp 0</v>
      </c>
      <c r="F250" s="14"/>
    </row>
    <row r="251">
      <c r="A251" s="14" t="str">
        <f>$E$1&amp;""&amp;TEXTVALUE!H251</f>
        <v>+</v>
      </c>
      <c r="B251" s="14" t="str">
        <f>TEXTVALUE!B251</f>
        <v/>
      </c>
      <c r="C251" s="14" t="str">
        <f>TEXTVALUE!$E$1&amp;" : "&amp;TEXTVALUE!E251&amp;"
"&amp;TEXTVALUE!$G$1&amp;" : "&amp;TEXTVALUE!G251</f>
        <v>KAMAR : 
MADRASIAH : </v>
      </c>
      <c r="D251" s="14" t="str">
        <f>TEXTVALUE!Q251</f>
        <v>Syahriyah = Rp 0
Jariyah = Rp 0
Daftar Ulang = Rp 0
Total = Rp 0
______________________
ID : </v>
      </c>
      <c r="E251" s="14" t="str">
        <f>TEXTVALUE!P251</f>
        <v>Rp 0</v>
      </c>
      <c r="F251" s="14"/>
    </row>
    <row r="252">
      <c r="A252" s="14" t="str">
        <f>$E$1&amp;""&amp;TEXTVALUE!H252</f>
        <v>+</v>
      </c>
      <c r="B252" s="14" t="str">
        <f>TEXTVALUE!B252</f>
        <v/>
      </c>
      <c r="C252" s="14" t="str">
        <f>TEXTVALUE!$E$1&amp;" : "&amp;TEXTVALUE!E252&amp;"
"&amp;TEXTVALUE!$G$1&amp;" : "&amp;TEXTVALUE!G252</f>
        <v>KAMAR : 
MADRASIAH : </v>
      </c>
      <c r="D252" s="14" t="str">
        <f>TEXTVALUE!Q252</f>
        <v>Syahriyah = Rp 0
Jariyah = Rp 0
Daftar Ulang = Rp 0
Total = Rp 0
______________________
ID : </v>
      </c>
      <c r="E252" s="14" t="str">
        <f>TEXTVALUE!P252</f>
        <v>Rp 0</v>
      </c>
      <c r="F252" s="14"/>
    </row>
    <row r="253">
      <c r="A253" s="14" t="str">
        <f>$E$1&amp;""&amp;TEXTVALUE!H253</f>
        <v>+</v>
      </c>
      <c r="B253" s="14" t="str">
        <f>TEXTVALUE!B253</f>
        <v/>
      </c>
      <c r="C253" s="14" t="str">
        <f>TEXTVALUE!$E$1&amp;" : "&amp;TEXTVALUE!E253&amp;"
"&amp;TEXTVALUE!$G$1&amp;" : "&amp;TEXTVALUE!G253</f>
        <v>KAMAR : 
MADRASIAH : </v>
      </c>
      <c r="D253" s="14" t="str">
        <f>TEXTVALUE!Q253</f>
        <v>Syahriyah = Rp 0
Jariyah = Rp 0
Daftar Ulang = Rp 0
Total = Rp 0
______________________
ID : </v>
      </c>
      <c r="E253" s="14" t="str">
        <f>TEXTVALUE!P253</f>
        <v>Rp 0</v>
      </c>
      <c r="F253" s="14"/>
    </row>
    <row r="254">
      <c r="A254" s="14" t="str">
        <f>$E$1&amp;""&amp;TEXTVALUE!H254</f>
        <v>+</v>
      </c>
      <c r="B254" s="14" t="str">
        <f>TEXTVALUE!B254</f>
        <v/>
      </c>
      <c r="C254" s="14" t="str">
        <f>TEXTVALUE!$E$1&amp;" : "&amp;TEXTVALUE!E254&amp;"
"&amp;TEXTVALUE!$G$1&amp;" : "&amp;TEXTVALUE!G254</f>
        <v>KAMAR : 
MADRASIAH : </v>
      </c>
      <c r="D254" s="14" t="str">
        <f>TEXTVALUE!Q254</f>
        <v>Syahriyah = Rp 0
Jariyah = Rp 0
Daftar Ulang = Rp 0
Total = Rp 0
______________________
ID : </v>
      </c>
      <c r="E254" s="14" t="str">
        <f>TEXTVALUE!P254</f>
        <v>Rp 0</v>
      </c>
      <c r="F254" s="14"/>
    </row>
    <row r="255">
      <c r="A255" s="14" t="str">
        <f>$E$1&amp;""&amp;TEXTVALUE!H255</f>
        <v>+</v>
      </c>
      <c r="B255" s="14" t="str">
        <f>TEXTVALUE!B255</f>
        <v/>
      </c>
      <c r="C255" s="14" t="str">
        <f>TEXTVALUE!$E$1&amp;" : "&amp;TEXTVALUE!E255&amp;"
"&amp;TEXTVALUE!$G$1&amp;" : "&amp;TEXTVALUE!G255</f>
        <v>KAMAR : 
MADRASIAH : </v>
      </c>
      <c r="D255" s="14" t="str">
        <f>TEXTVALUE!Q255</f>
        <v>Syahriyah = Rp 0
Jariyah = Rp 0
Daftar Ulang = Rp 0
Total = Rp 0
______________________
ID : </v>
      </c>
      <c r="E255" s="14" t="str">
        <f>TEXTVALUE!P255</f>
        <v>Rp 0</v>
      </c>
      <c r="F255" s="14"/>
    </row>
    <row r="256">
      <c r="A256" s="14" t="str">
        <f>$E$1&amp;""&amp;TEXTVALUE!H256</f>
        <v>+</v>
      </c>
      <c r="B256" s="14" t="str">
        <f>TEXTVALUE!B256</f>
        <v/>
      </c>
      <c r="C256" s="14" t="str">
        <f>TEXTVALUE!$E$1&amp;" : "&amp;TEXTVALUE!E256&amp;"
"&amp;TEXTVALUE!$G$1&amp;" : "&amp;TEXTVALUE!G256</f>
        <v>KAMAR : 
MADRASIAH : </v>
      </c>
      <c r="D256" s="14" t="str">
        <f>TEXTVALUE!Q256</f>
        <v>Syahriyah = Rp 0
Jariyah = Rp 0
Daftar Ulang = Rp 0
Total = Rp 0
______________________
ID : </v>
      </c>
      <c r="E256" s="14" t="str">
        <f>TEXTVALUE!P256</f>
        <v>Rp 0</v>
      </c>
      <c r="F256" s="14"/>
    </row>
    <row r="257">
      <c r="A257" s="14" t="str">
        <f>$E$1&amp;""&amp;TEXTVALUE!H257</f>
        <v>+</v>
      </c>
      <c r="B257" s="14" t="str">
        <f>TEXTVALUE!B257</f>
        <v/>
      </c>
      <c r="C257" s="14" t="str">
        <f>TEXTVALUE!$E$1&amp;" : "&amp;TEXTVALUE!E257&amp;"
"&amp;TEXTVALUE!$G$1&amp;" : "&amp;TEXTVALUE!G257</f>
        <v>KAMAR : 
MADRASIAH : </v>
      </c>
      <c r="D257" s="14" t="str">
        <f>TEXTVALUE!Q257</f>
        <v>Syahriyah = Rp 0
Jariyah = Rp 0
Daftar Ulang = Rp 0
Total = Rp 0
______________________
ID : </v>
      </c>
      <c r="E257" s="14" t="str">
        <f>TEXTVALUE!P257</f>
        <v>Rp 0</v>
      </c>
      <c r="F257" s="14"/>
    </row>
    <row r="258">
      <c r="A258" s="14" t="str">
        <f>$E$1&amp;""&amp;TEXTVALUE!H258</f>
        <v>+</v>
      </c>
      <c r="B258" s="14" t="str">
        <f>TEXTVALUE!B258</f>
        <v/>
      </c>
      <c r="C258" s="14" t="str">
        <f>TEXTVALUE!$E$1&amp;" : "&amp;TEXTVALUE!E258&amp;"
"&amp;TEXTVALUE!$G$1&amp;" : "&amp;TEXTVALUE!G258</f>
        <v>KAMAR : 
MADRASIAH : </v>
      </c>
      <c r="D258" s="14" t="str">
        <f>TEXTVALUE!Q258</f>
        <v>Syahriyah = Rp 0
Jariyah = Rp 0
Daftar Ulang = Rp 0
Total = Rp 0
______________________
ID : </v>
      </c>
      <c r="E258" s="14" t="str">
        <f>TEXTVALUE!P258</f>
        <v>Rp 0</v>
      </c>
      <c r="F258" s="14"/>
    </row>
    <row r="259">
      <c r="A259" s="14" t="str">
        <f>$E$1&amp;""&amp;TEXTVALUE!H259</f>
        <v>+</v>
      </c>
      <c r="B259" s="14" t="str">
        <f>TEXTVALUE!B259</f>
        <v/>
      </c>
      <c r="C259" s="14" t="str">
        <f>TEXTVALUE!$E$1&amp;" : "&amp;TEXTVALUE!E259&amp;"
"&amp;TEXTVALUE!$G$1&amp;" : "&amp;TEXTVALUE!G259</f>
        <v>KAMAR : 
MADRASIAH : </v>
      </c>
      <c r="D259" s="14" t="str">
        <f>TEXTVALUE!Q259</f>
        <v>Syahriyah = Rp 0
Jariyah = Rp 0
Daftar Ulang = Rp 0
Total = Rp 0
______________________
ID : </v>
      </c>
      <c r="E259" s="14" t="str">
        <f>TEXTVALUE!P259</f>
        <v>Rp 0</v>
      </c>
      <c r="F259" s="14"/>
    </row>
    <row r="260">
      <c r="A260" s="14" t="str">
        <f>$E$1&amp;""&amp;TEXTVALUE!H260</f>
        <v>+</v>
      </c>
      <c r="B260" s="14" t="str">
        <f>TEXTVALUE!B260</f>
        <v/>
      </c>
      <c r="C260" s="14" t="str">
        <f>TEXTVALUE!$E$1&amp;" : "&amp;TEXTVALUE!E260&amp;"
"&amp;TEXTVALUE!$G$1&amp;" : "&amp;TEXTVALUE!G260</f>
        <v>KAMAR : 
MADRASIAH : </v>
      </c>
      <c r="D260" s="14" t="str">
        <f>TEXTVALUE!Q260</f>
        <v>Syahriyah = Rp 0
Jariyah = Rp 0
Daftar Ulang = Rp 0
Total = Rp 0
______________________
ID : </v>
      </c>
      <c r="E260" s="14" t="str">
        <f>TEXTVALUE!P260</f>
        <v>Rp 0</v>
      </c>
      <c r="F260" s="14"/>
    </row>
    <row r="261">
      <c r="A261" s="14" t="str">
        <f>$E$1&amp;""&amp;TEXTVALUE!H261</f>
        <v>+</v>
      </c>
      <c r="B261" s="14" t="str">
        <f>TEXTVALUE!B261</f>
        <v/>
      </c>
      <c r="C261" s="14" t="str">
        <f>TEXTVALUE!$E$1&amp;" : "&amp;TEXTVALUE!E261&amp;"
"&amp;TEXTVALUE!$G$1&amp;" : "&amp;TEXTVALUE!G261</f>
        <v>KAMAR : 
MADRASIAH : </v>
      </c>
      <c r="D261" s="14" t="str">
        <f>TEXTVALUE!Q261</f>
        <v>Syahriyah = Rp 0
Jariyah = Rp 0
Daftar Ulang = Rp 0
Total = Rp 0
______________________
ID : </v>
      </c>
      <c r="E261" s="14" t="str">
        <f>TEXTVALUE!P261</f>
        <v>Rp 0</v>
      </c>
      <c r="F261" s="14"/>
    </row>
    <row r="262">
      <c r="A262" s="14" t="str">
        <f>$E$1&amp;""&amp;TEXTVALUE!H262</f>
        <v>+</v>
      </c>
      <c r="B262" s="14" t="str">
        <f>TEXTVALUE!B262</f>
        <v/>
      </c>
      <c r="C262" s="14" t="str">
        <f>TEXTVALUE!$E$1&amp;" : "&amp;TEXTVALUE!E262&amp;"
"&amp;TEXTVALUE!$G$1&amp;" : "&amp;TEXTVALUE!G262</f>
        <v>KAMAR : 
MADRASIAH : </v>
      </c>
      <c r="D262" s="14" t="str">
        <f>TEXTVALUE!Q262</f>
        <v>Syahriyah = Rp 0
Jariyah = Rp 0
Daftar Ulang = Rp 0
Total = Rp 0
______________________
ID : </v>
      </c>
      <c r="E262" s="14" t="str">
        <f>TEXTVALUE!P262</f>
        <v>Rp 0</v>
      </c>
      <c r="F262" s="14"/>
    </row>
    <row r="263">
      <c r="A263" s="14" t="str">
        <f>$E$1&amp;""&amp;TEXTVALUE!H263</f>
        <v>+</v>
      </c>
      <c r="B263" s="14" t="str">
        <f>TEXTVALUE!B263</f>
        <v/>
      </c>
      <c r="C263" s="14" t="str">
        <f>TEXTVALUE!$E$1&amp;" : "&amp;TEXTVALUE!E263&amp;"
"&amp;TEXTVALUE!$G$1&amp;" : "&amp;TEXTVALUE!G263</f>
        <v>KAMAR : 
MADRASIAH : </v>
      </c>
      <c r="D263" s="14" t="str">
        <f>TEXTVALUE!Q263</f>
        <v>Syahriyah = Rp 0
Jariyah = Rp 0
Daftar Ulang = Rp 0
Total = Rp 0
______________________
ID : </v>
      </c>
      <c r="E263" s="14" t="str">
        <f>TEXTVALUE!P263</f>
        <v>Rp 0</v>
      </c>
      <c r="F263" s="14"/>
    </row>
    <row r="264">
      <c r="A264" s="14" t="str">
        <f>$E$1&amp;""&amp;TEXTVALUE!H264</f>
        <v>+</v>
      </c>
      <c r="B264" s="14" t="str">
        <f>TEXTVALUE!B264</f>
        <v/>
      </c>
      <c r="C264" s="14" t="str">
        <f>TEXTVALUE!$E$1&amp;" : "&amp;TEXTVALUE!E264&amp;"
"&amp;TEXTVALUE!$G$1&amp;" : "&amp;TEXTVALUE!G264</f>
        <v>KAMAR : 
MADRASIAH : </v>
      </c>
      <c r="D264" s="14" t="str">
        <f>TEXTVALUE!Q264</f>
        <v>Syahriyah = Rp 0
Jariyah = Rp 0
Daftar Ulang = Rp 0
Total = Rp 0
______________________
ID : </v>
      </c>
      <c r="E264" s="14" t="str">
        <f>TEXTVALUE!P264</f>
        <v>Rp 0</v>
      </c>
      <c r="F264" s="14"/>
    </row>
    <row r="265">
      <c r="A265" s="14" t="str">
        <f>$E$1&amp;""&amp;TEXTVALUE!H265</f>
        <v>+</v>
      </c>
      <c r="B265" s="14" t="str">
        <f>TEXTVALUE!B265</f>
        <v/>
      </c>
      <c r="C265" s="14" t="str">
        <f>TEXTVALUE!$E$1&amp;" : "&amp;TEXTVALUE!E265&amp;"
"&amp;TEXTVALUE!$G$1&amp;" : "&amp;TEXTVALUE!G265</f>
        <v>KAMAR : 
MADRASIAH : </v>
      </c>
      <c r="D265" s="14" t="str">
        <f>TEXTVALUE!Q265</f>
        <v>Syahriyah = Rp 0
Jariyah = Rp 0
Daftar Ulang = Rp 0
Total = Rp 0
______________________
ID : </v>
      </c>
      <c r="E265" s="14" t="str">
        <f>TEXTVALUE!P265</f>
        <v>Rp 0</v>
      </c>
      <c r="F265" s="14"/>
    </row>
    <row r="266">
      <c r="A266" s="14" t="str">
        <f>$E$1&amp;""&amp;TEXTVALUE!H266</f>
        <v>+</v>
      </c>
      <c r="B266" s="14" t="str">
        <f>TEXTVALUE!B266</f>
        <v/>
      </c>
      <c r="C266" s="14" t="str">
        <f>TEXTVALUE!$E$1&amp;" : "&amp;TEXTVALUE!E266&amp;"
"&amp;TEXTVALUE!$G$1&amp;" : "&amp;TEXTVALUE!G266</f>
        <v>KAMAR : 
MADRASIAH : </v>
      </c>
      <c r="D266" s="14" t="str">
        <f>TEXTVALUE!Q266</f>
        <v>Syahriyah = Rp 0
Jariyah = Rp 0
Daftar Ulang = Rp 0
Total = Rp 0
______________________
ID : </v>
      </c>
      <c r="E266" s="14" t="str">
        <f>TEXTVALUE!P266</f>
        <v>Rp 0</v>
      </c>
      <c r="F266" s="14"/>
    </row>
    <row r="267">
      <c r="A267" s="14" t="str">
        <f>$E$1&amp;""&amp;TEXTVALUE!H267</f>
        <v>+</v>
      </c>
      <c r="B267" s="14" t="str">
        <f>TEXTVALUE!B267</f>
        <v/>
      </c>
      <c r="C267" s="14" t="str">
        <f>TEXTVALUE!$E$1&amp;" : "&amp;TEXTVALUE!E267&amp;"
"&amp;TEXTVALUE!$G$1&amp;" : "&amp;TEXTVALUE!G267</f>
        <v>KAMAR : 
MADRASIAH : </v>
      </c>
      <c r="D267" s="14" t="str">
        <f>TEXTVALUE!Q267</f>
        <v>Syahriyah = Rp 0
Jariyah = Rp 0
Daftar Ulang = Rp 0
Total = Rp 0
______________________
ID : </v>
      </c>
      <c r="E267" s="14" t="str">
        <f>TEXTVALUE!P267</f>
        <v>Rp 0</v>
      </c>
      <c r="F267" s="14"/>
    </row>
    <row r="268">
      <c r="A268" s="14" t="str">
        <f>$E$1&amp;""&amp;TEXTVALUE!H268</f>
        <v>+</v>
      </c>
      <c r="B268" s="14" t="str">
        <f>TEXTVALUE!B268</f>
        <v/>
      </c>
      <c r="C268" s="14" t="str">
        <f>TEXTVALUE!$E$1&amp;" : "&amp;TEXTVALUE!E268&amp;"
"&amp;TEXTVALUE!$G$1&amp;" : "&amp;TEXTVALUE!G268</f>
        <v>KAMAR : 
MADRASIAH : </v>
      </c>
      <c r="D268" s="14" t="str">
        <f>TEXTVALUE!Q268</f>
        <v>Syahriyah = Rp 0
Jariyah = Rp 0
Daftar Ulang = Rp 0
Total = Rp 0
______________________
ID : </v>
      </c>
      <c r="E268" s="14" t="str">
        <f>TEXTVALUE!P268</f>
        <v>Rp 0</v>
      </c>
      <c r="F268" s="14"/>
    </row>
    <row r="269">
      <c r="A269" s="14" t="str">
        <f>$E$1&amp;""&amp;TEXTVALUE!H269</f>
        <v>+</v>
      </c>
      <c r="B269" s="14" t="str">
        <f>TEXTVALUE!B269</f>
        <v/>
      </c>
      <c r="C269" s="14" t="str">
        <f>TEXTVALUE!$E$1&amp;" : "&amp;TEXTVALUE!E269&amp;"
"&amp;TEXTVALUE!$G$1&amp;" : "&amp;TEXTVALUE!G269</f>
        <v>KAMAR : 
MADRASIAH : </v>
      </c>
      <c r="D269" s="14" t="str">
        <f>TEXTVALUE!Q269</f>
        <v>Syahriyah = Rp 0
Jariyah = Rp 0
Daftar Ulang = Rp 0
Total = Rp 0
______________________
ID : </v>
      </c>
      <c r="E269" s="14" t="str">
        <f>TEXTVALUE!P269</f>
        <v>Rp 0</v>
      </c>
      <c r="F269" s="14"/>
    </row>
    <row r="270">
      <c r="A270" s="14" t="str">
        <f>$E$1&amp;""&amp;TEXTVALUE!H270</f>
        <v>+</v>
      </c>
      <c r="B270" s="14" t="str">
        <f>TEXTVALUE!B270</f>
        <v/>
      </c>
      <c r="C270" s="14" t="str">
        <f>TEXTVALUE!$E$1&amp;" : "&amp;TEXTVALUE!E270&amp;"
"&amp;TEXTVALUE!$G$1&amp;" : "&amp;TEXTVALUE!G270</f>
        <v>KAMAR : 
MADRASIAH : </v>
      </c>
      <c r="D270" s="14" t="str">
        <f>TEXTVALUE!Q270</f>
        <v>Syahriyah = Rp 0
Jariyah = Rp 0
Daftar Ulang = Rp 0
Total = Rp 0
______________________
ID : </v>
      </c>
      <c r="E270" s="14" t="str">
        <f>TEXTVALUE!P270</f>
        <v>Rp 0</v>
      </c>
      <c r="F270" s="14"/>
    </row>
    <row r="271">
      <c r="A271" s="14" t="str">
        <f>$E$1&amp;""&amp;TEXTVALUE!H271</f>
        <v>+</v>
      </c>
      <c r="B271" s="14" t="str">
        <f>TEXTVALUE!B271</f>
        <v/>
      </c>
      <c r="C271" s="14" t="str">
        <f>TEXTVALUE!$E$1&amp;" : "&amp;TEXTVALUE!E271&amp;"
"&amp;TEXTVALUE!$G$1&amp;" : "&amp;TEXTVALUE!G271</f>
        <v>KAMAR : 
MADRASIAH : </v>
      </c>
      <c r="D271" s="14" t="str">
        <f>TEXTVALUE!Q271</f>
        <v>Syahriyah = Rp 0
Jariyah = Rp 0
Daftar Ulang = Rp 0
Total = Rp 0
______________________
ID : </v>
      </c>
      <c r="E271" s="14" t="str">
        <f>TEXTVALUE!P271</f>
        <v>Rp 0</v>
      </c>
      <c r="F271" s="14"/>
    </row>
    <row r="272">
      <c r="A272" s="14" t="str">
        <f>$E$1&amp;""&amp;TEXTVALUE!H272</f>
        <v>+</v>
      </c>
      <c r="B272" s="14" t="str">
        <f>TEXTVALUE!B272</f>
        <v/>
      </c>
      <c r="C272" s="14" t="str">
        <f>TEXTVALUE!$E$1&amp;" : "&amp;TEXTVALUE!E272&amp;"
"&amp;TEXTVALUE!$G$1&amp;" : "&amp;TEXTVALUE!G272</f>
        <v>KAMAR : 
MADRASIAH : </v>
      </c>
      <c r="D272" s="14" t="str">
        <f>TEXTVALUE!Q272</f>
        <v>Syahriyah = Rp 0
Jariyah = Rp 0
Daftar Ulang = Rp 0
Total = Rp 0
______________________
ID : </v>
      </c>
      <c r="E272" s="14" t="str">
        <f>TEXTVALUE!P272</f>
        <v>Rp 0</v>
      </c>
      <c r="F272" s="14"/>
    </row>
    <row r="273">
      <c r="A273" s="14" t="str">
        <f>$E$1&amp;""&amp;TEXTVALUE!H273</f>
        <v>+</v>
      </c>
      <c r="B273" s="14" t="str">
        <f>TEXTVALUE!B273</f>
        <v/>
      </c>
      <c r="C273" s="14" t="str">
        <f>TEXTVALUE!$E$1&amp;" : "&amp;TEXTVALUE!E273&amp;"
"&amp;TEXTVALUE!$G$1&amp;" : "&amp;TEXTVALUE!G273</f>
        <v>KAMAR : 
MADRASIAH : </v>
      </c>
      <c r="D273" s="14" t="str">
        <f>TEXTVALUE!Q273</f>
        <v>Syahriyah = Rp 0
Jariyah = Rp 0
Daftar Ulang = Rp 0
Total = Rp 0
______________________
ID : </v>
      </c>
      <c r="E273" s="14" t="str">
        <f>TEXTVALUE!P273</f>
        <v>Rp 0</v>
      </c>
      <c r="F273" s="14"/>
    </row>
    <row r="274">
      <c r="A274" s="14" t="str">
        <f>$E$1&amp;""&amp;TEXTVALUE!H274</f>
        <v>+</v>
      </c>
      <c r="B274" s="14" t="str">
        <f>TEXTVALUE!B274</f>
        <v/>
      </c>
      <c r="C274" s="14" t="str">
        <f>TEXTVALUE!$E$1&amp;" : "&amp;TEXTVALUE!E274&amp;"
"&amp;TEXTVALUE!$G$1&amp;" : "&amp;TEXTVALUE!G274</f>
        <v>KAMAR : 
MADRASIAH : </v>
      </c>
      <c r="D274" s="14" t="str">
        <f>TEXTVALUE!Q274</f>
        <v>Syahriyah = Rp 0
Jariyah = Rp 0
Daftar Ulang = Rp 0
Total = Rp 0
______________________
ID : </v>
      </c>
      <c r="E274" s="14" t="str">
        <f>TEXTVALUE!P274</f>
        <v>Rp 0</v>
      </c>
      <c r="F274" s="14"/>
    </row>
    <row r="275">
      <c r="A275" s="14" t="str">
        <f>$E$1&amp;""&amp;TEXTVALUE!H275</f>
        <v>+</v>
      </c>
      <c r="B275" s="14" t="str">
        <f>TEXTVALUE!B275</f>
        <v/>
      </c>
      <c r="C275" s="14" t="str">
        <f>TEXTVALUE!$E$1&amp;" : "&amp;TEXTVALUE!E275&amp;"
"&amp;TEXTVALUE!$G$1&amp;" : "&amp;TEXTVALUE!G275</f>
        <v>KAMAR : 
MADRASIAH : </v>
      </c>
      <c r="D275" s="14" t="str">
        <f>TEXTVALUE!Q275</f>
        <v>Syahriyah = Rp 0
Jariyah = Rp 0
Daftar Ulang = Rp 0
Total = Rp 0
______________________
ID : </v>
      </c>
      <c r="E275" s="14" t="str">
        <f>TEXTVALUE!P275</f>
        <v>Rp 0</v>
      </c>
      <c r="F275" s="14"/>
    </row>
    <row r="276">
      <c r="A276" s="14" t="str">
        <f>$E$1&amp;""&amp;TEXTVALUE!H276</f>
        <v>+</v>
      </c>
      <c r="B276" s="14" t="str">
        <f>TEXTVALUE!B276</f>
        <v/>
      </c>
      <c r="C276" s="14" t="str">
        <f>TEXTVALUE!$E$1&amp;" : "&amp;TEXTVALUE!E276&amp;"
"&amp;TEXTVALUE!$G$1&amp;" : "&amp;TEXTVALUE!G276</f>
        <v>KAMAR : 
MADRASIAH : </v>
      </c>
      <c r="D276" s="14" t="str">
        <f>TEXTVALUE!Q276</f>
        <v>Syahriyah = Rp 0
Jariyah = Rp 0
Daftar Ulang = Rp 0
Total = Rp 0
______________________
ID : </v>
      </c>
      <c r="E276" s="14" t="str">
        <f>TEXTVALUE!P276</f>
        <v>Rp 0</v>
      </c>
      <c r="F276" s="14"/>
    </row>
    <row r="277">
      <c r="A277" s="14" t="str">
        <f>$E$1&amp;""&amp;TEXTVALUE!H277</f>
        <v>+</v>
      </c>
      <c r="B277" s="14" t="str">
        <f>TEXTVALUE!B277</f>
        <v/>
      </c>
      <c r="C277" s="14" t="str">
        <f>TEXTVALUE!$E$1&amp;" : "&amp;TEXTVALUE!E277&amp;"
"&amp;TEXTVALUE!$G$1&amp;" : "&amp;TEXTVALUE!G277</f>
        <v>KAMAR : 
MADRASIAH : </v>
      </c>
      <c r="D277" s="14" t="str">
        <f>TEXTVALUE!Q277</f>
        <v>Syahriyah = Rp 0
Jariyah = Rp 0
Daftar Ulang = Rp 0
Total = Rp 0
______________________
ID : </v>
      </c>
      <c r="E277" s="14" t="str">
        <f>TEXTVALUE!P277</f>
        <v>Rp 0</v>
      </c>
      <c r="F277" s="14"/>
    </row>
    <row r="278">
      <c r="A278" s="14" t="str">
        <f>$E$1&amp;""&amp;TEXTVALUE!H278</f>
        <v>+</v>
      </c>
      <c r="B278" s="14" t="str">
        <f>TEXTVALUE!B278</f>
        <v/>
      </c>
      <c r="C278" s="14" t="str">
        <f>TEXTVALUE!$E$1&amp;" : "&amp;TEXTVALUE!E278&amp;"
"&amp;TEXTVALUE!$G$1&amp;" : "&amp;TEXTVALUE!G278</f>
        <v>KAMAR : 
MADRASIAH : </v>
      </c>
      <c r="D278" s="14" t="str">
        <f>TEXTVALUE!Q278</f>
        <v>Syahriyah = Rp 0
Jariyah = Rp 0
Daftar Ulang = Rp 0
Total = Rp 0
______________________
ID : </v>
      </c>
      <c r="E278" s="14" t="str">
        <f>TEXTVALUE!P278</f>
        <v>Rp 0</v>
      </c>
      <c r="F278" s="14"/>
    </row>
    <row r="279">
      <c r="A279" s="14" t="str">
        <f>$E$1&amp;""&amp;TEXTVALUE!H279</f>
        <v>+</v>
      </c>
      <c r="B279" s="14" t="str">
        <f>TEXTVALUE!B279</f>
        <v/>
      </c>
      <c r="C279" s="14" t="str">
        <f>TEXTVALUE!$E$1&amp;" : "&amp;TEXTVALUE!E279&amp;"
"&amp;TEXTVALUE!$G$1&amp;" : "&amp;TEXTVALUE!G279</f>
        <v>KAMAR : 
MADRASIAH : </v>
      </c>
      <c r="D279" s="14" t="str">
        <f>TEXTVALUE!Q279</f>
        <v>Syahriyah = Rp 0
Jariyah = Rp 0
Daftar Ulang = Rp 0
Total = Rp 0
______________________
ID : </v>
      </c>
      <c r="E279" s="14" t="str">
        <f>TEXTVALUE!P279</f>
        <v>Rp 0</v>
      </c>
      <c r="F279" s="14"/>
    </row>
    <row r="280">
      <c r="A280" s="14" t="str">
        <f>$E$1&amp;""&amp;TEXTVALUE!H280</f>
        <v>+</v>
      </c>
      <c r="B280" s="14" t="str">
        <f>TEXTVALUE!B280</f>
        <v/>
      </c>
      <c r="C280" s="14" t="str">
        <f>TEXTVALUE!$E$1&amp;" : "&amp;TEXTVALUE!E280&amp;"
"&amp;TEXTVALUE!$G$1&amp;" : "&amp;TEXTVALUE!G280</f>
        <v>KAMAR : 
MADRASIAH : </v>
      </c>
      <c r="D280" s="14" t="str">
        <f>TEXTVALUE!Q280</f>
        <v>Syahriyah = Rp 0
Jariyah = Rp 0
Daftar Ulang = Rp 0
Total = Rp 0
______________________
ID : </v>
      </c>
      <c r="E280" s="14" t="str">
        <f>TEXTVALUE!P280</f>
        <v>Rp 0</v>
      </c>
      <c r="F280" s="14"/>
    </row>
    <row r="281">
      <c r="A281" s="14" t="str">
        <f>$E$1&amp;""&amp;TEXTVALUE!H281</f>
        <v>+</v>
      </c>
      <c r="B281" s="14" t="str">
        <f>TEXTVALUE!B281</f>
        <v/>
      </c>
      <c r="C281" s="14" t="str">
        <f>TEXTVALUE!$E$1&amp;" : "&amp;TEXTVALUE!E281&amp;"
"&amp;TEXTVALUE!$G$1&amp;" : "&amp;TEXTVALUE!G281</f>
        <v>KAMAR : 
MADRASIAH : </v>
      </c>
      <c r="D281" s="14" t="str">
        <f>TEXTVALUE!Q281</f>
        <v>Syahriyah = Rp 0
Jariyah = Rp 0
Daftar Ulang = Rp 0
Total = Rp 0
______________________
ID : </v>
      </c>
      <c r="E281" s="14" t="str">
        <f>TEXTVALUE!P281</f>
        <v>Rp 0</v>
      </c>
      <c r="F281" s="14"/>
    </row>
    <row r="282">
      <c r="A282" s="14" t="str">
        <f>$E$1&amp;""&amp;TEXTVALUE!H282</f>
        <v>+</v>
      </c>
      <c r="B282" s="14" t="str">
        <f>TEXTVALUE!B282</f>
        <v/>
      </c>
      <c r="C282" s="14" t="str">
        <f>TEXTVALUE!$E$1&amp;" : "&amp;TEXTVALUE!E282&amp;"
"&amp;TEXTVALUE!$G$1&amp;" : "&amp;TEXTVALUE!G282</f>
        <v>KAMAR : 
MADRASIAH : </v>
      </c>
      <c r="D282" s="14" t="str">
        <f>TEXTVALUE!Q282</f>
        <v>Syahriyah = Rp 0
Jariyah = Rp 0
Daftar Ulang = Rp 0
Total = Rp 0
______________________
ID : </v>
      </c>
      <c r="E282" s="14" t="str">
        <f>TEXTVALUE!P282</f>
        <v>Rp 0</v>
      </c>
      <c r="F282" s="14"/>
    </row>
    <row r="283">
      <c r="A283" s="14" t="str">
        <f>$E$1&amp;""&amp;TEXTVALUE!H283</f>
        <v>+</v>
      </c>
      <c r="B283" s="14" t="str">
        <f>TEXTVALUE!B283</f>
        <v/>
      </c>
      <c r="C283" s="14" t="str">
        <f>TEXTVALUE!$E$1&amp;" : "&amp;TEXTVALUE!E283&amp;"
"&amp;TEXTVALUE!$G$1&amp;" : "&amp;TEXTVALUE!G283</f>
        <v>KAMAR : 
MADRASIAH : </v>
      </c>
      <c r="D283" s="14" t="str">
        <f>TEXTVALUE!Q283</f>
        <v>Syahriyah = Rp 0
Jariyah = Rp 0
Daftar Ulang = Rp 0
Total = Rp 0
______________________
ID : </v>
      </c>
      <c r="E283" s="14" t="str">
        <f>TEXTVALUE!P283</f>
        <v>Rp 0</v>
      </c>
      <c r="F283" s="14"/>
    </row>
    <row r="284">
      <c r="A284" s="14" t="str">
        <f>$E$1&amp;""&amp;TEXTVALUE!H284</f>
        <v>+</v>
      </c>
      <c r="B284" s="14" t="str">
        <f>TEXTVALUE!B284</f>
        <v/>
      </c>
      <c r="C284" s="14" t="str">
        <f>TEXTVALUE!$E$1&amp;" : "&amp;TEXTVALUE!E284&amp;"
"&amp;TEXTVALUE!$G$1&amp;" : "&amp;TEXTVALUE!G284</f>
        <v>KAMAR : 
MADRASIAH : </v>
      </c>
      <c r="D284" s="14" t="str">
        <f>TEXTVALUE!Q284</f>
        <v>Syahriyah = Rp 0
Jariyah = Rp 0
Daftar Ulang = Rp 0
Total = Rp 0
______________________
ID : </v>
      </c>
      <c r="E284" s="14" t="str">
        <f>TEXTVALUE!P284</f>
        <v>Rp 0</v>
      </c>
      <c r="F284" s="14"/>
    </row>
    <row r="285">
      <c r="A285" s="14" t="str">
        <f>$E$1&amp;""&amp;TEXTVALUE!H285</f>
        <v>+</v>
      </c>
      <c r="B285" s="14" t="str">
        <f>TEXTVALUE!B285</f>
        <v/>
      </c>
      <c r="C285" s="14" t="str">
        <f>TEXTVALUE!$E$1&amp;" : "&amp;TEXTVALUE!E285&amp;"
"&amp;TEXTVALUE!$G$1&amp;" : "&amp;TEXTVALUE!G285</f>
        <v>KAMAR : 
MADRASIAH : </v>
      </c>
      <c r="D285" s="14" t="str">
        <f>TEXTVALUE!Q285</f>
        <v>Syahriyah = Rp 0
Jariyah = Rp 0
Daftar Ulang = Rp 0
Total = Rp 0
______________________
ID : </v>
      </c>
      <c r="E285" s="14" t="str">
        <f>TEXTVALUE!P285</f>
        <v>Rp 0</v>
      </c>
      <c r="F285" s="14"/>
    </row>
    <row r="286">
      <c r="A286" s="14" t="str">
        <f>$E$1&amp;""&amp;TEXTVALUE!H286</f>
        <v>+</v>
      </c>
      <c r="B286" s="14" t="str">
        <f>TEXTVALUE!B286</f>
        <v/>
      </c>
      <c r="C286" s="14" t="str">
        <f>TEXTVALUE!$E$1&amp;" : "&amp;TEXTVALUE!E286&amp;"
"&amp;TEXTVALUE!$G$1&amp;" : "&amp;TEXTVALUE!G286</f>
        <v>KAMAR : 
MADRASIAH : </v>
      </c>
      <c r="D286" s="14" t="str">
        <f>TEXTVALUE!Q286</f>
        <v>Syahriyah = Rp 0
Jariyah = Rp 0
Daftar Ulang = Rp 0
Total = Rp 0
______________________
ID : </v>
      </c>
      <c r="E286" s="14" t="str">
        <f>TEXTVALUE!P286</f>
        <v>Rp 0</v>
      </c>
      <c r="F286" s="14"/>
    </row>
    <row r="287">
      <c r="A287" s="14" t="str">
        <f>$E$1&amp;""&amp;TEXTVALUE!H287</f>
        <v>+</v>
      </c>
      <c r="B287" s="14" t="str">
        <f>TEXTVALUE!B287</f>
        <v/>
      </c>
      <c r="C287" s="14" t="str">
        <f>TEXTVALUE!$E$1&amp;" : "&amp;TEXTVALUE!E287&amp;"
"&amp;TEXTVALUE!$G$1&amp;" : "&amp;TEXTVALUE!G287</f>
        <v>KAMAR : 
MADRASIAH : </v>
      </c>
      <c r="D287" s="14" t="str">
        <f>TEXTVALUE!Q287</f>
        <v>Syahriyah = Rp 0
Jariyah = Rp 0
Daftar Ulang = Rp 0
Total = Rp 0
______________________
ID : </v>
      </c>
      <c r="E287" s="14" t="str">
        <f>TEXTVALUE!P287</f>
        <v>Rp 0</v>
      </c>
      <c r="F287" s="14"/>
    </row>
    <row r="288">
      <c r="A288" s="14" t="str">
        <f>$E$1&amp;""&amp;TEXTVALUE!H288</f>
        <v>+</v>
      </c>
      <c r="B288" s="14" t="str">
        <f>TEXTVALUE!B288</f>
        <v/>
      </c>
      <c r="C288" s="14" t="str">
        <f>TEXTVALUE!$E$1&amp;" : "&amp;TEXTVALUE!E288&amp;"
"&amp;TEXTVALUE!$G$1&amp;" : "&amp;TEXTVALUE!G288</f>
        <v>KAMAR : 
MADRASIAH : </v>
      </c>
      <c r="D288" s="14" t="str">
        <f>TEXTVALUE!Q288</f>
        <v>Syahriyah = Rp 0
Jariyah = Rp 0
Daftar Ulang = Rp 0
Total = Rp 0
______________________
ID : </v>
      </c>
      <c r="E288" s="14" t="str">
        <f>TEXTVALUE!P288</f>
        <v>Rp 0</v>
      </c>
      <c r="F288" s="14"/>
    </row>
    <row r="289">
      <c r="A289" s="14" t="str">
        <f>$E$1&amp;""&amp;TEXTVALUE!H289</f>
        <v>+</v>
      </c>
      <c r="B289" s="14" t="str">
        <f>TEXTVALUE!B289</f>
        <v/>
      </c>
      <c r="C289" s="14" t="str">
        <f>TEXTVALUE!$E$1&amp;" : "&amp;TEXTVALUE!E289&amp;"
"&amp;TEXTVALUE!$G$1&amp;" : "&amp;TEXTVALUE!G289</f>
        <v>KAMAR : 
MADRASIAH : </v>
      </c>
      <c r="D289" s="14" t="str">
        <f>TEXTVALUE!Q289</f>
        <v>Syahriyah = Rp 0
Jariyah = Rp 0
Daftar Ulang = Rp 0
Total = Rp 0
______________________
ID : </v>
      </c>
      <c r="E289" s="14" t="str">
        <f>TEXTVALUE!P289</f>
        <v>Rp 0</v>
      </c>
      <c r="F289" s="14"/>
    </row>
    <row r="290">
      <c r="A290" s="14" t="str">
        <f>$E$1&amp;""&amp;TEXTVALUE!H290</f>
        <v>+</v>
      </c>
      <c r="B290" s="14" t="str">
        <f>TEXTVALUE!B290</f>
        <v/>
      </c>
      <c r="C290" s="14" t="str">
        <f>TEXTVALUE!$E$1&amp;" : "&amp;TEXTVALUE!E290&amp;"
"&amp;TEXTVALUE!$G$1&amp;" : "&amp;TEXTVALUE!G290</f>
        <v>KAMAR : 
MADRASIAH : </v>
      </c>
      <c r="D290" s="14" t="str">
        <f>TEXTVALUE!Q290</f>
        <v>Syahriyah = Rp 0
Jariyah = Rp 0
Daftar Ulang = Rp 0
Total = Rp 0
______________________
ID : </v>
      </c>
      <c r="E290" s="14" t="str">
        <f>TEXTVALUE!P290</f>
        <v>Rp 0</v>
      </c>
      <c r="F290" s="14"/>
    </row>
    <row r="291">
      <c r="A291" s="14" t="str">
        <f>$E$1&amp;""&amp;TEXTVALUE!H291</f>
        <v>+</v>
      </c>
      <c r="B291" s="14" t="str">
        <f>TEXTVALUE!B291</f>
        <v/>
      </c>
      <c r="C291" s="14" t="str">
        <f>TEXTVALUE!$E$1&amp;" : "&amp;TEXTVALUE!E291&amp;"
"&amp;TEXTVALUE!$G$1&amp;" : "&amp;TEXTVALUE!G291</f>
        <v>KAMAR : 
MADRASIAH : </v>
      </c>
      <c r="D291" s="14" t="str">
        <f>TEXTVALUE!Q291</f>
        <v>Syahriyah = Rp 0
Jariyah = Rp 0
Daftar Ulang = Rp 0
Total = Rp 0
______________________
ID : </v>
      </c>
      <c r="E291" s="14" t="str">
        <f>TEXTVALUE!P291</f>
        <v>Rp 0</v>
      </c>
      <c r="F291" s="14"/>
    </row>
    <row r="292">
      <c r="A292" s="14" t="str">
        <f>$E$1&amp;""&amp;TEXTVALUE!H292</f>
        <v>+</v>
      </c>
      <c r="B292" s="14" t="str">
        <f>TEXTVALUE!B292</f>
        <v/>
      </c>
      <c r="C292" s="14" t="str">
        <f>TEXTVALUE!$E$1&amp;" : "&amp;TEXTVALUE!E292&amp;"
"&amp;TEXTVALUE!$G$1&amp;" : "&amp;TEXTVALUE!G292</f>
        <v>KAMAR : 
MADRASIAH : </v>
      </c>
      <c r="D292" s="14" t="str">
        <f>TEXTVALUE!Q292</f>
        <v>Syahriyah = Rp 0
Jariyah = Rp 0
Daftar Ulang = Rp 0
Total = Rp 0
______________________
ID : </v>
      </c>
      <c r="E292" s="14" t="str">
        <f>TEXTVALUE!P292</f>
        <v>Rp 0</v>
      </c>
      <c r="F292" s="14"/>
    </row>
    <row r="293">
      <c r="A293" s="14" t="str">
        <f>$E$1&amp;""&amp;TEXTVALUE!H293</f>
        <v>+</v>
      </c>
      <c r="B293" s="14" t="str">
        <f>TEXTVALUE!B293</f>
        <v/>
      </c>
      <c r="C293" s="14" t="str">
        <f>TEXTVALUE!$E$1&amp;" : "&amp;TEXTVALUE!E293&amp;"
"&amp;TEXTVALUE!$G$1&amp;" : "&amp;TEXTVALUE!G293</f>
        <v>KAMAR : 
MADRASIAH : </v>
      </c>
      <c r="D293" s="14" t="str">
        <f>TEXTVALUE!Q293</f>
        <v>Syahriyah = Rp 0
Jariyah = Rp 0
Daftar Ulang = Rp 0
Total = Rp 0
______________________
ID : </v>
      </c>
      <c r="E293" s="14" t="str">
        <f>TEXTVALUE!P293</f>
        <v>Rp 0</v>
      </c>
      <c r="F293" s="14"/>
    </row>
    <row r="294">
      <c r="A294" s="14" t="str">
        <f>$E$1&amp;""&amp;TEXTVALUE!H294</f>
        <v>+</v>
      </c>
      <c r="B294" s="14" t="str">
        <f>TEXTVALUE!B294</f>
        <v/>
      </c>
      <c r="C294" s="14" t="str">
        <f>TEXTVALUE!$E$1&amp;" : "&amp;TEXTVALUE!E294&amp;"
"&amp;TEXTVALUE!$G$1&amp;" : "&amp;TEXTVALUE!G294</f>
        <v>KAMAR : 
MADRASIAH : </v>
      </c>
      <c r="D294" s="14" t="str">
        <f>TEXTVALUE!Q294</f>
        <v>Syahriyah = Rp 0
Jariyah = Rp 0
Daftar Ulang = Rp 0
Total = Rp 0
______________________
ID : </v>
      </c>
      <c r="E294" s="14" t="str">
        <f>TEXTVALUE!P294</f>
        <v>Rp 0</v>
      </c>
      <c r="F294" s="14"/>
    </row>
    <row r="295">
      <c r="A295" s="14" t="str">
        <f>$E$1&amp;""&amp;TEXTVALUE!H295</f>
        <v>+</v>
      </c>
      <c r="B295" s="14" t="str">
        <f>TEXTVALUE!B295</f>
        <v/>
      </c>
      <c r="C295" s="14" t="str">
        <f>TEXTVALUE!$E$1&amp;" : "&amp;TEXTVALUE!E295&amp;"
"&amp;TEXTVALUE!$G$1&amp;" : "&amp;TEXTVALUE!G295</f>
        <v>KAMAR : 
MADRASIAH : </v>
      </c>
      <c r="D295" s="14" t="str">
        <f>TEXTVALUE!Q295</f>
        <v>Syahriyah = Rp 0
Jariyah = Rp 0
Daftar Ulang = Rp 0
Total = Rp 0
______________________
ID : </v>
      </c>
      <c r="E295" s="14" t="str">
        <f>TEXTVALUE!P295</f>
        <v>Rp 0</v>
      </c>
      <c r="F295" s="14"/>
    </row>
    <row r="296">
      <c r="A296" s="14" t="str">
        <f>$E$1&amp;""&amp;TEXTVALUE!H296</f>
        <v>+</v>
      </c>
      <c r="B296" s="14" t="str">
        <f>TEXTVALUE!B296</f>
        <v/>
      </c>
      <c r="C296" s="14" t="str">
        <f>TEXTVALUE!$E$1&amp;" : "&amp;TEXTVALUE!E296&amp;"
"&amp;TEXTVALUE!$G$1&amp;" : "&amp;TEXTVALUE!G296</f>
        <v>KAMAR : 
MADRASIAH : </v>
      </c>
      <c r="D296" s="14" t="str">
        <f>TEXTVALUE!Q296</f>
        <v>Syahriyah = Rp 0
Jariyah = Rp 0
Daftar Ulang = Rp 0
Total = Rp 0
______________________
ID : </v>
      </c>
      <c r="E296" s="14" t="str">
        <f>TEXTVALUE!P296</f>
        <v>Rp 0</v>
      </c>
      <c r="F296" s="14"/>
    </row>
    <row r="297">
      <c r="A297" s="14" t="str">
        <f>$E$1&amp;""&amp;TEXTVALUE!H297</f>
        <v>+</v>
      </c>
      <c r="B297" s="14" t="str">
        <f>TEXTVALUE!B297</f>
        <v/>
      </c>
      <c r="C297" s="14" t="str">
        <f>TEXTVALUE!$E$1&amp;" : "&amp;TEXTVALUE!E297&amp;"
"&amp;TEXTVALUE!$G$1&amp;" : "&amp;TEXTVALUE!G297</f>
        <v>KAMAR : 
MADRASIAH : </v>
      </c>
      <c r="D297" s="14" t="str">
        <f>TEXTVALUE!Q297</f>
        <v>Syahriyah = Rp 0
Jariyah = Rp 0
Daftar Ulang = Rp 0
Total = Rp 0
______________________
ID : </v>
      </c>
      <c r="E297" s="14" t="str">
        <f>TEXTVALUE!P297</f>
        <v>Rp 0</v>
      </c>
      <c r="F297" s="14"/>
    </row>
    <row r="298">
      <c r="A298" s="14" t="str">
        <f>$E$1&amp;""&amp;TEXTVALUE!H298</f>
        <v>+</v>
      </c>
      <c r="B298" s="14" t="str">
        <f>TEXTVALUE!B298</f>
        <v/>
      </c>
      <c r="C298" s="14" t="str">
        <f>TEXTVALUE!$E$1&amp;" : "&amp;TEXTVALUE!E298&amp;"
"&amp;TEXTVALUE!$G$1&amp;" : "&amp;TEXTVALUE!G298</f>
        <v>KAMAR : 
MADRASIAH : </v>
      </c>
      <c r="D298" s="14" t="str">
        <f>TEXTVALUE!Q298</f>
        <v>Syahriyah = Rp 0
Jariyah = Rp 0
Daftar Ulang = Rp 0
Total = Rp 0
______________________
ID : </v>
      </c>
      <c r="E298" s="14" t="str">
        <f>TEXTVALUE!P298</f>
        <v>Rp 0</v>
      </c>
      <c r="F298" s="14"/>
    </row>
    <row r="299">
      <c r="A299" s="14" t="str">
        <f>$E$1&amp;""&amp;TEXTVALUE!H299</f>
        <v>+</v>
      </c>
      <c r="B299" s="14" t="str">
        <f>TEXTVALUE!B299</f>
        <v/>
      </c>
      <c r="C299" s="14" t="str">
        <f>TEXTVALUE!$E$1&amp;" : "&amp;TEXTVALUE!E299&amp;"
"&amp;TEXTVALUE!$G$1&amp;" : "&amp;TEXTVALUE!G299</f>
        <v>KAMAR : 
MADRASIAH : </v>
      </c>
      <c r="D299" s="14" t="str">
        <f>TEXTVALUE!Q299</f>
        <v>Syahriyah = Rp 0
Jariyah = Rp 0
Daftar Ulang = Rp 0
Total = Rp 0
______________________
ID : </v>
      </c>
      <c r="E299" s="14" t="str">
        <f>TEXTVALUE!P299</f>
        <v>Rp 0</v>
      </c>
      <c r="F299" s="14"/>
    </row>
    <row r="300">
      <c r="A300" s="14" t="str">
        <f>$E$1&amp;""&amp;TEXTVALUE!H300</f>
        <v>+</v>
      </c>
      <c r="B300" s="14" t="str">
        <f>TEXTVALUE!B300</f>
        <v/>
      </c>
      <c r="C300" s="14" t="str">
        <f>TEXTVALUE!$E$1&amp;" : "&amp;TEXTVALUE!E300&amp;"
"&amp;TEXTVALUE!$G$1&amp;" : "&amp;TEXTVALUE!G300</f>
        <v>KAMAR : 
MADRASIAH : </v>
      </c>
      <c r="D300" s="14" t="str">
        <f>TEXTVALUE!Q300</f>
        <v>Syahriyah = Rp 0
Jariyah = Rp 0
Daftar Ulang = Rp 0
Total = Rp 0
______________________
ID : </v>
      </c>
      <c r="E300" s="14" t="str">
        <f>TEXTVALUE!P300</f>
        <v>Rp 0</v>
      </c>
      <c r="F300" s="14"/>
    </row>
    <row r="301">
      <c r="A301" s="14" t="str">
        <f>$E$1&amp;""&amp;TEXTVALUE!H301</f>
        <v>+</v>
      </c>
      <c r="B301" s="14" t="str">
        <f>TEXTVALUE!B301</f>
        <v/>
      </c>
      <c r="C301" s="14" t="str">
        <f>TEXTVALUE!$E$1&amp;" : "&amp;TEXTVALUE!E301&amp;"
"&amp;TEXTVALUE!$G$1&amp;" : "&amp;TEXTVALUE!G301</f>
        <v>KAMAR : 
MADRASIAH : </v>
      </c>
      <c r="D301" s="14" t="str">
        <f>TEXTVALUE!Q301</f>
        <v>Syahriyah = Rp 0
Jariyah = Rp 0
Daftar Ulang = Rp 0
Total = Rp 0
______________________
ID : </v>
      </c>
      <c r="E301" s="14" t="str">
        <f>TEXTVALUE!P301</f>
        <v>Rp 0</v>
      </c>
      <c r="F301" s="14"/>
    </row>
    <row r="302">
      <c r="A302" s="14" t="str">
        <f>$E$1&amp;""&amp;TEXTVALUE!H302</f>
        <v>+</v>
      </c>
      <c r="B302" s="14" t="str">
        <f>TEXTVALUE!B302</f>
        <v/>
      </c>
      <c r="C302" s="14" t="str">
        <f>TEXTVALUE!$E$1&amp;" : "&amp;TEXTVALUE!E302&amp;"
"&amp;TEXTVALUE!$G$1&amp;" : "&amp;TEXTVALUE!G302</f>
        <v>KAMAR : 
MADRASIAH : </v>
      </c>
      <c r="D302" s="14" t="str">
        <f>TEXTVALUE!Q302</f>
        <v>Syahriyah = Rp 0
Jariyah = Rp 0
Daftar Ulang = Rp 0
Total = Rp 0
______________________
ID : </v>
      </c>
      <c r="E302" s="14" t="str">
        <f>TEXTVALUE!P302</f>
        <v>Rp 0</v>
      </c>
      <c r="F302" s="14"/>
    </row>
    <row r="303">
      <c r="A303" s="14" t="str">
        <f>$E$1&amp;""&amp;TEXTVALUE!H303</f>
        <v>+</v>
      </c>
      <c r="B303" s="14" t="str">
        <f>TEXTVALUE!B303</f>
        <v/>
      </c>
      <c r="C303" s="14" t="str">
        <f>TEXTVALUE!$E$1&amp;" : "&amp;TEXTVALUE!E303&amp;"
"&amp;TEXTVALUE!$G$1&amp;" : "&amp;TEXTVALUE!G303</f>
        <v>KAMAR : 
MADRASIAH : </v>
      </c>
      <c r="D303" s="14" t="str">
        <f>TEXTVALUE!Q303</f>
        <v>Syahriyah = Rp 0
Jariyah = Rp 0
Daftar Ulang = Rp 0
Total = Rp 0
______________________
ID : </v>
      </c>
      <c r="E303" s="14" t="str">
        <f>TEXTVALUE!P303</f>
        <v>Rp 0</v>
      </c>
      <c r="F303" s="14"/>
    </row>
    <row r="304">
      <c r="A304" s="14" t="str">
        <f>$E$1&amp;""&amp;TEXTVALUE!H304</f>
        <v>+</v>
      </c>
      <c r="B304" s="14" t="str">
        <f>TEXTVALUE!B304</f>
        <v/>
      </c>
      <c r="C304" s="14" t="str">
        <f>TEXTVALUE!$E$1&amp;" : "&amp;TEXTVALUE!E304&amp;"
"&amp;TEXTVALUE!$G$1&amp;" : "&amp;TEXTVALUE!G304</f>
        <v>KAMAR : 
MADRASIAH : </v>
      </c>
      <c r="D304" s="14" t="str">
        <f>TEXTVALUE!Q304</f>
        <v>Syahriyah = Rp 0
Jariyah = Rp 0
Daftar Ulang = Rp 0
Total = Rp 0
______________________
ID : </v>
      </c>
      <c r="E304" s="14" t="str">
        <f>TEXTVALUE!P304</f>
        <v>Rp 0</v>
      </c>
      <c r="F304" s="14"/>
    </row>
    <row r="305">
      <c r="A305" s="14" t="str">
        <f>$E$1&amp;""&amp;TEXTVALUE!H305</f>
        <v>+</v>
      </c>
      <c r="B305" s="14" t="str">
        <f>TEXTVALUE!B305</f>
        <v/>
      </c>
      <c r="C305" s="14" t="str">
        <f>TEXTVALUE!$E$1&amp;" : "&amp;TEXTVALUE!E305&amp;"
"&amp;TEXTVALUE!$G$1&amp;" : "&amp;TEXTVALUE!G305</f>
        <v>KAMAR : 
MADRASIAH : </v>
      </c>
      <c r="D305" s="14" t="str">
        <f>TEXTVALUE!Q305</f>
        <v>Syahriyah = Rp 0
Jariyah = Rp 0
Daftar Ulang = Rp 0
Total = Rp 0
______________________
ID : </v>
      </c>
      <c r="E305" s="14" t="str">
        <f>TEXTVALUE!P305</f>
        <v>Rp 0</v>
      </c>
      <c r="F305" s="14"/>
    </row>
    <row r="306">
      <c r="A306" s="14" t="str">
        <f>$E$1&amp;""&amp;TEXTVALUE!H306</f>
        <v>+</v>
      </c>
      <c r="B306" s="14" t="str">
        <f>TEXTVALUE!B306</f>
        <v/>
      </c>
      <c r="C306" s="14" t="str">
        <f>TEXTVALUE!$E$1&amp;" : "&amp;TEXTVALUE!E306&amp;"
"&amp;TEXTVALUE!$G$1&amp;" : "&amp;TEXTVALUE!G306</f>
        <v>KAMAR : 
MADRASIAH : </v>
      </c>
      <c r="D306" s="14" t="str">
        <f>TEXTVALUE!Q306</f>
        <v>Syahriyah = Rp 0
Jariyah = Rp 0
Daftar Ulang = Rp 0
Total = Rp 0
______________________
ID : </v>
      </c>
      <c r="E306" s="14" t="str">
        <f>TEXTVALUE!P306</f>
        <v>Rp 0</v>
      </c>
      <c r="F306" s="14"/>
    </row>
    <row r="307">
      <c r="A307" s="14" t="str">
        <f>$E$1&amp;""&amp;TEXTVALUE!H307</f>
        <v>+</v>
      </c>
      <c r="B307" s="14" t="str">
        <f>TEXTVALUE!B307</f>
        <v/>
      </c>
      <c r="C307" s="14" t="str">
        <f>TEXTVALUE!$E$1&amp;" : "&amp;TEXTVALUE!E307&amp;"
"&amp;TEXTVALUE!$G$1&amp;" : "&amp;TEXTVALUE!G307</f>
        <v>KAMAR : 
MADRASIAH : </v>
      </c>
      <c r="D307" s="14" t="str">
        <f>TEXTVALUE!Q307</f>
        <v>Syahriyah = Rp 0
Jariyah = Rp 0
Daftar Ulang = Rp 0
Total = Rp 0
______________________
ID : </v>
      </c>
      <c r="E307" s="14" t="str">
        <f>TEXTVALUE!P307</f>
        <v>Rp 0</v>
      </c>
      <c r="F307" s="14"/>
    </row>
    <row r="308">
      <c r="A308" s="14" t="str">
        <f>$E$1&amp;""&amp;TEXTVALUE!H308</f>
        <v>+</v>
      </c>
      <c r="B308" s="14" t="str">
        <f>TEXTVALUE!B308</f>
        <v/>
      </c>
      <c r="C308" s="14" t="str">
        <f>TEXTVALUE!$E$1&amp;" : "&amp;TEXTVALUE!E308&amp;"
"&amp;TEXTVALUE!$G$1&amp;" : "&amp;TEXTVALUE!G308</f>
        <v>KAMAR : 
MADRASIAH : </v>
      </c>
      <c r="D308" s="14" t="str">
        <f>TEXTVALUE!Q308</f>
        <v>Syahriyah = Rp 0
Jariyah = Rp 0
Daftar Ulang = Rp 0
Total = Rp 0
______________________
ID : </v>
      </c>
      <c r="E308" s="14" t="str">
        <f>TEXTVALUE!P308</f>
        <v>Rp 0</v>
      </c>
      <c r="F308" s="14"/>
    </row>
    <row r="309">
      <c r="A309" s="14" t="str">
        <f>$E$1&amp;""&amp;TEXTVALUE!H309</f>
        <v>+</v>
      </c>
      <c r="B309" s="14" t="str">
        <f>TEXTVALUE!B309</f>
        <v/>
      </c>
      <c r="C309" s="14" t="str">
        <f>TEXTVALUE!$E$1&amp;" : "&amp;TEXTVALUE!E309&amp;"
"&amp;TEXTVALUE!$G$1&amp;" : "&amp;TEXTVALUE!G309</f>
        <v>KAMAR : 
MADRASIAH : </v>
      </c>
      <c r="D309" s="14" t="str">
        <f>TEXTVALUE!Q309</f>
        <v>Syahriyah = Rp 0
Jariyah = Rp 0
Daftar Ulang = Rp 0
Total = Rp 0
______________________
ID : </v>
      </c>
      <c r="E309" s="14" t="str">
        <f>TEXTVALUE!P309</f>
        <v>Rp 0</v>
      </c>
      <c r="F309" s="14"/>
    </row>
    <row r="310">
      <c r="A310" s="14" t="str">
        <f>$E$1&amp;""&amp;TEXTVALUE!H310</f>
        <v>+</v>
      </c>
      <c r="B310" s="14" t="str">
        <f>TEXTVALUE!B310</f>
        <v/>
      </c>
      <c r="C310" s="14" t="str">
        <f>TEXTVALUE!$E$1&amp;" : "&amp;TEXTVALUE!E310&amp;"
"&amp;TEXTVALUE!$G$1&amp;" : "&amp;TEXTVALUE!G310</f>
        <v>KAMAR : 
MADRASIAH : </v>
      </c>
      <c r="D310" s="14" t="str">
        <f>TEXTVALUE!Q310</f>
        <v>Syahriyah = Rp 0
Jariyah = Rp 0
Daftar Ulang = Rp 0
Total = Rp 0
______________________
ID : </v>
      </c>
      <c r="E310" s="14" t="str">
        <f>TEXTVALUE!P310</f>
        <v>Rp 0</v>
      </c>
      <c r="F310" s="14"/>
    </row>
    <row r="311">
      <c r="A311" s="14" t="str">
        <f>$E$1&amp;""&amp;TEXTVALUE!H311</f>
        <v>+</v>
      </c>
      <c r="B311" s="14" t="str">
        <f>TEXTVALUE!B311</f>
        <v/>
      </c>
      <c r="C311" s="14" t="str">
        <f>TEXTVALUE!$E$1&amp;" : "&amp;TEXTVALUE!E311&amp;"
"&amp;TEXTVALUE!$G$1&amp;" : "&amp;TEXTVALUE!G311</f>
        <v>KAMAR : 
MADRASIAH : </v>
      </c>
      <c r="D311" s="14" t="str">
        <f>TEXTVALUE!Q311</f>
        <v>Syahriyah = Rp 0
Jariyah = Rp 0
Daftar Ulang = Rp 0
Total = Rp 0
______________________
ID : </v>
      </c>
      <c r="E311" s="14" t="str">
        <f>TEXTVALUE!P311</f>
        <v>Rp 0</v>
      </c>
      <c r="F311" s="14"/>
    </row>
    <row r="312">
      <c r="A312" s="14" t="str">
        <f>$E$1&amp;""&amp;TEXTVALUE!H312</f>
        <v>+</v>
      </c>
      <c r="B312" s="14" t="str">
        <f>TEXTVALUE!B312</f>
        <v/>
      </c>
      <c r="C312" s="14" t="str">
        <f>TEXTVALUE!$E$1&amp;" : "&amp;TEXTVALUE!E312&amp;"
"&amp;TEXTVALUE!$G$1&amp;" : "&amp;TEXTVALUE!G312</f>
        <v>KAMAR : 
MADRASIAH : </v>
      </c>
      <c r="D312" s="14" t="str">
        <f>TEXTVALUE!Q312</f>
        <v>Syahriyah = Rp 0
Jariyah = Rp 0
Daftar Ulang = Rp 0
Total = Rp 0
______________________
ID : </v>
      </c>
      <c r="E312" s="14" t="str">
        <f>TEXTVALUE!P312</f>
        <v>Rp 0</v>
      </c>
      <c r="F312" s="14"/>
    </row>
    <row r="313">
      <c r="A313" s="14" t="str">
        <f>$E$1&amp;""&amp;TEXTVALUE!H313</f>
        <v>+</v>
      </c>
      <c r="B313" s="14" t="str">
        <f>TEXTVALUE!B313</f>
        <v/>
      </c>
      <c r="C313" s="14" t="str">
        <f>TEXTVALUE!$E$1&amp;" : "&amp;TEXTVALUE!E313&amp;"
"&amp;TEXTVALUE!$G$1&amp;" : "&amp;TEXTVALUE!G313</f>
        <v>KAMAR : 
MADRASIAH : </v>
      </c>
      <c r="D313" s="14" t="str">
        <f>TEXTVALUE!Q313</f>
        <v>Syahriyah = Rp 0
Jariyah = Rp 0
Daftar Ulang = Rp 0
Total = Rp 0
______________________
ID : </v>
      </c>
      <c r="E313" s="14" t="str">
        <f>TEXTVALUE!P313</f>
        <v>Rp 0</v>
      </c>
      <c r="F313" s="14"/>
    </row>
    <row r="314">
      <c r="A314" s="14" t="str">
        <f>$E$1&amp;""&amp;TEXTVALUE!H314</f>
        <v>+</v>
      </c>
      <c r="B314" s="14" t="str">
        <f>TEXTVALUE!B314</f>
        <v/>
      </c>
      <c r="C314" s="14" t="str">
        <f>TEXTVALUE!$E$1&amp;" : "&amp;TEXTVALUE!E314&amp;"
"&amp;TEXTVALUE!$G$1&amp;" : "&amp;TEXTVALUE!G314</f>
        <v>KAMAR : 
MADRASIAH : </v>
      </c>
      <c r="D314" s="14" t="str">
        <f>TEXTVALUE!Q314</f>
        <v>Syahriyah = Rp 0
Jariyah = Rp 0
Daftar Ulang = Rp 0
Total = Rp 0
______________________
ID : </v>
      </c>
      <c r="E314" s="14" t="str">
        <f>TEXTVALUE!P314</f>
        <v>Rp 0</v>
      </c>
      <c r="F314" s="14"/>
    </row>
    <row r="315">
      <c r="A315" s="14" t="str">
        <f>$E$1&amp;""&amp;TEXTVALUE!H315</f>
        <v>+</v>
      </c>
      <c r="B315" s="14" t="str">
        <f>TEXTVALUE!B315</f>
        <v/>
      </c>
      <c r="C315" s="14" t="str">
        <f>TEXTVALUE!$E$1&amp;" : "&amp;TEXTVALUE!E315&amp;"
"&amp;TEXTVALUE!$G$1&amp;" : "&amp;TEXTVALUE!G315</f>
        <v>KAMAR : 
MADRASIAH : </v>
      </c>
      <c r="D315" s="14" t="str">
        <f>TEXTVALUE!Q315</f>
        <v>Syahriyah = Rp 0
Jariyah = Rp 0
Daftar Ulang = Rp 0
Total = Rp 0
______________________
ID : </v>
      </c>
      <c r="E315" s="14" t="str">
        <f>TEXTVALUE!P315</f>
        <v>Rp 0</v>
      </c>
      <c r="F315" s="14"/>
    </row>
    <row r="316">
      <c r="A316" s="14" t="str">
        <f>$E$1&amp;""&amp;TEXTVALUE!H316</f>
        <v>+</v>
      </c>
      <c r="B316" s="14" t="str">
        <f>TEXTVALUE!B316</f>
        <v/>
      </c>
      <c r="C316" s="14" t="str">
        <f>TEXTVALUE!$E$1&amp;" : "&amp;TEXTVALUE!E316&amp;"
"&amp;TEXTVALUE!$G$1&amp;" : "&amp;TEXTVALUE!G316</f>
        <v>KAMAR : 
MADRASIAH : </v>
      </c>
      <c r="D316" s="14" t="str">
        <f>TEXTVALUE!Q316</f>
        <v>Syahriyah = Rp 0
Jariyah = Rp 0
Daftar Ulang = Rp 0
Total = Rp 0
______________________
ID : </v>
      </c>
      <c r="E316" s="14" t="str">
        <f>TEXTVALUE!P316</f>
        <v>Rp 0</v>
      </c>
      <c r="F316" s="14"/>
    </row>
    <row r="317">
      <c r="A317" s="14" t="str">
        <f>$E$1&amp;""&amp;TEXTVALUE!H317</f>
        <v>+</v>
      </c>
      <c r="B317" s="14" t="str">
        <f>TEXTVALUE!B317</f>
        <v/>
      </c>
      <c r="C317" s="14" t="str">
        <f>TEXTVALUE!$E$1&amp;" : "&amp;TEXTVALUE!E317&amp;"
"&amp;TEXTVALUE!$G$1&amp;" : "&amp;TEXTVALUE!G317</f>
        <v>KAMAR : 
MADRASIAH : </v>
      </c>
      <c r="D317" s="14" t="str">
        <f>TEXTVALUE!Q317</f>
        <v>Syahriyah = Rp 0
Jariyah = Rp 0
Daftar Ulang = Rp 0
Total = Rp 0
______________________
ID : </v>
      </c>
      <c r="E317" s="14" t="str">
        <f>TEXTVALUE!P317</f>
        <v>Rp 0</v>
      </c>
      <c r="F317" s="14"/>
    </row>
    <row r="318">
      <c r="A318" s="14" t="str">
        <f>$E$1&amp;""&amp;TEXTVALUE!H318</f>
        <v>+</v>
      </c>
      <c r="B318" s="14" t="str">
        <f>TEXTVALUE!B318</f>
        <v/>
      </c>
      <c r="C318" s="14" t="str">
        <f>TEXTVALUE!$E$1&amp;" : "&amp;TEXTVALUE!E318&amp;"
"&amp;TEXTVALUE!$G$1&amp;" : "&amp;TEXTVALUE!G318</f>
        <v>KAMAR : 
MADRASIAH : </v>
      </c>
      <c r="D318" s="14" t="str">
        <f>TEXTVALUE!Q318</f>
        <v>Syahriyah = Rp 0
Jariyah = Rp 0
Daftar Ulang = Rp 0
Total = Rp 0
______________________
ID : </v>
      </c>
      <c r="E318" s="14" t="str">
        <f>TEXTVALUE!P318</f>
        <v>Rp 0</v>
      </c>
      <c r="F318" s="14"/>
    </row>
    <row r="319">
      <c r="A319" s="14" t="str">
        <f>$E$1&amp;""&amp;TEXTVALUE!H319</f>
        <v>+</v>
      </c>
      <c r="B319" s="14" t="str">
        <f>TEXTVALUE!B319</f>
        <v/>
      </c>
      <c r="C319" s="14" t="str">
        <f>TEXTVALUE!$E$1&amp;" : "&amp;TEXTVALUE!E319&amp;"
"&amp;TEXTVALUE!$G$1&amp;" : "&amp;TEXTVALUE!G319</f>
        <v>KAMAR : 
MADRASIAH : </v>
      </c>
      <c r="D319" s="14" t="str">
        <f>TEXTVALUE!Q319</f>
        <v>Syahriyah = Rp 0
Jariyah = Rp 0
Daftar Ulang = Rp 0
Total = Rp 0
______________________
ID : </v>
      </c>
      <c r="E319" s="14" t="str">
        <f>TEXTVALUE!P319</f>
        <v>Rp 0</v>
      </c>
      <c r="F319" s="14"/>
    </row>
    <row r="320">
      <c r="A320" s="14" t="str">
        <f>$E$1&amp;""&amp;TEXTVALUE!H320</f>
        <v>+</v>
      </c>
      <c r="B320" s="14" t="str">
        <f>TEXTVALUE!B320</f>
        <v/>
      </c>
      <c r="C320" s="14" t="str">
        <f>TEXTVALUE!$E$1&amp;" : "&amp;TEXTVALUE!E320&amp;"
"&amp;TEXTVALUE!$G$1&amp;" : "&amp;TEXTVALUE!G320</f>
        <v>KAMAR : 
MADRASIAH : </v>
      </c>
      <c r="D320" s="14" t="str">
        <f>TEXTVALUE!Q320</f>
        <v>Syahriyah = Rp 0
Jariyah = Rp 0
Daftar Ulang = Rp 0
Total = Rp 0
______________________
ID : </v>
      </c>
      <c r="E320" s="14" t="str">
        <f>TEXTVALUE!P320</f>
        <v>Rp 0</v>
      </c>
      <c r="F320" s="14"/>
    </row>
    <row r="321">
      <c r="A321" s="14" t="str">
        <f>$E$1&amp;""&amp;TEXTVALUE!H321</f>
        <v>+</v>
      </c>
      <c r="B321" s="14" t="str">
        <f>TEXTVALUE!B321</f>
        <v/>
      </c>
      <c r="C321" s="14" t="str">
        <f>TEXTVALUE!$E$1&amp;" : "&amp;TEXTVALUE!E321&amp;"
"&amp;TEXTVALUE!$G$1&amp;" : "&amp;TEXTVALUE!G321</f>
        <v>KAMAR : 
MADRASIAH : </v>
      </c>
      <c r="D321" s="14" t="str">
        <f>TEXTVALUE!Q321</f>
        <v>Syahriyah = Rp 0
Jariyah = Rp 0
Daftar Ulang = Rp 0
Total = Rp 0
______________________
ID : </v>
      </c>
      <c r="E321" s="14" t="str">
        <f>TEXTVALUE!P321</f>
        <v>Rp 0</v>
      </c>
      <c r="F321" s="14"/>
    </row>
    <row r="322">
      <c r="A322" s="14" t="str">
        <f>$E$1&amp;""&amp;TEXTVALUE!H322</f>
        <v>+</v>
      </c>
      <c r="B322" s="14" t="str">
        <f>TEXTVALUE!B322</f>
        <v/>
      </c>
      <c r="C322" s="14" t="str">
        <f>TEXTVALUE!$E$1&amp;" : "&amp;TEXTVALUE!E322&amp;"
"&amp;TEXTVALUE!$G$1&amp;" : "&amp;TEXTVALUE!G322</f>
        <v>KAMAR : 
MADRASIAH : </v>
      </c>
      <c r="D322" s="14" t="str">
        <f>TEXTVALUE!Q322</f>
        <v>Syahriyah = Rp 0
Jariyah = Rp 0
Daftar Ulang = Rp 0
Total = Rp 0
______________________
ID : </v>
      </c>
      <c r="E322" s="14" t="str">
        <f>TEXTVALUE!P322</f>
        <v>Rp 0</v>
      </c>
      <c r="F322" s="14"/>
    </row>
    <row r="323">
      <c r="A323" s="14" t="str">
        <f>$E$1&amp;""&amp;TEXTVALUE!H323</f>
        <v>+</v>
      </c>
      <c r="B323" s="14" t="str">
        <f>TEXTVALUE!B323</f>
        <v/>
      </c>
      <c r="C323" s="14" t="str">
        <f>TEXTVALUE!$E$1&amp;" : "&amp;TEXTVALUE!E323&amp;"
"&amp;TEXTVALUE!$G$1&amp;" : "&amp;TEXTVALUE!G323</f>
        <v>KAMAR : 
MADRASIAH : </v>
      </c>
      <c r="D323" s="14" t="str">
        <f>TEXTVALUE!Q323</f>
        <v>Syahriyah = Rp 0
Jariyah = Rp 0
Daftar Ulang = Rp 0
Total = Rp 0
______________________
ID : </v>
      </c>
      <c r="E323" s="14" t="str">
        <f>TEXTVALUE!P323</f>
        <v>Rp 0</v>
      </c>
      <c r="F323" s="14"/>
    </row>
    <row r="324">
      <c r="A324" s="14" t="str">
        <f>$E$1&amp;""&amp;TEXTVALUE!H324</f>
        <v>+</v>
      </c>
      <c r="B324" s="14" t="str">
        <f>TEXTVALUE!B324</f>
        <v/>
      </c>
      <c r="C324" s="14" t="str">
        <f>TEXTVALUE!$E$1&amp;" : "&amp;TEXTVALUE!E324&amp;"
"&amp;TEXTVALUE!$G$1&amp;" : "&amp;TEXTVALUE!G324</f>
        <v>KAMAR : 
MADRASIAH : </v>
      </c>
      <c r="D324" s="14" t="str">
        <f>TEXTVALUE!Q324</f>
        <v>Syahriyah = Rp 0
Jariyah = Rp 0
Daftar Ulang = Rp 0
Total = Rp 0
______________________
ID : </v>
      </c>
      <c r="E324" s="14" t="str">
        <f>TEXTVALUE!P324</f>
        <v>Rp 0</v>
      </c>
      <c r="F324" s="14"/>
    </row>
    <row r="325">
      <c r="A325" s="14" t="str">
        <f>$E$1&amp;""&amp;TEXTVALUE!H325</f>
        <v>+</v>
      </c>
      <c r="B325" s="14" t="str">
        <f>TEXTVALUE!B325</f>
        <v/>
      </c>
      <c r="C325" s="14" t="str">
        <f>TEXTVALUE!$E$1&amp;" : "&amp;TEXTVALUE!E325&amp;"
"&amp;TEXTVALUE!$G$1&amp;" : "&amp;TEXTVALUE!G325</f>
        <v>KAMAR : 
MADRASIAH : </v>
      </c>
      <c r="D325" s="14" t="str">
        <f>TEXTVALUE!Q325</f>
        <v>Syahriyah = Rp 0
Jariyah = Rp 0
Daftar Ulang = Rp 0
Total = Rp 0
______________________
ID : </v>
      </c>
      <c r="E325" s="14" t="str">
        <f>TEXTVALUE!P325</f>
        <v>Rp 0</v>
      </c>
      <c r="F325" s="14"/>
    </row>
    <row r="326">
      <c r="A326" s="14" t="str">
        <f>$E$1&amp;""&amp;TEXTVALUE!H326</f>
        <v>+</v>
      </c>
      <c r="B326" s="14" t="str">
        <f>TEXTVALUE!B326</f>
        <v/>
      </c>
      <c r="C326" s="14" t="str">
        <f>TEXTVALUE!$E$1&amp;" : "&amp;TEXTVALUE!E326&amp;"
"&amp;TEXTVALUE!$G$1&amp;" : "&amp;TEXTVALUE!G326</f>
        <v>KAMAR : 
MADRASIAH : </v>
      </c>
      <c r="D326" s="14" t="str">
        <f>TEXTVALUE!Q326</f>
        <v>Syahriyah = Rp 0
Jariyah = Rp 0
Daftar Ulang = Rp 0
Total = Rp 0
______________________
ID : </v>
      </c>
      <c r="E326" s="14" t="str">
        <f>TEXTVALUE!P326</f>
        <v>Rp 0</v>
      </c>
      <c r="F326" s="14"/>
    </row>
    <row r="327">
      <c r="A327" s="14" t="str">
        <f>$E$1&amp;""&amp;TEXTVALUE!H327</f>
        <v>+</v>
      </c>
      <c r="B327" s="14" t="str">
        <f>TEXTVALUE!B327</f>
        <v/>
      </c>
      <c r="C327" s="14" t="str">
        <f>TEXTVALUE!$E$1&amp;" : "&amp;TEXTVALUE!E327&amp;"
"&amp;TEXTVALUE!$G$1&amp;" : "&amp;TEXTVALUE!G327</f>
        <v>KAMAR : 
MADRASIAH : </v>
      </c>
      <c r="D327" s="14" t="str">
        <f>TEXTVALUE!Q327</f>
        <v>Syahriyah = Rp 0
Jariyah = Rp 0
Daftar Ulang = Rp 0
Total = Rp 0
______________________
ID : </v>
      </c>
      <c r="E327" s="14" t="str">
        <f>TEXTVALUE!P327</f>
        <v>Rp 0</v>
      </c>
      <c r="F327" s="14"/>
    </row>
    <row r="328">
      <c r="A328" s="14" t="str">
        <f>$E$1&amp;""&amp;TEXTVALUE!H328</f>
        <v>+</v>
      </c>
      <c r="B328" s="14" t="str">
        <f>TEXTVALUE!B328</f>
        <v/>
      </c>
      <c r="C328" s="14" t="str">
        <f>TEXTVALUE!$E$1&amp;" : "&amp;TEXTVALUE!E328&amp;"
"&amp;TEXTVALUE!$G$1&amp;" : "&amp;TEXTVALUE!G328</f>
        <v>KAMAR : 
MADRASIAH : </v>
      </c>
      <c r="D328" s="14" t="str">
        <f>TEXTVALUE!Q328</f>
        <v>Syahriyah = Rp 0
Jariyah = Rp 0
Daftar Ulang = Rp 0
Total = Rp 0
______________________
ID : </v>
      </c>
      <c r="E328" s="14" t="str">
        <f>TEXTVALUE!P328</f>
        <v>Rp 0</v>
      </c>
      <c r="F328" s="14"/>
    </row>
    <row r="329">
      <c r="A329" s="14" t="str">
        <f>$E$1&amp;""&amp;TEXTVALUE!H329</f>
        <v>+</v>
      </c>
      <c r="B329" s="14" t="str">
        <f>TEXTVALUE!B329</f>
        <v/>
      </c>
      <c r="C329" s="14" t="str">
        <f>TEXTVALUE!$E$1&amp;" : "&amp;TEXTVALUE!E329&amp;"
"&amp;TEXTVALUE!$G$1&amp;" : "&amp;TEXTVALUE!G329</f>
        <v>KAMAR : 
MADRASIAH : </v>
      </c>
      <c r="D329" s="14" t="str">
        <f>TEXTVALUE!Q329</f>
        <v>Syahriyah = Rp 0
Jariyah = Rp 0
Daftar Ulang = Rp 0
Total = Rp 0
______________________
ID : </v>
      </c>
      <c r="E329" s="14" t="str">
        <f>TEXTVALUE!P329</f>
        <v>Rp 0</v>
      </c>
      <c r="F329" s="14"/>
    </row>
    <row r="330">
      <c r="A330" s="14" t="str">
        <f>$E$1&amp;""&amp;TEXTVALUE!H330</f>
        <v>+</v>
      </c>
      <c r="B330" s="14" t="str">
        <f>TEXTVALUE!B330</f>
        <v/>
      </c>
      <c r="C330" s="14" t="str">
        <f>TEXTVALUE!$E$1&amp;" : "&amp;TEXTVALUE!E330&amp;"
"&amp;TEXTVALUE!$G$1&amp;" : "&amp;TEXTVALUE!G330</f>
        <v>KAMAR : 
MADRASIAH : </v>
      </c>
      <c r="D330" s="14" t="str">
        <f>TEXTVALUE!Q330</f>
        <v>Syahriyah = Rp 0
Jariyah = Rp 0
Daftar Ulang = Rp 0
Total = Rp 0
______________________
ID : </v>
      </c>
      <c r="E330" s="14" t="str">
        <f>TEXTVALUE!P330</f>
        <v>Rp 0</v>
      </c>
      <c r="F330" s="14"/>
    </row>
    <row r="331">
      <c r="A331" s="14" t="str">
        <f>$E$1&amp;""&amp;TEXTVALUE!H331</f>
        <v>+</v>
      </c>
      <c r="B331" s="14" t="str">
        <f>TEXTVALUE!B331</f>
        <v/>
      </c>
      <c r="C331" s="14" t="str">
        <f>TEXTVALUE!$E$1&amp;" : "&amp;TEXTVALUE!E331&amp;"
"&amp;TEXTVALUE!$G$1&amp;" : "&amp;TEXTVALUE!G331</f>
        <v>KAMAR : 
MADRASIAH : </v>
      </c>
      <c r="D331" s="14" t="str">
        <f>TEXTVALUE!Q331</f>
        <v>Syahriyah = Rp 0
Jariyah = Rp 0
Daftar Ulang = Rp 0
Total = Rp 0
______________________
ID : </v>
      </c>
      <c r="E331" s="14" t="str">
        <f>TEXTVALUE!P331</f>
        <v>Rp 0</v>
      </c>
      <c r="F331" s="14"/>
    </row>
    <row r="332">
      <c r="A332" s="14" t="str">
        <f>$E$1&amp;""&amp;TEXTVALUE!H332</f>
        <v>+</v>
      </c>
      <c r="B332" s="14" t="str">
        <f>TEXTVALUE!B332</f>
        <v/>
      </c>
      <c r="C332" s="14" t="str">
        <f>TEXTVALUE!$E$1&amp;" : "&amp;TEXTVALUE!E332&amp;"
"&amp;TEXTVALUE!$G$1&amp;" : "&amp;TEXTVALUE!G332</f>
        <v>KAMAR : 
MADRASIAH : </v>
      </c>
      <c r="D332" s="14" t="str">
        <f>TEXTVALUE!Q332</f>
        <v>Syahriyah = Rp 0
Jariyah = Rp 0
Daftar Ulang = Rp 0
Total = Rp 0
______________________
ID : </v>
      </c>
      <c r="E332" s="14" t="str">
        <f>TEXTVALUE!P332</f>
        <v>Rp 0</v>
      </c>
      <c r="F332" s="14"/>
    </row>
    <row r="333">
      <c r="A333" s="14" t="str">
        <f>$E$1&amp;""&amp;TEXTVALUE!H333</f>
        <v>+</v>
      </c>
      <c r="B333" s="14" t="str">
        <f>TEXTVALUE!B333</f>
        <v/>
      </c>
      <c r="C333" s="14" t="str">
        <f>TEXTVALUE!$E$1&amp;" : "&amp;TEXTVALUE!E333&amp;"
"&amp;TEXTVALUE!$G$1&amp;" : "&amp;TEXTVALUE!G333</f>
        <v>KAMAR : 
MADRASIAH : </v>
      </c>
      <c r="D333" s="14" t="str">
        <f>TEXTVALUE!Q333</f>
        <v>Syahriyah = Rp 0
Jariyah = Rp 0
Daftar Ulang = Rp 0
Total = Rp 0
______________________
ID : </v>
      </c>
      <c r="E333" s="14" t="str">
        <f>TEXTVALUE!P333</f>
        <v>Rp 0</v>
      </c>
      <c r="F333" s="14"/>
    </row>
    <row r="334">
      <c r="A334" s="14" t="str">
        <f>$E$1&amp;""&amp;TEXTVALUE!H334</f>
        <v>+</v>
      </c>
      <c r="B334" s="14" t="str">
        <f>TEXTVALUE!B334</f>
        <v/>
      </c>
      <c r="C334" s="14" t="str">
        <f>TEXTVALUE!$E$1&amp;" : "&amp;TEXTVALUE!E334&amp;"
"&amp;TEXTVALUE!$G$1&amp;" : "&amp;TEXTVALUE!G334</f>
        <v>KAMAR : 
MADRASIAH : </v>
      </c>
      <c r="D334" s="14" t="str">
        <f>TEXTVALUE!Q334</f>
        <v>Syahriyah = Rp 0
Jariyah = Rp 0
Daftar Ulang = Rp 0
Total = Rp 0
______________________
ID : </v>
      </c>
      <c r="E334" s="14" t="str">
        <f>TEXTVALUE!P334</f>
        <v>Rp 0</v>
      </c>
      <c r="F334" s="14"/>
    </row>
    <row r="335">
      <c r="A335" s="14" t="str">
        <f>$E$1&amp;""&amp;TEXTVALUE!H335</f>
        <v>+</v>
      </c>
      <c r="B335" s="14" t="str">
        <f>TEXTVALUE!B335</f>
        <v/>
      </c>
      <c r="C335" s="14" t="str">
        <f>TEXTVALUE!$E$1&amp;" : "&amp;TEXTVALUE!E335&amp;"
"&amp;TEXTVALUE!$G$1&amp;" : "&amp;TEXTVALUE!G335</f>
        <v>KAMAR : 
MADRASIAH : </v>
      </c>
      <c r="D335" s="14" t="str">
        <f>TEXTVALUE!Q335</f>
        <v>Syahriyah = Rp 0
Jariyah = Rp 0
Daftar Ulang = Rp 0
Total = Rp 0
______________________
ID : </v>
      </c>
      <c r="E335" s="14" t="str">
        <f>TEXTVALUE!P335</f>
        <v>Rp 0</v>
      </c>
      <c r="F335" s="14"/>
    </row>
    <row r="336">
      <c r="A336" s="14" t="str">
        <f>$E$1&amp;""&amp;TEXTVALUE!H336</f>
        <v>+</v>
      </c>
      <c r="B336" s="14" t="str">
        <f>TEXTVALUE!B336</f>
        <v/>
      </c>
      <c r="C336" s="14" t="str">
        <f>TEXTVALUE!$E$1&amp;" : "&amp;TEXTVALUE!E336&amp;"
"&amp;TEXTVALUE!$G$1&amp;" : "&amp;TEXTVALUE!G336</f>
        <v>KAMAR : 
MADRASIAH : </v>
      </c>
      <c r="D336" s="14" t="str">
        <f>TEXTVALUE!Q336</f>
        <v>Syahriyah = Rp 0
Jariyah = Rp 0
Daftar Ulang = Rp 0
Total = Rp 0
______________________
ID : </v>
      </c>
      <c r="E336" s="14" t="str">
        <f>TEXTVALUE!P336</f>
        <v>Rp 0</v>
      </c>
      <c r="F336" s="14"/>
    </row>
    <row r="337">
      <c r="A337" s="14" t="str">
        <f>$E$1&amp;""&amp;TEXTVALUE!H337</f>
        <v>+</v>
      </c>
      <c r="B337" s="14" t="str">
        <f>TEXTVALUE!B337</f>
        <v/>
      </c>
      <c r="C337" s="14" t="str">
        <f>TEXTVALUE!$E$1&amp;" : "&amp;TEXTVALUE!E337&amp;"
"&amp;TEXTVALUE!$G$1&amp;" : "&amp;TEXTVALUE!G337</f>
        <v>KAMAR : 
MADRASIAH : </v>
      </c>
      <c r="D337" s="14" t="str">
        <f>TEXTVALUE!Q337</f>
        <v>Syahriyah = Rp 0
Jariyah = Rp 0
Daftar Ulang = Rp 0
Total = Rp 0
______________________
ID : </v>
      </c>
      <c r="E337" s="14" t="str">
        <f>TEXTVALUE!P337</f>
        <v>Rp 0</v>
      </c>
      <c r="F337" s="14"/>
    </row>
    <row r="338">
      <c r="A338" s="14" t="str">
        <f>$E$1&amp;""&amp;TEXTVALUE!H338</f>
        <v>+</v>
      </c>
      <c r="B338" s="14" t="str">
        <f>TEXTVALUE!B338</f>
        <v/>
      </c>
      <c r="C338" s="14" t="str">
        <f>TEXTVALUE!$E$1&amp;" : "&amp;TEXTVALUE!E338&amp;"
"&amp;TEXTVALUE!$G$1&amp;" : "&amp;TEXTVALUE!G338</f>
        <v>KAMAR : 
MADRASIAH : </v>
      </c>
      <c r="D338" s="14" t="str">
        <f>TEXTVALUE!Q338</f>
        <v>Syahriyah = Rp 0
Jariyah = Rp 0
Daftar Ulang = Rp 0
Total = Rp 0
______________________
ID : </v>
      </c>
      <c r="E338" s="14" t="str">
        <f>TEXTVALUE!P338</f>
        <v>Rp 0</v>
      </c>
      <c r="F338" s="14"/>
    </row>
    <row r="339">
      <c r="A339" s="14" t="str">
        <f>$E$1&amp;""&amp;TEXTVALUE!H339</f>
        <v>+</v>
      </c>
      <c r="B339" s="14" t="str">
        <f>TEXTVALUE!B339</f>
        <v/>
      </c>
      <c r="C339" s="14" t="str">
        <f>TEXTVALUE!$E$1&amp;" : "&amp;TEXTVALUE!E339&amp;"
"&amp;TEXTVALUE!$G$1&amp;" : "&amp;TEXTVALUE!G339</f>
        <v>KAMAR : 
MADRASIAH : </v>
      </c>
      <c r="D339" s="14" t="str">
        <f>TEXTVALUE!Q339</f>
        <v>Syahriyah = Rp 0
Jariyah = Rp 0
Daftar Ulang = Rp 0
Total = Rp 0
______________________
ID : </v>
      </c>
      <c r="E339" s="14" t="str">
        <f>TEXTVALUE!P339</f>
        <v>Rp 0</v>
      </c>
      <c r="F339" s="14"/>
    </row>
    <row r="340">
      <c r="A340" s="14" t="str">
        <f>$E$1&amp;""&amp;TEXTVALUE!H340</f>
        <v>+</v>
      </c>
      <c r="B340" s="14" t="str">
        <f>TEXTVALUE!B340</f>
        <v/>
      </c>
      <c r="C340" s="14" t="str">
        <f>TEXTVALUE!$E$1&amp;" : "&amp;TEXTVALUE!E340&amp;"
"&amp;TEXTVALUE!$G$1&amp;" : "&amp;TEXTVALUE!G340</f>
        <v>KAMAR : 
MADRASIAH : </v>
      </c>
      <c r="D340" s="14" t="str">
        <f>TEXTVALUE!Q340</f>
        <v>Syahriyah = Rp 0
Jariyah = Rp 0
Daftar Ulang = Rp 0
Total = Rp 0
______________________
ID : </v>
      </c>
      <c r="E340" s="14" t="str">
        <f>TEXTVALUE!P340</f>
        <v>Rp 0</v>
      </c>
      <c r="F340" s="14"/>
    </row>
    <row r="341">
      <c r="A341" s="14" t="str">
        <f>$E$1&amp;""&amp;TEXTVALUE!H341</f>
        <v>+</v>
      </c>
      <c r="B341" s="14" t="str">
        <f>TEXTVALUE!B341</f>
        <v/>
      </c>
      <c r="C341" s="14" t="str">
        <f>TEXTVALUE!$E$1&amp;" : "&amp;TEXTVALUE!E341&amp;"
"&amp;TEXTVALUE!$G$1&amp;" : "&amp;TEXTVALUE!G341</f>
        <v>KAMAR : 
MADRASIAH : </v>
      </c>
      <c r="D341" s="14" t="str">
        <f>TEXTVALUE!Q341</f>
        <v>Syahriyah = Rp 0
Jariyah = Rp 0
Daftar Ulang = Rp 0
Total = Rp 0
______________________
ID : </v>
      </c>
      <c r="E341" s="14" t="str">
        <f>TEXTVALUE!P341</f>
        <v>Rp 0</v>
      </c>
      <c r="F341" s="14"/>
    </row>
    <row r="342">
      <c r="A342" s="14" t="str">
        <f>$E$1&amp;""&amp;TEXTVALUE!H342</f>
        <v>+</v>
      </c>
      <c r="B342" s="14" t="str">
        <f>TEXTVALUE!B342</f>
        <v/>
      </c>
      <c r="C342" s="14" t="str">
        <f>TEXTVALUE!$E$1&amp;" : "&amp;TEXTVALUE!E342&amp;"
"&amp;TEXTVALUE!$G$1&amp;" : "&amp;TEXTVALUE!G342</f>
        <v>KAMAR : 
MADRASIAH : </v>
      </c>
      <c r="D342" s="14" t="str">
        <f>TEXTVALUE!Q342</f>
        <v>Syahriyah = Rp 0
Jariyah = Rp 0
Daftar Ulang = Rp 0
Total = Rp 0
______________________
ID : </v>
      </c>
      <c r="E342" s="14" t="str">
        <f>TEXTVALUE!P342</f>
        <v>Rp 0</v>
      </c>
      <c r="F342" s="14"/>
    </row>
    <row r="343">
      <c r="A343" s="14" t="str">
        <f>$E$1&amp;""&amp;TEXTVALUE!H343</f>
        <v>+</v>
      </c>
      <c r="B343" s="14" t="str">
        <f>TEXTVALUE!B343</f>
        <v/>
      </c>
      <c r="C343" s="14" t="str">
        <f>TEXTVALUE!$E$1&amp;" : "&amp;TEXTVALUE!E343&amp;"
"&amp;TEXTVALUE!$G$1&amp;" : "&amp;TEXTVALUE!G343</f>
        <v>KAMAR : 
MADRASIAH : </v>
      </c>
      <c r="D343" s="14" t="str">
        <f>TEXTVALUE!Q343</f>
        <v>Syahriyah = Rp 0
Jariyah = Rp 0
Daftar Ulang = Rp 0
Total = Rp 0
______________________
ID : </v>
      </c>
      <c r="E343" s="14" t="str">
        <f>TEXTVALUE!P343</f>
        <v>Rp 0</v>
      </c>
      <c r="F343" s="14"/>
    </row>
    <row r="344">
      <c r="A344" s="14" t="str">
        <f>$E$1&amp;""&amp;TEXTVALUE!H344</f>
        <v>+</v>
      </c>
      <c r="B344" s="14" t="str">
        <f>TEXTVALUE!B344</f>
        <v/>
      </c>
      <c r="C344" s="14" t="str">
        <f>TEXTVALUE!$E$1&amp;" : "&amp;TEXTVALUE!E344&amp;"
"&amp;TEXTVALUE!$G$1&amp;" : "&amp;TEXTVALUE!G344</f>
        <v>KAMAR : 
MADRASIAH : </v>
      </c>
      <c r="D344" s="14" t="str">
        <f>TEXTVALUE!Q344</f>
        <v>Syahriyah = Rp 0
Jariyah = Rp 0
Daftar Ulang = Rp 0
Total = Rp 0
______________________
ID : </v>
      </c>
      <c r="E344" s="14" t="str">
        <f>TEXTVALUE!P344</f>
        <v>Rp 0</v>
      </c>
      <c r="F344" s="14"/>
    </row>
    <row r="345">
      <c r="A345" s="14" t="str">
        <f>$E$1&amp;""&amp;TEXTVALUE!H345</f>
        <v>+</v>
      </c>
      <c r="B345" s="14" t="str">
        <f>TEXTVALUE!B345</f>
        <v/>
      </c>
      <c r="C345" s="14" t="str">
        <f>TEXTVALUE!$E$1&amp;" : "&amp;TEXTVALUE!E345&amp;"
"&amp;TEXTVALUE!$G$1&amp;" : "&amp;TEXTVALUE!G345</f>
        <v>KAMAR : 
MADRASIAH : </v>
      </c>
      <c r="D345" s="14" t="str">
        <f>TEXTVALUE!Q345</f>
        <v>Syahriyah = Rp 0
Jariyah = Rp 0
Daftar Ulang = Rp 0
Total = Rp 0
______________________
ID : </v>
      </c>
      <c r="E345" s="14" t="str">
        <f>TEXTVALUE!P345</f>
        <v>Rp 0</v>
      </c>
      <c r="F345" s="14"/>
    </row>
    <row r="346">
      <c r="A346" s="14" t="str">
        <f>$E$1&amp;""&amp;TEXTVALUE!H346</f>
        <v>+</v>
      </c>
      <c r="B346" s="14" t="str">
        <f>TEXTVALUE!B346</f>
        <v/>
      </c>
      <c r="C346" s="14" t="str">
        <f>TEXTVALUE!$E$1&amp;" : "&amp;TEXTVALUE!E346&amp;"
"&amp;TEXTVALUE!$G$1&amp;" : "&amp;TEXTVALUE!G346</f>
        <v>KAMAR : 
MADRASIAH : </v>
      </c>
      <c r="D346" s="14" t="str">
        <f>TEXTVALUE!Q346</f>
        <v>Syahriyah = Rp 0
Jariyah = Rp 0
Daftar Ulang = Rp 0
Total = Rp 0
______________________
ID : </v>
      </c>
      <c r="E346" s="14" t="str">
        <f>TEXTVALUE!P346</f>
        <v>Rp 0</v>
      </c>
      <c r="F346" s="14"/>
    </row>
    <row r="347">
      <c r="A347" s="14" t="str">
        <f>$E$1&amp;""&amp;TEXTVALUE!H347</f>
        <v>+</v>
      </c>
      <c r="B347" s="14" t="str">
        <f>TEXTVALUE!B347</f>
        <v/>
      </c>
      <c r="C347" s="14" t="str">
        <f>TEXTVALUE!$E$1&amp;" : "&amp;TEXTVALUE!E347&amp;"
"&amp;TEXTVALUE!$G$1&amp;" : "&amp;TEXTVALUE!G347</f>
        <v>KAMAR : 
MADRASIAH : </v>
      </c>
      <c r="D347" s="14" t="str">
        <f>TEXTVALUE!Q347</f>
        <v>Syahriyah = Rp 0
Jariyah = Rp 0
Daftar Ulang = Rp 0
Total = Rp 0
______________________
ID : </v>
      </c>
      <c r="E347" s="14" t="str">
        <f>TEXTVALUE!P347</f>
        <v>Rp 0</v>
      </c>
      <c r="F347" s="14"/>
    </row>
    <row r="348">
      <c r="A348" s="14" t="str">
        <f>$E$1&amp;""&amp;TEXTVALUE!H348</f>
        <v>+</v>
      </c>
      <c r="B348" s="14" t="str">
        <f>TEXTVALUE!B348</f>
        <v/>
      </c>
      <c r="C348" s="14" t="str">
        <f>TEXTVALUE!$E$1&amp;" : "&amp;TEXTVALUE!E348&amp;"
"&amp;TEXTVALUE!$G$1&amp;" : "&amp;TEXTVALUE!G348</f>
        <v>KAMAR : 
MADRASIAH : </v>
      </c>
      <c r="D348" s="14" t="str">
        <f>TEXTVALUE!Q348</f>
        <v>Syahriyah = Rp 0
Jariyah = Rp 0
Daftar Ulang = Rp 0
Total = Rp 0
______________________
ID : </v>
      </c>
      <c r="E348" s="14" t="str">
        <f>TEXTVALUE!P348</f>
        <v>Rp 0</v>
      </c>
      <c r="F348" s="14"/>
    </row>
    <row r="349">
      <c r="A349" s="14" t="str">
        <f>$E$1&amp;""&amp;TEXTVALUE!H349</f>
        <v>+</v>
      </c>
      <c r="B349" s="14" t="str">
        <f>TEXTVALUE!B349</f>
        <v/>
      </c>
      <c r="C349" s="14" t="str">
        <f>TEXTVALUE!$E$1&amp;" : "&amp;TEXTVALUE!E349&amp;"
"&amp;TEXTVALUE!$G$1&amp;" : "&amp;TEXTVALUE!G349</f>
        <v>KAMAR : 
MADRASIAH : </v>
      </c>
      <c r="D349" s="14" t="str">
        <f>TEXTVALUE!Q349</f>
        <v>Syahriyah = Rp 0
Jariyah = Rp 0
Daftar Ulang = Rp 0
Total = Rp 0
______________________
ID : </v>
      </c>
      <c r="E349" s="14" t="str">
        <f>TEXTVALUE!P349</f>
        <v>Rp 0</v>
      </c>
      <c r="F349" s="14"/>
    </row>
    <row r="350">
      <c r="A350" s="14" t="str">
        <f>$E$1&amp;""&amp;TEXTVALUE!H350</f>
        <v>+</v>
      </c>
      <c r="B350" s="14" t="str">
        <f>TEXTVALUE!B350</f>
        <v/>
      </c>
      <c r="C350" s="14" t="str">
        <f>TEXTVALUE!$E$1&amp;" : "&amp;TEXTVALUE!E350&amp;"
"&amp;TEXTVALUE!$G$1&amp;" : "&amp;TEXTVALUE!G350</f>
        <v>KAMAR : 
MADRASIAH : </v>
      </c>
      <c r="D350" s="14" t="str">
        <f>TEXTVALUE!Q350</f>
        <v>Syahriyah = Rp 0
Jariyah = Rp 0
Daftar Ulang = Rp 0
Total = Rp 0
______________________
ID : </v>
      </c>
      <c r="E350" s="14" t="str">
        <f>TEXTVALUE!P350</f>
        <v>Rp 0</v>
      </c>
      <c r="F350" s="14"/>
    </row>
    <row r="351">
      <c r="A351" s="14" t="str">
        <f>$E$1&amp;""&amp;TEXTVALUE!H351</f>
        <v>+</v>
      </c>
      <c r="B351" s="14" t="str">
        <f>TEXTVALUE!B351</f>
        <v/>
      </c>
      <c r="C351" s="14" t="str">
        <f>TEXTVALUE!$E$1&amp;" : "&amp;TEXTVALUE!E351&amp;"
"&amp;TEXTVALUE!$G$1&amp;" : "&amp;TEXTVALUE!G351</f>
        <v>KAMAR : 
MADRASIAH : </v>
      </c>
      <c r="D351" s="14" t="str">
        <f>TEXTVALUE!Q351</f>
        <v>Syahriyah = Rp 0
Jariyah = Rp 0
Daftar Ulang = Rp 0
Total = Rp 0
______________________
ID : </v>
      </c>
      <c r="E351" s="14" t="str">
        <f>TEXTVALUE!P351</f>
        <v>Rp 0</v>
      </c>
      <c r="F351" s="14"/>
    </row>
    <row r="352">
      <c r="A352" s="14" t="str">
        <f>$E$1&amp;""&amp;TEXTVALUE!H352</f>
        <v>+</v>
      </c>
      <c r="B352" s="14" t="str">
        <f>TEXTVALUE!B352</f>
        <v/>
      </c>
      <c r="C352" s="14" t="str">
        <f>TEXTVALUE!$E$1&amp;" : "&amp;TEXTVALUE!E352&amp;"
"&amp;TEXTVALUE!$G$1&amp;" : "&amp;TEXTVALUE!G352</f>
        <v>KAMAR : 
MADRASIAH : </v>
      </c>
      <c r="D352" s="14" t="str">
        <f>TEXTVALUE!Q352</f>
        <v>Syahriyah = Rp 0
Jariyah = Rp 0
Daftar Ulang = Rp 0
Total = Rp 0
______________________
ID : </v>
      </c>
      <c r="E352" s="14" t="str">
        <f>TEXTVALUE!P352</f>
        <v>Rp 0</v>
      </c>
      <c r="F352" s="14"/>
    </row>
    <row r="353">
      <c r="A353" s="14" t="str">
        <f>$E$1&amp;""&amp;TEXTVALUE!H353</f>
        <v>+</v>
      </c>
      <c r="B353" s="14" t="str">
        <f>TEXTVALUE!B353</f>
        <v/>
      </c>
      <c r="C353" s="14" t="str">
        <f>TEXTVALUE!$E$1&amp;" : "&amp;TEXTVALUE!E353&amp;"
"&amp;TEXTVALUE!$G$1&amp;" : "&amp;TEXTVALUE!G353</f>
        <v>KAMAR : 
MADRASIAH : </v>
      </c>
      <c r="D353" s="14" t="str">
        <f>TEXTVALUE!Q353</f>
        <v>Syahriyah = Rp 0
Jariyah = Rp 0
Daftar Ulang = Rp 0
Total = Rp 0
______________________
ID : </v>
      </c>
      <c r="E353" s="14" t="str">
        <f>TEXTVALUE!P353</f>
        <v>Rp 0</v>
      </c>
      <c r="F353" s="14"/>
    </row>
    <row r="354">
      <c r="A354" s="14" t="str">
        <f>$E$1&amp;""&amp;TEXTVALUE!H354</f>
        <v>+</v>
      </c>
      <c r="B354" s="14" t="str">
        <f>TEXTVALUE!B354</f>
        <v/>
      </c>
      <c r="C354" s="14" t="str">
        <f>TEXTVALUE!$E$1&amp;" : "&amp;TEXTVALUE!E354&amp;"
"&amp;TEXTVALUE!$G$1&amp;" : "&amp;TEXTVALUE!G354</f>
        <v>KAMAR : 
MADRASIAH : </v>
      </c>
      <c r="D354" s="14" t="str">
        <f>TEXTVALUE!Q354</f>
        <v>Syahriyah = Rp 0
Jariyah = Rp 0
Daftar Ulang = Rp 0
Total = Rp 0
______________________
ID : </v>
      </c>
      <c r="E354" s="14" t="str">
        <f>TEXTVALUE!P354</f>
        <v>Rp 0</v>
      </c>
      <c r="F354" s="14"/>
    </row>
    <row r="355">
      <c r="A355" s="14" t="str">
        <f>$E$1&amp;""&amp;TEXTVALUE!H355</f>
        <v>+</v>
      </c>
      <c r="B355" s="14" t="str">
        <f>TEXTVALUE!B355</f>
        <v/>
      </c>
      <c r="C355" s="14" t="str">
        <f>TEXTVALUE!$E$1&amp;" : "&amp;TEXTVALUE!E355&amp;"
"&amp;TEXTVALUE!$G$1&amp;" : "&amp;TEXTVALUE!G355</f>
        <v>KAMAR : 
MADRASIAH : </v>
      </c>
      <c r="D355" s="14" t="str">
        <f>TEXTVALUE!Q355</f>
        <v>Syahriyah = Rp 0
Jariyah = Rp 0
Daftar Ulang = Rp 0
Total = Rp 0
______________________
ID : </v>
      </c>
      <c r="E355" s="14" t="str">
        <f>TEXTVALUE!P355</f>
        <v>Rp 0</v>
      </c>
      <c r="F355" s="14"/>
    </row>
    <row r="356">
      <c r="A356" s="14" t="str">
        <f>$E$1&amp;""&amp;TEXTVALUE!H356</f>
        <v>+</v>
      </c>
      <c r="B356" s="14" t="str">
        <f>TEXTVALUE!B356</f>
        <v/>
      </c>
      <c r="C356" s="14" t="str">
        <f>TEXTVALUE!$E$1&amp;" : "&amp;TEXTVALUE!E356&amp;"
"&amp;TEXTVALUE!$G$1&amp;" : "&amp;TEXTVALUE!G356</f>
        <v>KAMAR : 
MADRASIAH : </v>
      </c>
      <c r="D356" s="14" t="str">
        <f>TEXTVALUE!Q356</f>
        <v>Syahriyah = Rp 0
Jariyah = Rp 0
Daftar Ulang = Rp 0
Total = Rp 0
______________________
ID : </v>
      </c>
      <c r="E356" s="14" t="str">
        <f>TEXTVALUE!P356</f>
        <v>Rp 0</v>
      </c>
      <c r="F356" s="14"/>
    </row>
    <row r="357">
      <c r="A357" s="14" t="str">
        <f>$E$1&amp;""&amp;TEXTVALUE!H357</f>
        <v>+</v>
      </c>
      <c r="B357" s="14" t="str">
        <f>TEXTVALUE!B357</f>
        <v/>
      </c>
      <c r="C357" s="14" t="str">
        <f>TEXTVALUE!$E$1&amp;" : "&amp;TEXTVALUE!E357&amp;"
"&amp;TEXTVALUE!$G$1&amp;" : "&amp;TEXTVALUE!G357</f>
        <v>KAMAR : 
MADRASIAH : </v>
      </c>
      <c r="D357" s="14" t="str">
        <f>TEXTVALUE!Q357</f>
        <v>Syahriyah = Rp 0
Jariyah = Rp 0
Daftar Ulang = Rp 0
Total = Rp 0
______________________
ID : </v>
      </c>
      <c r="E357" s="14" t="str">
        <f>TEXTVALUE!P357</f>
        <v>Rp 0</v>
      </c>
      <c r="F357" s="14"/>
    </row>
    <row r="358">
      <c r="A358" s="14" t="str">
        <f>$E$1&amp;""&amp;TEXTVALUE!H358</f>
        <v>+</v>
      </c>
      <c r="B358" s="14" t="str">
        <f>TEXTVALUE!B358</f>
        <v/>
      </c>
      <c r="C358" s="14" t="str">
        <f>TEXTVALUE!$E$1&amp;" : "&amp;TEXTVALUE!E358&amp;"
"&amp;TEXTVALUE!$G$1&amp;" : "&amp;TEXTVALUE!G358</f>
        <v>KAMAR : 
MADRASIAH : </v>
      </c>
      <c r="D358" s="14" t="str">
        <f>TEXTVALUE!Q358</f>
        <v>Syahriyah = Rp 0
Jariyah = Rp 0
Daftar Ulang = Rp 0
Total = Rp 0
______________________
ID : </v>
      </c>
      <c r="E358" s="14" t="str">
        <f>TEXTVALUE!P358</f>
        <v>Rp 0</v>
      </c>
      <c r="F358" s="14"/>
    </row>
    <row r="359">
      <c r="A359" s="14" t="str">
        <f>$E$1&amp;""&amp;TEXTVALUE!H359</f>
        <v>+</v>
      </c>
      <c r="B359" s="14" t="str">
        <f>TEXTVALUE!B359</f>
        <v/>
      </c>
      <c r="C359" s="14" t="str">
        <f>TEXTVALUE!$E$1&amp;" : "&amp;TEXTVALUE!E359&amp;"
"&amp;TEXTVALUE!$G$1&amp;" : "&amp;TEXTVALUE!G359</f>
        <v>KAMAR : 
MADRASIAH : </v>
      </c>
      <c r="D359" s="14" t="str">
        <f>TEXTVALUE!Q359</f>
        <v>Syahriyah = Rp 0
Jariyah = Rp 0
Daftar Ulang = Rp 0
Total = Rp 0
______________________
ID : </v>
      </c>
      <c r="E359" s="14" t="str">
        <f>TEXTVALUE!P359</f>
        <v>Rp 0</v>
      </c>
      <c r="F359" s="14"/>
    </row>
    <row r="360">
      <c r="A360" s="14" t="str">
        <f>$E$1&amp;""&amp;TEXTVALUE!H360</f>
        <v>+</v>
      </c>
      <c r="B360" s="14" t="str">
        <f>TEXTVALUE!B360</f>
        <v/>
      </c>
      <c r="C360" s="14" t="str">
        <f>TEXTVALUE!$E$1&amp;" : "&amp;TEXTVALUE!E360&amp;"
"&amp;TEXTVALUE!$G$1&amp;" : "&amp;TEXTVALUE!G360</f>
        <v>KAMAR : 
MADRASIAH : </v>
      </c>
      <c r="D360" s="14" t="str">
        <f>TEXTVALUE!Q360</f>
        <v>Syahriyah = Rp 0
Jariyah = Rp 0
Daftar Ulang = Rp 0
Total = Rp 0
______________________
ID : </v>
      </c>
      <c r="E360" s="14" t="str">
        <f>TEXTVALUE!P360</f>
        <v>Rp 0</v>
      </c>
      <c r="F360" s="14"/>
    </row>
    <row r="361">
      <c r="A361" s="14" t="str">
        <f>$E$1&amp;""&amp;TEXTVALUE!H361</f>
        <v>+</v>
      </c>
      <c r="B361" s="14" t="str">
        <f>TEXTVALUE!B361</f>
        <v/>
      </c>
      <c r="C361" s="14" t="str">
        <f>TEXTVALUE!$E$1&amp;" : "&amp;TEXTVALUE!E361&amp;"
"&amp;TEXTVALUE!$G$1&amp;" : "&amp;TEXTVALUE!G361</f>
        <v>KAMAR : 
MADRASIAH : </v>
      </c>
      <c r="D361" s="14" t="str">
        <f>TEXTVALUE!Q361</f>
        <v>Syahriyah = Rp 0
Jariyah = Rp 0
Daftar Ulang = Rp 0
Total = Rp 0
______________________
ID : </v>
      </c>
      <c r="E361" s="14" t="str">
        <f>TEXTVALUE!P361</f>
        <v>Rp 0</v>
      </c>
      <c r="F361" s="14"/>
    </row>
    <row r="362">
      <c r="A362" s="14" t="str">
        <f>$E$1&amp;""&amp;TEXTVALUE!H362</f>
        <v>+</v>
      </c>
      <c r="B362" s="14" t="str">
        <f>TEXTVALUE!B362</f>
        <v/>
      </c>
      <c r="C362" s="14" t="str">
        <f>TEXTVALUE!$E$1&amp;" : "&amp;TEXTVALUE!E362&amp;"
"&amp;TEXTVALUE!$G$1&amp;" : "&amp;TEXTVALUE!G362</f>
        <v>KAMAR : 
MADRASIAH : </v>
      </c>
      <c r="D362" s="14" t="str">
        <f>TEXTVALUE!Q362</f>
        <v>Syahriyah = Rp 0
Jariyah = Rp 0
Daftar Ulang = Rp 0
Total = Rp 0
______________________
ID : </v>
      </c>
      <c r="E362" s="14" t="str">
        <f>TEXTVALUE!P362</f>
        <v>Rp 0</v>
      </c>
      <c r="F362" s="14"/>
    </row>
    <row r="363">
      <c r="A363" s="14" t="str">
        <f>$E$1&amp;""&amp;TEXTVALUE!H363</f>
        <v>+</v>
      </c>
      <c r="B363" s="14" t="str">
        <f>TEXTVALUE!B363</f>
        <v/>
      </c>
      <c r="C363" s="14" t="str">
        <f>TEXTVALUE!$E$1&amp;" : "&amp;TEXTVALUE!E363&amp;"
"&amp;TEXTVALUE!$G$1&amp;" : "&amp;TEXTVALUE!G363</f>
        <v>KAMAR : 
MADRASIAH : </v>
      </c>
      <c r="D363" s="14" t="str">
        <f>TEXTVALUE!Q363</f>
        <v>Syahriyah = Rp 0
Jariyah = Rp 0
Daftar Ulang = Rp 0
Total = Rp 0
______________________
ID : </v>
      </c>
      <c r="E363" s="14" t="str">
        <f>TEXTVALUE!P363</f>
        <v>Rp 0</v>
      </c>
      <c r="F363" s="14"/>
    </row>
    <row r="364">
      <c r="A364" s="14" t="str">
        <f>$E$1&amp;""&amp;TEXTVALUE!H364</f>
        <v>+</v>
      </c>
      <c r="B364" s="14" t="str">
        <f>TEXTVALUE!B364</f>
        <v/>
      </c>
      <c r="C364" s="14" t="str">
        <f>TEXTVALUE!$E$1&amp;" : "&amp;TEXTVALUE!E364&amp;"
"&amp;TEXTVALUE!$G$1&amp;" : "&amp;TEXTVALUE!G364</f>
        <v>KAMAR : 
MADRASIAH : </v>
      </c>
      <c r="D364" s="14" t="str">
        <f>TEXTVALUE!Q364</f>
        <v>Syahriyah = Rp 0
Jariyah = Rp 0
Daftar Ulang = Rp 0
Total = Rp 0
______________________
ID : </v>
      </c>
      <c r="E364" s="14" t="str">
        <f>TEXTVALUE!P364</f>
        <v>Rp 0</v>
      </c>
      <c r="F364" s="14"/>
    </row>
    <row r="365">
      <c r="A365" s="14" t="str">
        <f>$E$1&amp;""&amp;TEXTVALUE!H365</f>
        <v>+</v>
      </c>
      <c r="B365" s="14" t="str">
        <f>TEXTVALUE!B365</f>
        <v/>
      </c>
      <c r="C365" s="14" t="str">
        <f>TEXTVALUE!$E$1&amp;" : "&amp;TEXTVALUE!E365&amp;"
"&amp;TEXTVALUE!$G$1&amp;" : "&amp;TEXTVALUE!G365</f>
        <v>KAMAR : 
MADRASIAH : </v>
      </c>
      <c r="D365" s="14" t="str">
        <f>TEXTVALUE!Q365</f>
        <v>Syahriyah = Rp 0
Jariyah = Rp 0
Daftar Ulang = Rp 0
Total = Rp 0
______________________
ID : </v>
      </c>
      <c r="E365" s="14" t="str">
        <f>TEXTVALUE!P365</f>
        <v>Rp 0</v>
      </c>
      <c r="F365" s="14"/>
    </row>
    <row r="366">
      <c r="A366" s="14" t="str">
        <f>$E$1&amp;""&amp;TEXTVALUE!H366</f>
        <v>+</v>
      </c>
      <c r="B366" s="14" t="str">
        <f>TEXTVALUE!B366</f>
        <v/>
      </c>
      <c r="C366" s="14" t="str">
        <f>TEXTVALUE!$E$1&amp;" : "&amp;TEXTVALUE!E366&amp;"
"&amp;TEXTVALUE!$G$1&amp;" : "&amp;TEXTVALUE!G366</f>
        <v>KAMAR : 
MADRASIAH : </v>
      </c>
      <c r="D366" s="14" t="str">
        <f>TEXTVALUE!Q366</f>
        <v>Syahriyah = Rp 0
Jariyah = Rp 0
Daftar Ulang = Rp 0
Total = Rp 0
______________________
ID : </v>
      </c>
      <c r="E366" s="14" t="str">
        <f>TEXTVALUE!P366</f>
        <v>Rp 0</v>
      </c>
      <c r="F366" s="14"/>
    </row>
    <row r="367">
      <c r="A367" s="14" t="str">
        <f>$E$1&amp;""&amp;TEXTVALUE!H367</f>
        <v>+</v>
      </c>
      <c r="B367" s="14" t="str">
        <f>TEXTVALUE!B367</f>
        <v/>
      </c>
      <c r="C367" s="14" t="str">
        <f>TEXTVALUE!$E$1&amp;" : "&amp;TEXTVALUE!E367&amp;"
"&amp;TEXTVALUE!$G$1&amp;" : "&amp;TEXTVALUE!G367</f>
        <v>KAMAR : 
MADRASIAH : </v>
      </c>
      <c r="D367" s="14" t="str">
        <f>TEXTVALUE!Q367</f>
        <v>Syahriyah = Rp 0
Jariyah = Rp 0
Daftar Ulang = Rp 0
Total = Rp 0
______________________
ID : </v>
      </c>
      <c r="E367" s="14" t="str">
        <f>TEXTVALUE!P367</f>
        <v>Rp 0</v>
      </c>
      <c r="F367" s="14"/>
    </row>
    <row r="368">
      <c r="A368" s="14" t="str">
        <f>$E$1&amp;""&amp;TEXTVALUE!H368</f>
        <v>+</v>
      </c>
      <c r="B368" s="14" t="str">
        <f>TEXTVALUE!B368</f>
        <v/>
      </c>
      <c r="C368" s="14" t="str">
        <f>TEXTVALUE!$E$1&amp;" : "&amp;TEXTVALUE!E368&amp;"
"&amp;TEXTVALUE!$G$1&amp;" : "&amp;TEXTVALUE!G368</f>
        <v>KAMAR : 
MADRASIAH : </v>
      </c>
      <c r="D368" s="14" t="str">
        <f>TEXTVALUE!Q368</f>
        <v>Syahriyah = Rp 0
Jariyah = Rp 0
Daftar Ulang = Rp 0
Total = Rp 0
______________________
ID : </v>
      </c>
      <c r="E368" s="14" t="str">
        <f>TEXTVALUE!P368</f>
        <v>Rp 0</v>
      </c>
      <c r="F368" s="14"/>
    </row>
    <row r="369">
      <c r="A369" s="14" t="str">
        <f>$E$1&amp;""&amp;TEXTVALUE!H369</f>
        <v>+</v>
      </c>
      <c r="B369" s="14" t="str">
        <f>TEXTVALUE!B369</f>
        <v/>
      </c>
      <c r="C369" s="14" t="str">
        <f>TEXTVALUE!$E$1&amp;" : "&amp;TEXTVALUE!E369&amp;"
"&amp;TEXTVALUE!$G$1&amp;" : "&amp;TEXTVALUE!G369</f>
        <v>KAMAR : 
MADRASIAH : </v>
      </c>
      <c r="D369" s="14" t="str">
        <f>TEXTVALUE!Q369</f>
        <v>Syahriyah = Rp 0
Jariyah = Rp 0
Daftar Ulang = Rp 0
Total = Rp 0
______________________
ID : </v>
      </c>
      <c r="E369" s="14" t="str">
        <f>TEXTVALUE!P369</f>
        <v>Rp 0</v>
      </c>
      <c r="F369" s="14"/>
    </row>
    <row r="370">
      <c r="A370" s="14" t="str">
        <f>$E$1&amp;""&amp;TEXTVALUE!H370</f>
        <v>+</v>
      </c>
      <c r="B370" s="14" t="str">
        <f>TEXTVALUE!B370</f>
        <v/>
      </c>
      <c r="C370" s="14" t="str">
        <f>TEXTVALUE!$E$1&amp;" : "&amp;TEXTVALUE!E370&amp;"
"&amp;TEXTVALUE!$G$1&amp;" : "&amp;TEXTVALUE!G370</f>
        <v>KAMAR : 
MADRASIAH : </v>
      </c>
      <c r="D370" s="14" t="str">
        <f>TEXTVALUE!Q370</f>
        <v>Syahriyah = Rp 0
Jariyah = Rp 0
Daftar Ulang = Rp 0
Total = Rp 0
______________________
ID : </v>
      </c>
      <c r="E370" s="14" t="str">
        <f>TEXTVALUE!P370</f>
        <v>Rp 0</v>
      </c>
      <c r="F370" s="14"/>
    </row>
    <row r="371">
      <c r="A371" s="14" t="str">
        <f>$E$1&amp;""&amp;TEXTVALUE!H371</f>
        <v>+</v>
      </c>
      <c r="B371" s="14" t="str">
        <f>TEXTVALUE!B371</f>
        <v/>
      </c>
      <c r="C371" s="14" t="str">
        <f>TEXTVALUE!$E$1&amp;" : "&amp;TEXTVALUE!E371&amp;"
"&amp;TEXTVALUE!$G$1&amp;" : "&amp;TEXTVALUE!G371</f>
        <v>KAMAR : 
MADRASIAH : </v>
      </c>
      <c r="D371" s="14" t="str">
        <f>TEXTVALUE!Q371</f>
        <v>Syahriyah = Rp 0
Jariyah = Rp 0
Daftar Ulang = Rp 0
Total = Rp 0
______________________
ID : </v>
      </c>
      <c r="E371" s="14" t="str">
        <f>TEXTVALUE!P371</f>
        <v>Rp 0</v>
      </c>
      <c r="F371" s="14"/>
    </row>
    <row r="372">
      <c r="A372" s="14" t="str">
        <f>$E$1&amp;""&amp;TEXTVALUE!H372</f>
        <v>+</v>
      </c>
      <c r="B372" s="14" t="str">
        <f>TEXTVALUE!B372</f>
        <v/>
      </c>
      <c r="C372" s="14" t="str">
        <f>TEXTVALUE!$E$1&amp;" : "&amp;TEXTVALUE!E372&amp;"
"&amp;TEXTVALUE!$G$1&amp;" : "&amp;TEXTVALUE!G372</f>
        <v>KAMAR : 
MADRASIAH : </v>
      </c>
      <c r="D372" s="14" t="str">
        <f>TEXTVALUE!Q372</f>
        <v>Syahriyah = Rp 0
Jariyah = Rp 0
Daftar Ulang = Rp 0
Total = Rp 0
______________________
ID : </v>
      </c>
      <c r="E372" s="14" t="str">
        <f>TEXTVALUE!P372</f>
        <v>Rp 0</v>
      </c>
      <c r="F372" s="14"/>
    </row>
    <row r="373">
      <c r="A373" s="14" t="str">
        <f>$E$1&amp;""&amp;TEXTVALUE!H373</f>
        <v>+</v>
      </c>
      <c r="B373" s="14" t="str">
        <f>TEXTVALUE!B373</f>
        <v/>
      </c>
      <c r="C373" s="14" t="str">
        <f>TEXTVALUE!$E$1&amp;" : "&amp;TEXTVALUE!E373&amp;"
"&amp;TEXTVALUE!$G$1&amp;" : "&amp;TEXTVALUE!G373</f>
        <v>KAMAR : 
MADRASIAH : </v>
      </c>
      <c r="D373" s="14" t="str">
        <f>TEXTVALUE!Q373</f>
        <v>Syahriyah = Rp 0
Jariyah = Rp 0
Daftar Ulang = Rp 0
Total = Rp 0
______________________
ID : </v>
      </c>
      <c r="E373" s="14" t="str">
        <f>TEXTVALUE!P373</f>
        <v>Rp 0</v>
      </c>
      <c r="F373" s="14"/>
    </row>
    <row r="374">
      <c r="A374" s="14" t="str">
        <f>$E$1&amp;""&amp;TEXTVALUE!H374</f>
        <v>+</v>
      </c>
      <c r="B374" s="14" t="str">
        <f>TEXTVALUE!B374</f>
        <v/>
      </c>
      <c r="C374" s="14" t="str">
        <f>TEXTVALUE!$E$1&amp;" : "&amp;TEXTVALUE!E374&amp;"
"&amp;TEXTVALUE!$G$1&amp;" : "&amp;TEXTVALUE!G374</f>
        <v>KAMAR : 
MADRASIAH : </v>
      </c>
      <c r="D374" s="14" t="str">
        <f>TEXTVALUE!Q374</f>
        <v>Syahriyah = Rp 0
Jariyah = Rp 0
Daftar Ulang = Rp 0
Total = Rp 0
______________________
ID : </v>
      </c>
      <c r="E374" s="14" t="str">
        <f>TEXTVALUE!P374</f>
        <v>Rp 0</v>
      </c>
      <c r="F374" s="14"/>
    </row>
    <row r="375">
      <c r="A375" s="14" t="str">
        <f>$E$1&amp;""&amp;TEXTVALUE!H375</f>
        <v>+</v>
      </c>
      <c r="B375" s="14" t="str">
        <f>TEXTVALUE!B375</f>
        <v/>
      </c>
      <c r="C375" s="14" t="str">
        <f>TEXTVALUE!$E$1&amp;" : "&amp;TEXTVALUE!E375&amp;"
"&amp;TEXTVALUE!$G$1&amp;" : "&amp;TEXTVALUE!G375</f>
        <v>KAMAR : 
MADRASIAH : </v>
      </c>
      <c r="D375" s="14" t="str">
        <f>TEXTVALUE!Q375</f>
        <v>Syahriyah = Rp 0
Jariyah = Rp 0
Daftar Ulang = Rp 0
Total = Rp 0
______________________
ID : </v>
      </c>
      <c r="E375" s="14" t="str">
        <f>TEXTVALUE!P375</f>
        <v>Rp 0</v>
      </c>
      <c r="F375" s="14"/>
    </row>
    <row r="376">
      <c r="A376" s="14" t="str">
        <f>$E$1&amp;""&amp;TEXTVALUE!H376</f>
        <v>+</v>
      </c>
      <c r="B376" s="14" t="str">
        <f>TEXTVALUE!B376</f>
        <v/>
      </c>
      <c r="C376" s="14" t="str">
        <f>TEXTVALUE!$E$1&amp;" : "&amp;TEXTVALUE!E376&amp;"
"&amp;TEXTVALUE!$G$1&amp;" : "&amp;TEXTVALUE!G376</f>
        <v>KAMAR : 
MADRASIAH : </v>
      </c>
      <c r="D376" s="14" t="str">
        <f>TEXTVALUE!Q376</f>
        <v>Syahriyah = Rp 0
Jariyah = Rp 0
Daftar Ulang = Rp 0
Total = Rp 0
______________________
ID : </v>
      </c>
      <c r="E376" s="14" t="str">
        <f>TEXTVALUE!P376</f>
        <v>Rp 0</v>
      </c>
      <c r="F376" s="14"/>
    </row>
    <row r="377">
      <c r="A377" s="14" t="str">
        <f>$E$1&amp;""&amp;TEXTVALUE!H377</f>
        <v>+</v>
      </c>
      <c r="B377" s="14" t="str">
        <f>TEXTVALUE!B377</f>
        <v/>
      </c>
      <c r="C377" s="14" t="str">
        <f>TEXTVALUE!$E$1&amp;" : "&amp;TEXTVALUE!E377&amp;"
"&amp;TEXTVALUE!$G$1&amp;" : "&amp;TEXTVALUE!G377</f>
        <v>KAMAR : 
MADRASIAH : </v>
      </c>
      <c r="D377" s="14" t="str">
        <f>TEXTVALUE!Q377</f>
        <v>Syahriyah = Rp 0
Jariyah = Rp 0
Daftar Ulang = Rp 0
Total = Rp 0
______________________
ID : </v>
      </c>
      <c r="E377" s="14" t="str">
        <f>TEXTVALUE!P377</f>
        <v>Rp 0</v>
      </c>
      <c r="F377" s="14"/>
    </row>
    <row r="378">
      <c r="A378" s="14" t="str">
        <f>$E$1&amp;""&amp;TEXTVALUE!H378</f>
        <v>+</v>
      </c>
      <c r="B378" s="14" t="str">
        <f>TEXTVALUE!B378</f>
        <v/>
      </c>
      <c r="C378" s="14" t="str">
        <f>TEXTVALUE!$E$1&amp;" : "&amp;TEXTVALUE!E378&amp;"
"&amp;TEXTVALUE!$G$1&amp;" : "&amp;TEXTVALUE!G378</f>
        <v>KAMAR : 
MADRASIAH : </v>
      </c>
      <c r="D378" s="14" t="str">
        <f>TEXTVALUE!Q378</f>
        <v>Syahriyah = Rp 0
Jariyah = Rp 0
Daftar Ulang = Rp 0
Total = Rp 0
______________________
ID : </v>
      </c>
      <c r="E378" s="14" t="str">
        <f>TEXTVALUE!P378</f>
        <v>Rp 0</v>
      </c>
      <c r="F378" s="14"/>
    </row>
    <row r="379">
      <c r="A379" s="14" t="str">
        <f>$E$1&amp;""&amp;TEXTVALUE!H379</f>
        <v>+</v>
      </c>
      <c r="B379" s="14" t="str">
        <f>TEXTVALUE!B379</f>
        <v/>
      </c>
      <c r="C379" s="14" t="str">
        <f>TEXTVALUE!$E$1&amp;" : "&amp;TEXTVALUE!E379&amp;"
"&amp;TEXTVALUE!$G$1&amp;" : "&amp;TEXTVALUE!G379</f>
        <v>KAMAR : 
MADRASIAH : </v>
      </c>
      <c r="D379" s="14" t="str">
        <f>TEXTVALUE!Q379</f>
        <v>Syahriyah = Rp 0
Jariyah = Rp 0
Daftar Ulang = Rp 0
Total = Rp 0
______________________
ID : </v>
      </c>
      <c r="E379" s="14" t="str">
        <f>TEXTVALUE!P379</f>
        <v>Rp 0</v>
      </c>
      <c r="F379" s="14"/>
    </row>
    <row r="380">
      <c r="A380" s="14" t="str">
        <f>$E$1&amp;""&amp;TEXTVALUE!H380</f>
        <v>+</v>
      </c>
      <c r="B380" s="14" t="str">
        <f>TEXTVALUE!B380</f>
        <v/>
      </c>
      <c r="C380" s="14" t="str">
        <f>TEXTVALUE!$E$1&amp;" : "&amp;TEXTVALUE!E380&amp;"
"&amp;TEXTVALUE!$G$1&amp;" : "&amp;TEXTVALUE!G380</f>
        <v>KAMAR : 
MADRASIAH : </v>
      </c>
      <c r="D380" s="14" t="str">
        <f>TEXTVALUE!Q380</f>
        <v>Syahriyah = Rp 0
Jariyah = Rp 0
Daftar Ulang = Rp 0
Total = Rp 0
______________________
ID : </v>
      </c>
      <c r="E380" s="14" t="str">
        <f>TEXTVALUE!P380</f>
        <v>Rp 0</v>
      </c>
      <c r="F380" s="14"/>
    </row>
    <row r="381">
      <c r="A381" s="14" t="str">
        <f>$E$1&amp;""&amp;TEXTVALUE!H381</f>
        <v>+</v>
      </c>
      <c r="B381" s="14" t="str">
        <f>TEXTVALUE!B381</f>
        <v/>
      </c>
      <c r="C381" s="14" t="str">
        <f>TEXTVALUE!$E$1&amp;" : "&amp;TEXTVALUE!E381&amp;"
"&amp;TEXTVALUE!$G$1&amp;" : "&amp;TEXTVALUE!G381</f>
        <v>KAMAR : 
MADRASIAH : </v>
      </c>
      <c r="D381" s="14" t="str">
        <f>TEXTVALUE!Q381</f>
        <v>Syahriyah = Rp 0
Jariyah = Rp 0
Daftar Ulang = Rp 0
Total = Rp 0
______________________
ID : </v>
      </c>
      <c r="E381" s="14" t="str">
        <f>TEXTVALUE!P381</f>
        <v>Rp 0</v>
      </c>
      <c r="F381" s="14"/>
    </row>
    <row r="382">
      <c r="A382" s="14" t="str">
        <f>$E$1&amp;""&amp;TEXTVALUE!H382</f>
        <v>+</v>
      </c>
      <c r="B382" s="14" t="str">
        <f>TEXTVALUE!B382</f>
        <v/>
      </c>
      <c r="C382" s="14" t="str">
        <f>TEXTVALUE!$E$1&amp;" : "&amp;TEXTVALUE!E382&amp;"
"&amp;TEXTVALUE!$G$1&amp;" : "&amp;TEXTVALUE!G382</f>
        <v>KAMAR : 
MADRASIAH : </v>
      </c>
      <c r="D382" s="14" t="str">
        <f>TEXTVALUE!Q382</f>
        <v>Syahriyah = Rp 0
Jariyah = Rp 0
Daftar Ulang = Rp 0
Total = Rp 0
______________________
ID : </v>
      </c>
      <c r="E382" s="14" t="str">
        <f>TEXTVALUE!P382</f>
        <v>Rp 0</v>
      </c>
      <c r="F382" s="14"/>
    </row>
    <row r="383">
      <c r="A383" s="14" t="str">
        <f>$E$1&amp;""&amp;TEXTVALUE!H383</f>
        <v>+</v>
      </c>
      <c r="B383" s="14" t="str">
        <f>TEXTVALUE!B383</f>
        <v/>
      </c>
      <c r="C383" s="14" t="str">
        <f>TEXTVALUE!$E$1&amp;" : "&amp;TEXTVALUE!E383&amp;"
"&amp;TEXTVALUE!$G$1&amp;" : "&amp;TEXTVALUE!G383</f>
        <v>KAMAR : 
MADRASIAH : </v>
      </c>
      <c r="D383" s="14" t="str">
        <f>TEXTVALUE!Q383</f>
        <v>Syahriyah = Rp 0
Jariyah = Rp 0
Daftar Ulang = Rp 0
Total = Rp 0
______________________
ID : </v>
      </c>
      <c r="E383" s="14" t="str">
        <f>TEXTVALUE!P383</f>
        <v>Rp 0</v>
      </c>
      <c r="F383" s="14"/>
    </row>
    <row r="384">
      <c r="A384" s="14" t="str">
        <f>$E$1&amp;""&amp;TEXTVALUE!H384</f>
        <v>+</v>
      </c>
      <c r="B384" s="14" t="str">
        <f>TEXTVALUE!B384</f>
        <v/>
      </c>
      <c r="C384" s="14" t="str">
        <f>TEXTVALUE!$E$1&amp;" : "&amp;TEXTVALUE!E384&amp;"
"&amp;TEXTVALUE!$G$1&amp;" : "&amp;TEXTVALUE!G384</f>
        <v>KAMAR : 
MADRASIAH : </v>
      </c>
      <c r="D384" s="14" t="str">
        <f>TEXTVALUE!Q384</f>
        <v>Syahriyah = Rp 0
Jariyah = Rp 0
Daftar Ulang = Rp 0
Total = Rp 0
______________________
ID : </v>
      </c>
      <c r="E384" s="14" t="str">
        <f>TEXTVALUE!P384</f>
        <v>Rp 0</v>
      </c>
      <c r="F384" s="14"/>
    </row>
    <row r="385">
      <c r="A385" s="14" t="str">
        <f>$E$1&amp;""&amp;TEXTVALUE!H385</f>
        <v>+</v>
      </c>
      <c r="B385" s="14" t="str">
        <f>TEXTVALUE!B385</f>
        <v/>
      </c>
      <c r="C385" s="14" t="str">
        <f>TEXTVALUE!$E$1&amp;" : "&amp;TEXTVALUE!E385&amp;"
"&amp;TEXTVALUE!$G$1&amp;" : "&amp;TEXTVALUE!G385</f>
        <v>KAMAR : 
MADRASIAH : </v>
      </c>
      <c r="D385" s="14" t="str">
        <f>TEXTVALUE!Q385</f>
        <v>Syahriyah = Rp 0
Jariyah = Rp 0
Daftar Ulang = Rp 0
Total = Rp 0
______________________
ID : </v>
      </c>
      <c r="E385" s="14" t="str">
        <f>TEXTVALUE!P385</f>
        <v>Rp 0</v>
      </c>
      <c r="F385" s="14"/>
    </row>
    <row r="386">
      <c r="A386" s="14" t="str">
        <f>$E$1&amp;""&amp;TEXTVALUE!H386</f>
        <v>+</v>
      </c>
      <c r="B386" s="14" t="str">
        <f>TEXTVALUE!B386</f>
        <v/>
      </c>
      <c r="C386" s="14" t="str">
        <f>TEXTVALUE!$E$1&amp;" : "&amp;TEXTVALUE!E386&amp;"
"&amp;TEXTVALUE!$G$1&amp;" : "&amp;TEXTVALUE!G386</f>
        <v>KAMAR : 
MADRASIAH : </v>
      </c>
      <c r="D386" s="14" t="str">
        <f>TEXTVALUE!Q386</f>
        <v>Syahriyah = Rp 0
Jariyah = Rp 0
Daftar Ulang = Rp 0
Total = Rp 0
______________________
ID : </v>
      </c>
      <c r="E386" s="14" t="str">
        <f>TEXTVALUE!P386</f>
        <v>Rp 0</v>
      </c>
      <c r="F386" s="14"/>
    </row>
    <row r="387">
      <c r="A387" s="14" t="str">
        <f>$E$1&amp;""&amp;TEXTVALUE!H387</f>
        <v>+</v>
      </c>
      <c r="B387" s="14" t="str">
        <f>TEXTVALUE!B387</f>
        <v/>
      </c>
      <c r="C387" s="14" t="str">
        <f>TEXTVALUE!$E$1&amp;" : "&amp;TEXTVALUE!E387&amp;"
"&amp;TEXTVALUE!$G$1&amp;" : "&amp;TEXTVALUE!G387</f>
        <v>KAMAR : 
MADRASIAH : </v>
      </c>
      <c r="D387" s="14" t="str">
        <f>TEXTVALUE!Q387</f>
        <v>Syahriyah = Rp 0
Jariyah = Rp 0
Daftar Ulang = Rp 0
Total = Rp 0
______________________
ID : </v>
      </c>
      <c r="E387" s="14" t="str">
        <f>TEXTVALUE!P387</f>
        <v>Rp 0</v>
      </c>
      <c r="F387" s="14"/>
    </row>
    <row r="388">
      <c r="A388" s="14" t="str">
        <f>$E$1&amp;""&amp;TEXTVALUE!H388</f>
        <v>+</v>
      </c>
      <c r="B388" s="14" t="str">
        <f>TEXTVALUE!B388</f>
        <v/>
      </c>
      <c r="C388" s="14" t="str">
        <f>TEXTVALUE!$E$1&amp;" : "&amp;TEXTVALUE!E388&amp;"
"&amp;TEXTVALUE!$G$1&amp;" : "&amp;TEXTVALUE!G388</f>
        <v>KAMAR : 
MADRASIAH : </v>
      </c>
      <c r="D388" s="14" t="str">
        <f>TEXTVALUE!Q388</f>
        <v>Syahriyah = Rp 0
Jariyah = Rp 0
Daftar Ulang = Rp 0
Total = Rp 0
______________________
ID : </v>
      </c>
      <c r="E388" s="14" t="str">
        <f>TEXTVALUE!P388</f>
        <v>Rp 0</v>
      </c>
      <c r="F388" s="14"/>
    </row>
    <row r="389">
      <c r="A389" s="14" t="str">
        <f>$E$1&amp;""&amp;TEXTVALUE!H389</f>
        <v>+</v>
      </c>
      <c r="B389" s="14" t="str">
        <f>TEXTVALUE!B389</f>
        <v/>
      </c>
      <c r="C389" s="14" t="str">
        <f>TEXTVALUE!$E$1&amp;" : "&amp;TEXTVALUE!E389&amp;"
"&amp;TEXTVALUE!$G$1&amp;" : "&amp;TEXTVALUE!G389</f>
        <v>KAMAR : 
MADRASIAH : </v>
      </c>
      <c r="D389" s="14" t="str">
        <f>TEXTVALUE!Q389</f>
        <v>Syahriyah = Rp 0
Jariyah = Rp 0
Daftar Ulang = Rp 0
Total = Rp 0
______________________
ID : </v>
      </c>
      <c r="E389" s="14" t="str">
        <f>TEXTVALUE!P389</f>
        <v>Rp 0</v>
      </c>
      <c r="F389" s="14"/>
    </row>
    <row r="390">
      <c r="A390" s="14" t="str">
        <f>$E$1&amp;""&amp;TEXTVALUE!H390</f>
        <v>+</v>
      </c>
      <c r="B390" s="14" t="str">
        <f>TEXTVALUE!B390</f>
        <v/>
      </c>
      <c r="C390" s="14" t="str">
        <f>TEXTVALUE!$E$1&amp;" : "&amp;TEXTVALUE!E390&amp;"
"&amp;TEXTVALUE!$G$1&amp;" : "&amp;TEXTVALUE!G390</f>
        <v>KAMAR : 
MADRASIAH : </v>
      </c>
      <c r="D390" s="14" t="str">
        <f>TEXTVALUE!Q390</f>
        <v>Syahriyah = Rp 0
Jariyah = Rp 0
Daftar Ulang = Rp 0
Total = Rp 0
______________________
ID : </v>
      </c>
      <c r="E390" s="14" t="str">
        <f>TEXTVALUE!P390</f>
        <v>Rp 0</v>
      </c>
      <c r="F390" s="14"/>
    </row>
    <row r="391">
      <c r="A391" s="14" t="str">
        <f>$E$1&amp;""&amp;TEXTVALUE!H391</f>
        <v>+</v>
      </c>
      <c r="B391" s="14" t="str">
        <f>TEXTVALUE!B391</f>
        <v/>
      </c>
      <c r="C391" s="14" t="str">
        <f>TEXTVALUE!$E$1&amp;" : "&amp;TEXTVALUE!E391&amp;"
"&amp;TEXTVALUE!$G$1&amp;" : "&amp;TEXTVALUE!G391</f>
        <v>KAMAR : 
MADRASIAH : </v>
      </c>
      <c r="D391" s="14" t="str">
        <f>TEXTVALUE!Q391</f>
        <v>Syahriyah = Rp 0
Jariyah = Rp 0
Daftar Ulang = Rp 0
Total = Rp 0
______________________
ID : </v>
      </c>
      <c r="E391" s="14" t="str">
        <f>TEXTVALUE!P391</f>
        <v>Rp 0</v>
      </c>
      <c r="F391" s="14"/>
    </row>
    <row r="392">
      <c r="A392" s="14" t="str">
        <f>$E$1&amp;""&amp;TEXTVALUE!H392</f>
        <v>+</v>
      </c>
      <c r="B392" s="14" t="str">
        <f>TEXTVALUE!B392</f>
        <v/>
      </c>
      <c r="C392" s="14" t="str">
        <f>TEXTVALUE!$E$1&amp;" : "&amp;TEXTVALUE!E392&amp;"
"&amp;TEXTVALUE!$G$1&amp;" : "&amp;TEXTVALUE!G392</f>
        <v>KAMAR : 
MADRASIAH : </v>
      </c>
      <c r="D392" s="14" t="str">
        <f>TEXTVALUE!Q392</f>
        <v>Syahriyah = Rp 0
Jariyah = Rp 0
Daftar Ulang = Rp 0
Total = Rp 0
______________________
ID : </v>
      </c>
      <c r="E392" s="14" t="str">
        <f>TEXTVALUE!P392</f>
        <v>Rp 0</v>
      </c>
      <c r="F392" s="14"/>
    </row>
    <row r="393">
      <c r="A393" s="14" t="str">
        <f>$E$1&amp;""&amp;TEXTVALUE!H393</f>
        <v>+</v>
      </c>
      <c r="B393" s="14" t="str">
        <f>TEXTVALUE!B393</f>
        <v/>
      </c>
      <c r="C393" s="14" t="str">
        <f>TEXTVALUE!$E$1&amp;" : "&amp;TEXTVALUE!E393&amp;"
"&amp;TEXTVALUE!$G$1&amp;" : "&amp;TEXTVALUE!G393</f>
        <v>KAMAR : 
MADRASIAH : </v>
      </c>
      <c r="D393" s="14" t="str">
        <f>TEXTVALUE!Q393</f>
        <v>Syahriyah = Rp 0
Jariyah = Rp 0
Daftar Ulang = Rp 0
Total = Rp 0
______________________
ID : </v>
      </c>
      <c r="E393" s="14" t="str">
        <f>TEXTVALUE!P393</f>
        <v>Rp 0</v>
      </c>
      <c r="F393" s="14"/>
    </row>
    <row r="394">
      <c r="A394" s="14" t="str">
        <f>$E$1&amp;""&amp;TEXTVALUE!H394</f>
        <v>+</v>
      </c>
      <c r="B394" s="14" t="str">
        <f>TEXTVALUE!B394</f>
        <v/>
      </c>
      <c r="C394" s="14" t="str">
        <f>TEXTVALUE!$E$1&amp;" : "&amp;TEXTVALUE!E394&amp;"
"&amp;TEXTVALUE!$G$1&amp;" : "&amp;TEXTVALUE!G394</f>
        <v>KAMAR : 
MADRASIAH : </v>
      </c>
      <c r="D394" s="14" t="str">
        <f>TEXTVALUE!Q394</f>
        <v>Syahriyah = Rp 0
Jariyah = Rp 0
Daftar Ulang = Rp 0
Total = Rp 0
______________________
ID : </v>
      </c>
      <c r="E394" s="14" t="str">
        <f>TEXTVALUE!P394</f>
        <v>Rp 0</v>
      </c>
      <c r="F394" s="14"/>
    </row>
    <row r="395">
      <c r="A395" s="14" t="str">
        <f>$E$1&amp;""&amp;TEXTVALUE!H395</f>
        <v>+</v>
      </c>
      <c r="B395" s="14" t="str">
        <f>TEXTVALUE!B395</f>
        <v/>
      </c>
      <c r="C395" s="14" t="str">
        <f>TEXTVALUE!$E$1&amp;" : "&amp;TEXTVALUE!E395&amp;"
"&amp;TEXTVALUE!$G$1&amp;" : "&amp;TEXTVALUE!G395</f>
        <v>KAMAR : 
MADRASIAH : </v>
      </c>
      <c r="D395" s="14" t="str">
        <f>TEXTVALUE!Q395</f>
        <v>Syahriyah = Rp 0
Jariyah = Rp 0
Daftar Ulang = Rp 0
Total = Rp 0
______________________
ID : </v>
      </c>
      <c r="E395" s="14" t="str">
        <f>TEXTVALUE!P395</f>
        <v>Rp 0</v>
      </c>
      <c r="F395" s="14"/>
    </row>
    <row r="396">
      <c r="A396" s="14" t="str">
        <f>$E$1&amp;""&amp;TEXTVALUE!H396</f>
        <v>+</v>
      </c>
      <c r="B396" s="14" t="str">
        <f>TEXTVALUE!B396</f>
        <v/>
      </c>
      <c r="C396" s="14" t="str">
        <f>TEXTVALUE!$E$1&amp;" : "&amp;TEXTVALUE!E396&amp;"
"&amp;TEXTVALUE!$G$1&amp;" : "&amp;TEXTVALUE!G396</f>
        <v>KAMAR : 
MADRASIAH : </v>
      </c>
      <c r="D396" s="14" t="str">
        <f>TEXTVALUE!Q396</f>
        <v>Syahriyah = Rp 0
Jariyah = Rp 0
Daftar Ulang = Rp 0
Total = Rp 0
______________________
ID : </v>
      </c>
      <c r="E396" s="14" t="str">
        <f>TEXTVALUE!P396</f>
        <v>Rp 0</v>
      </c>
      <c r="F396" s="14"/>
    </row>
    <row r="397">
      <c r="A397" s="14" t="str">
        <f>$E$1&amp;""&amp;TEXTVALUE!H397</f>
        <v>+</v>
      </c>
      <c r="B397" s="14" t="str">
        <f>TEXTVALUE!B397</f>
        <v/>
      </c>
      <c r="C397" s="14" t="str">
        <f>TEXTVALUE!$E$1&amp;" : "&amp;TEXTVALUE!E397&amp;"
"&amp;TEXTVALUE!$G$1&amp;" : "&amp;TEXTVALUE!G397</f>
        <v>KAMAR : 
MADRASIAH : </v>
      </c>
      <c r="D397" s="14" t="str">
        <f>TEXTVALUE!Q397</f>
        <v>Syahriyah = Rp 0
Jariyah = Rp 0
Daftar Ulang = Rp 0
Total = Rp 0
______________________
ID : </v>
      </c>
      <c r="E397" s="14" t="str">
        <f>TEXTVALUE!P397</f>
        <v>Rp 0</v>
      </c>
      <c r="F397" s="14"/>
    </row>
    <row r="398">
      <c r="A398" s="14" t="str">
        <f>$E$1&amp;""&amp;TEXTVALUE!H398</f>
        <v>+</v>
      </c>
      <c r="B398" s="14" t="str">
        <f>TEXTVALUE!B398</f>
        <v/>
      </c>
      <c r="C398" s="14" t="str">
        <f>TEXTVALUE!$E$1&amp;" : "&amp;TEXTVALUE!E398&amp;"
"&amp;TEXTVALUE!$G$1&amp;" : "&amp;TEXTVALUE!G398</f>
        <v>KAMAR : 
MADRASIAH : </v>
      </c>
      <c r="D398" s="14" t="str">
        <f>TEXTVALUE!Q398</f>
        <v>Syahriyah = Rp 0
Jariyah = Rp 0
Daftar Ulang = Rp 0
Total = Rp 0
______________________
ID : </v>
      </c>
      <c r="E398" s="14" t="str">
        <f>TEXTVALUE!P398</f>
        <v>Rp 0</v>
      </c>
      <c r="F398" s="14"/>
    </row>
    <row r="399">
      <c r="A399" s="14" t="str">
        <f>$E$1&amp;""&amp;TEXTVALUE!H399</f>
        <v>+</v>
      </c>
      <c r="B399" s="14" t="str">
        <f>TEXTVALUE!B399</f>
        <v/>
      </c>
      <c r="C399" s="14" t="str">
        <f>TEXTVALUE!$E$1&amp;" : "&amp;TEXTVALUE!E399&amp;"
"&amp;TEXTVALUE!$G$1&amp;" : "&amp;TEXTVALUE!G399</f>
        <v>KAMAR : 
MADRASIAH : </v>
      </c>
      <c r="D399" s="14" t="str">
        <f>TEXTVALUE!Q399</f>
        <v>Syahriyah = Rp 0
Jariyah = Rp 0
Daftar Ulang = Rp 0
Total = Rp 0
______________________
ID : </v>
      </c>
      <c r="E399" s="14" t="str">
        <f>TEXTVALUE!P399</f>
        <v>Rp 0</v>
      </c>
      <c r="F399" s="14"/>
    </row>
    <row r="400">
      <c r="A400" s="14" t="str">
        <f>$E$1&amp;""&amp;TEXTVALUE!H400</f>
        <v>+</v>
      </c>
      <c r="B400" s="14" t="str">
        <f>TEXTVALUE!B400</f>
        <v/>
      </c>
      <c r="C400" s="14" t="str">
        <f>TEXTVALUE!$E$1&amp;" : "&amp;TEXTVALUE!E400&amp;"
"&amp;TEXTVALUE!$G$1&amp;" : "&amp;TEXTVALUE!G400</f>
        <v>KAMAR : 
MADRASIAH : </v>
      </c>
      <c r="D400" s="14" t="str">
        <f>TEXTVALUE!Q400</f>
        <v>Syahriyah = Rp 0
Jariyah = Rp 0
Daftar Ulang = Rp 0
Total = Rp 0
______________________
ID : </v>
      </c>
      <c r="E400" s="14" t="str">
        <f>TEXTVALUE!P400</f>
        <v>Rp 0</v>
      </c>
      <c r="F400" s="14"/>
    </row>
    <row r="401">
      <c r="A401" s="14" t="str">
        <f>$E$1&amp;""&amp;TEXTVALUE!H401</f>
        <v>+</v>
      </c>
      <c r="B401" s="14" t="str">
        <f>TEXTVALUE!B401</f>
        <v/>
      </c>
      <c r="C401" s="14" t="str">
        <f>TEXTVALUE!$E$1&amp;" : "&amp;TEXTVALUE!E401&amp;"
"&amp;TEXTVALUE!$G$1&amp;" : "&amp;TEXTVALUE!G401</f>
        <v>KAMAR : 
MADRASIAH : </v>
      </c>
      <c r="D401" s="14" t="str">
        <f>TEXTVALUE!Q401</f>
        <v>Syahriyah = Rp 0
Jariyah = Rp 0
Daftar Ulang = Rp 0
Total = Rp 0
______________________
ID : </v>
      </c>
      <c r="E401" s="14" t="str">
        <f>TEXTVALUE!P401</f>
        <v>Rp 0</v>
      </c>
      <c r="F401" s="14"/>
    </row>
    <row r="402">
      <c r="A402" s="14" t="str">
        <f>$E$1&amp;""&amp;TEXTVALUE!H402</f>
        <v>+</v>
      </c>
      <c r="B402" s="14" t="str">
        <f>TEXTVALUE!B402</f>
        <v/>
      </c>
      <c r="C402" s="14" t="str">
        <f>TEXTVALUE!$E$1&amp;" : "&amp;TEXTVALUE!E402&amp;"
"&amp;TEXTVALUE!$G$1&amp;" : "&amp;TEXTVALUE!G402</f>
        <v>KAMAR : 
MADRASIAH : </v>
      </c>
      <c r="D402" s="14" t="str">
        <f>TEXTVALUE!Q402</f>
        <v>Syahriyah = Rp 0
Jariyah = Rp 0
Daftar Ulang = Rp 0
Total = Rp 0
______________________
ID : </v>
      </c>
      <c r="E402" s="14" t="str">
        <f>TEXTVALUE!P402</f>
        <v>Rp 0</v>
      </c>
      <c r="F402" s="14"/>
    </row>
    <row r="403">
      <c r="A403" s="14" t="str">
        <f>$E$1&amp;""&amp;TEXTVALUE!H403</f>
        <v>+</v>
      </c>
      <c r="B403" s="14" t="str">
        <f>TEXTVALUE!B403</f>
        <v/>
      </c>
      <c r="C403" s="14" t="str">
        <f>TEXTVALUE!$E$1&amp;" : "&amp;TEXTVALUE!E403&amp;"
"&amp;TEXTVALUE!$G$1&amp;" : "&amp;TEXTVALUE!G403</f>
        <v>KAMAR : 
MADRASIAH : </v>
      </c>
      <c r="D403" s="14" t="str">
        <f>TEXTVALUE!Q403</f>
        <v>Syahriyah = Rp 0
Jariyah = Rp 0
Daftar Ulang = Rp 0
Total = Rp 0
______________________
ID : </v>
      </c>
      <c r="E403" s="14" t="str">
        <f>TEXTVALUE!P403</f>
        <v>Rp 0</v>
      </c>
      <c r="F403" s="14"/>
    </row>
    <row r="404">
      <c r="A404" s="14" t="str">
        <f>$E$1&amp;""&amp;TEXTVALUE!H404</f>
        <v>+</v>
      </c>
      <c r="B404" s="14" t="str">
        <f>TEXTVALUE!B404</f>
        <v/>
      </c>
      <c r="C404" s="14" t="str">
        <f>TEXTVALUE!$E$1&amp;" : "&amp;TEXTVALUE!E404&amp;"
"&amp;TEXTVALUE!$G$1&amp;" : "&amp;TEXTVALUE!G404</f>
        <v>KAMAR : 
MADRASIAH : </v>
      </c>
      <c r="D404" s="14" t="str">
        <f>TEXTVALUE!Q404</f>
        <v>Syahriyah = Rp 0
Jariyah = Rp 0
Daftar Ulang = Rp 0
Total = Rp 0
______________________
ID : </v>
      </c>
      <c r="E404" s="14" t="str">
        <f>TEXTVALUE!P404</f>
        <v>Rp 0</v>
      </c>
      <c r="F404" s="14"/>
    </row>
    <row r="405">
      <c r="A405" s="14" t="str">
        <f>$E$1&amp;""&amp;TEXTVALUE!H405</f>
        <v>+</v>
      </c>
      <c r="B405" s="14" t="str">
        <f>TEXTVALUE!B405</f>
        <v/>
      </c>
      <c r="C405" s="14" t="str">
        <f>TEXTVALUE!$E$1&amp;" : "&amp;TEXTVALUE!E405&amp;"
"&amp;TEXTVALUE!$G$1&amp;" : "&amp;TEXTVALUE!G405</f>
        <v>KAMAR : 
MADRASIAH : </v>
      </c>
      <c r="D405" s="14" t="str">
        <f>TEXTVALUE!Q405</f>
        <v>Syahriyah = Rp 0
Jariyah = Rp 0
Daftar Ulang = Rp 0
Total = Rp 0
______________________
ID : </v>
      </c>
      <c r="E405" s="14" t="str">
        <f>TEXTVALUE!P405</f>
        <v>Rp 0</v>
      </c>
      <c r="F405" s="14"/>
    </row>
    <row r="406">
      <c r="A406" s="14" t="str">
        <f>$E$1&amp;""&amp;TEXTVALUE!H406</f>
        <v>+</v>
      </c>
      <c r="B406" s="14" t="str">
        <f>TEXTVALUE!B406</f>
        <v/>
      </c>
      <c r="C406" s="14" t="str">
        <f>TEXTVALUE!$E$1&amp;" : "&amp;TEXTVALUE!E406&amp;"
"&amp;TEXTVALUE!$G$1&amp;" : "&amp;TEXTVALUE!G406</f>
        <v>KAMAR : 
MADRASIAH : </v>
      </c>
      <c r="D406" s="14" t="str">
        <f>TEXTVALUE!Q406</f>
        <v>Syahriyah = Rp 0
Jariyah = Rp 0
Daftar Ulang = Rp 0
Total = Rp 0
______________________
ID : </v>
      </c>
      <c r="E406" s="14" t="str">
        <f>TEXTVALUE!P406</f>
        <v>Rp 0</v>
      </c>
      <c r="F406" s="14"/>
    </row>
    <row r="407">
      <c r="A407" s="14" t="str">
        <f>$E$1&amp;""&amp;TEXTVALUE!H407</f>
        <v>+</v>
      </c>
      <c r="B407" s="14" t="str">
        <f>TEXTVALUE!B407</f>
        <v/>
      </c>
      <c r="C407" s="14" t="str">
        <f>TEXTVALUE!$E$1&amp;" : "&amp;TEXTVALUE!E407&amp;"
"&amp;TEXTVALUE!$G$1&amp;" : "&amp;TEXTVALUE!G407</f>
        <v>KAMAR : 
MADRASIAH : </v>
      </c>
      <c r="D407" s="14" t="str">
        <f>TEXTVALUE!Q407</f>
        <v>Syahriyah = Rp 0
Jariyah = Rp 0
Daftar Ulang = Rp 0
Total = Rp 0
______________________
ID : </v>
      </c>
      <c r="E407" s="14" t="str">
        <f>TEXTVALUE!P407</f>
        <v>Rp 0</v>
      </c>
      <c r="F407" s="14"/>
    </row>
    <row r="408">
      <c r="A408" s="14" t="str">
        <f>$E$1&amp;""&amp;TEXTVALUE!H408</f>
        <v>+</v>
      </c>
      <c r="B408" s="14" t="str">
        <f>TEXTVALUE!B408</f>
        <v/>
      </c>
      <c r="C408" s="14" t="str">
        <f>TEXTVALUE!$E$1&amp;" : "&amp;TEXTVALUE!E408&amp;"
"&amp;TEXTVALUE!$G$1&amp;" : "&amp;TEXTVALUE!G408</f>
        <v>KAMAR : 
MADRASIAH : </v>
      </c>
      <c r="D408" s="14" t="str">
        <f>TEXTVALUE!Q408</f>
        <v>Syahriyah = Rp 0
Jariyah = Rp 0
Daftar Ulang = Rp 0
Total = Rp 0
______________________
ID : </v>
      </c>
      <c r="E408" s="14" t="str">
        <f>TEXTVALUE!P408</f>
        <v>Rp 0</v>
      </c>
      <c r="F408" s="14"/>
    </row>
    <row r="409">
      <c r="A409" s="14" t="str">
        <f>$E$1&amp;""&amp;TEXTVALUE!H409</f>
        <v>+</v>
      </c>
      <c r="B409" s="14" t="str">
        <f>TEXTVALUE!B409</f>
        <v/>
      </c>
      <c r="C409" s="14" t="str">
        <f>TEXTVALUE!$E$1&amp;" : "&amp;TEXTVALUE!E409&amp;"
"&amp;TEXTVALUE!$G$1&amp;" : "&amp;TEXTVALUE!G409</f>
        <v>KAMAR : 
MADRASIAH : </v>
      </c>
      <c r="D409" s="14" t="str">
        <f>TEXTVALUE!Q409</f>
        <v>Syahriyah = Rp 0
Jariyah = Rp 0
Daftar Ulang = Rp 0
Total = Rp 0
______________________
ID : </v>
      </c>
      <c r="E409" s="14" t="str">
        <f>TEXTVALUE!P409</f>
        <v>Rp 0</v>
      </c>
      <c r="F409" s="14"/>
    </row>
    <row r="410">
      <c r="A410" s="14" t="str">
        <f>$E$1&amp;""&amp;TEXTVALUE!H410</f>
        <v>+</v>
      </c>
      <c r="B410" s="14" t="str">
        <f>TEXTVALUE!B410</f>
        <v/>
      </c>
      <c r="C410" s="14" t="str">
        <f>TEXTVALUE!$E$1&amp;" : "&amp;TEXTVALUE!E410&amp;"
"&amp;TEXTVALUE!$G$1&amp;" : "&amp;TEXTVALUE!G410</f>
        <v>KAMAR : 
MADRASIAH : </v>
      </c>
      <c r="D410" s="14" t="str">
        <f>TEXTVALUE!Q410</f>
        <v>Syahriyah = Rp 0
Jariyah = Rp 0
Daftar Ulang = Rp 0
Total = Rp 0
______________________
ID : </v>
      </c>
      <c r="E410" s="14" t="str">
        <f>TEXTVALUE!P410</f>
        <v>Rp 0</v>
      </c>
      <c r="F410" s="14"/>
    </row>
    <row r="411">
      <c r="A411" s="14" t="str">
        <f>$E$1&amp;""&amp;TEXTVALUE!H411</f>
        <v>+</v>
      </c>
      <c r="B411" s="14" t="str">
        <f>TEXTVALUE!B411</f>
        <v/>
      </c>
      <c r="C411" s="14" t="str">
        <f>TEXTVALUE!$E$1&amp;" : "&amp;TEXTVALUE!E411&amp;"
"&amp;TEXTVALUE!$G$1&amp;" : "&amp;TEXTVALUE!G411</f>
        <v>KAMAR : 
MADRASIAH : </v>
      </c>
      <c r="D411" s="14" t="str">
        <f>TEXTVALUE!Q411</f>
        <v>Syahriyah = Rp 0
Jariyah = Rp 0
Daftar Ulang = Rp 0
Total = Rp 0
______________________
ID : </v>
      </c>
      <c r="E411" s="14" t="str">
        <f>TEXTVALUE!P411</f>
        <v>Rp 0</v>
      </c>
      <c r="F411" s="14"/>
    </row>
    <row r="412">
      <c r="A412" s="14" t="str">
        <f>$E$1&amp;""&amp;TEXTVALUE!H412</f>
        <v>+</v>
      </c>
      <c r="B412" s="14" t="str">
        <f>TEXTVALUE!B412</f>
        <v/>
      </c>
      <c r="C412" s="14" t="str">
        <f>TEXTVALUE!$E$1&amp;" : "&amp;TEXTVALUE!E412&amp;"
"&amp;TEXTVALUE!$G$1&amp;" : "&amp;TEXTVALUE!G412</f>
        <v>KAMAR : 
MADRASIAH : </v>
      </c>
      <c r="D412" s="14" t="str">
        <f>TEXTVALUE!Q412</f>
        <v>Syahriyah = Rp 0
Jariyah = Rp 0
Daftar Ulang = Rp 0
Total = Rp 0
______________________
ID : </v>
      </c>
      <c r="E412" s="14" t="str">
        <f>TEXTVALUE!P412</f>
        <v>Rp 0</v>
      </c>
      <c r="F412" s="14"/>
    </row>
    <row r="413">
      <c r="A413" s="14" t="str">
        <f>$E$1&amp;""&amp;TEXTVALUE!H413</f>
        <v>+</v>
      </c>
      <c r="B413" s="14" t="str">
        <f>TEXTVALUE!B413</f>
        <v/>
      </c>
      <c r="C413" s="14" t="str">
        <f>TEXTVALUE!$E$1&amp;" : "&amp;TEXTVALUE!E413&amp;"
"&amp;TEXTVALUE!$G$1&amp;" : "&amp;TEXTVALUE!G413</f>
        <v>KAMAR : 
MADRASIAH : </v>
      </c>
      <c r="D413" s="14" t="str">
        <f>TEXTVALUE!Q413</f>
        <v>Syahriyah = Rp 0
Jariyah = Rp 0
Daftar Ulang = Rp 0
Total = Rp 0
______________________
ID : </v>
      </c>
      <c r="E413" s="14" t="str">
        <f>TEXTVALUE!P413</f>
        <v>Rp 0</v>
      </c>
      <c r="F413" s="14"/>
    </row>
    <row r="414">
      <c r="A414" s="14" t="str">
        <f>$E$1&amp;""&amp;TEXTVALUE!H414</f>
        <v>+</v>
      </c>
      <c r="B414" s="14" t="str">
        <f>TEXTVALUE!B414</f>
        <v/>
      </c>
      <c r="C414" s="14" t="str">
        <f>TEXTVALUE!$E$1&amp;" : "&amp;TEXTVALUE!E414&amp;"
"&amp;TEXTVALUE!$G$1&amp;" : "&amp;TEXTVALUE!G414</f>
        <v>KAMAR : 
MADRASIAH : </v>
      </c>
      <c r="D414" s="14" t="str">
        <f>TEXTVALUE!Q414</f>
        <v>Syahriyah = Rp 0
Jariyah = Rp 0
Daftar Ulang = Rp 0
Total = Rp 0
______________________
ID : </v>
      </c>
      <c r="E414" s="14" t="str">
        <f>TEXTVALUE!P414</f>
        <v>Rp 0</v>
      </c>
      <c r="F414" s="14"/>
    </row>
    <row r="415">
      <c r="A415" s="14" t="str">
        <f>$E$1&amp;""&amp;TEXTVALUE!H415</f>
        <v>+</v>
      </c>
      <c r="B415" s="14" t="str">
        <f>TEXTVALUE!B415</f>
        <v/>
      </c>
      <c r="C415" s="14" t="str">
        <f>TEXTVALUE!$E$1&amp;" : "&amp;TEXTVALUE!E415&amp;"
"&amp;TEXTVALUE!$G$1&amp;" : "&amp;TEXTVALUE!G415</f>
        <v>KAMAR : 
MADRASIAH : </v>
      </c>
      <c r="D415" s="14" t="str">
        <f>TEXTVALUE!Q415</f>
        <v>Syahriyah = Rp 0
Jariyah = Rp 0
Daftar Ulang = Rp 0
Total = Rp 0
______________________
ID : </v>
      </c>
      <c r="E415" s="14" t="str">
        <f>TEXTVALUE!P415</f>
        <v>Rp 0</v>
      </c>
      <c r="F415" s="14"/>
    </row>
    <row r="416">
      <c r="A416" s="14" t="str">
        <f>$E$1&amp;""&amp;TEXTVALUE!H416</f>
        <v>+</v>
      </c>
      <c r="B416" s="14" t="str">
        <f>TEXTVALUE!B416</f>
        <v/>
      </c>
      <c r="C416" s="14" t="str">
        <f>TEXTVALUE!$E$1&amp;" : "&amp;TEXTVALUE!E416&amp;"
"&amp;TEXTVALUE!$G$1&amp;" : "&amp;TEXTVALUE!G416</f>
        <v>KAMAR : 
MADRASIAH : </v>
      </c>
      <c r="D416" s="14" t="str">
        <f>TEXTVALUE!Q416</f>
        <v>Syahriyah = Rp 0
Jariyah = Rp 0
Daftar Ulang = Rp 0
Total = Rp 0
______________________
ID : </v>
      </c>
      <c r="E416" s="14" t="str">
        <f>TEXTVALUE!P416</f>
        <v>Rp 0</v>
      </c>
      <c r="F416" s="14"/>
    </row>
    <row r="417">
      <c r="A417" s="14" t="str">
        <f>$E$1&amp;""&amp;TEXTVALUE!H417</f>
        <v>+</v>
      </c>
      <c r="B417" s="14" t="str">
        <f>TEXTVALUE!B417</f>
        <v/>
      </c>
      <c r="C417" s="14" t="str">
        <f>TEXTVALUE!$E$1&amp;" : "&amp;TEXTVALUE!E417&amp;"
"&amp;TEXTVALUE!$G$1&amp;" : "&amp;TEXTVALUE!G417</f>
        <v>KAMAR : 
MADRASIAH : </v>
      </c>
      <c r="D417" s="14" t="str">
        <f>TEXTVALUE!Q417</f>
        <v>Syahriyah = Rp 0
Jariyah = Rp 0
Daftar Ulang = Rp 0
Total = Rp 0
______________________
ID : </v>
      </c>
      <c r="E417" s="14" t="str">
        <f>TEXTVALUE!P417</f>
        <v>Rp 0</v>
      </c>
      <c r="F417" s="14"/>
    </row>
    <row r="418">
      <c r="A418" s="14" t="str">
        <f>$E$1&amp;""&amp;TEXTVALUE!H418</f>
        <v>+</v>
      </c>
      <c r="B418" s="14" t="str">
        <f>TEXTVALUE!B418</f>
        <v/>
      </c>
      <c r="C418" s="14" t="str">
        <f>TEXTVALUE!$E$1&amp;" : "&amp;TEXTVALUE!E418&amp;"
"&amp;TEXTVALUE!$G$1&amp;" : "&amp;TEXTVALUE!G418</f>
        <v>KAMAR : 
MADRASIAH : </v>
      </c>
      <c r="D418" s="14" t="str">
        <f>TEXTVALUE!Q418</f>
        <v>Syahriyah = Rp 0
Jariyah = Rp 0
Daftar Ulang = Rp 0
Total = Rp 0
______________________
ID : </v>
      </c>
      <c r="E418" s="14" t="str">
        <f>TEXTVALUE!P418</f>
        <v>Rp 0</v>
      </c>
      <c r="F418" s="14"/>
    </row>
    <row r="419">
      <c r="A419" s="14" t="str">
        <f>$E$1&amp;""&amp;TEXTVALUE!H419</f>
        <v>+</v>
      </c>
      <c r="B419" s="14" t="str">
        <f>TEXTVALUE!B419</f>
        <v/>
      </c>
      <c r="C419" s="14" t="str">
        <f>TEXTVALUE!$E$1&amp;" : "&amp;TEXTVALUE!E419&amp;"
"&amp;TEXTVALUE!$G$1&amp;" : "&amp;TEXTVALUE!G419</f>
        <v>KAMAR : 
MADRASIAH : </v>
      </c>
      <c r="D419" s="14" t="str">
        <f>TEXTVALUE!Q419</f>
        <v>Syahriyah = Rp 0
Jariyah = Rp 0
Daftar Ulang = Rp 0
Total = Rp 0
______________________
ID : </v>
      </c>
      <c r="E419" s="14" t="str">
        <f>TEXTVALUE!P419</f>
        <v>Rp 0</v>
      </c>
      <c r="F419" s="14"/>
    </row>
    <row r="420">
      <c r="A420" s="14" t="str">
        <f>$E$1&amp;""&amp;TEXTVALUE!H420</f>
        <v>+</v>
      </c>
      <c r="B420" s="14" t="str">
        <f>TEXTVALUE!B420</f>
        <v/>
      </c>
      <c r="C420" s="14" t="str">
        <f>TEXTVALUE!$E$1&amp;" : "&amp;TEXTVALUE!E420&amp;"
"&amp;TEXTVALUE!$G$1&amp;" : "&amp;TEXTVALUE!G420</f>
        <v>KAMAR : 
MADRASIAH : </v>
      </c>
      <c r="D420" s="14" t="str">
        <f>TEXTVALUE!Q420</f>
        <v>Syahriyah = Rp 0
Jariyah = Rp 0
Daftar Ulang = Rp 0
Total = Rp 0
______________________
ID : </v>
      </c>
      <c r="E420" s="14" t="str">
        <f>TEXTVALUE!P420</f>
        <v>Rp 0</v>
      </c>
      <c r="F420" s="14"/>
    </row>
    <row r="421">
      <c r="A421" s="14" t="str">
        <f>$E$1&amp;""&amp;TEXTVALUE!H421</f>
        <v>+</v>
      </c>
      <c r="B421" s="14" t="str">
        <f>TEXTVALUE!B421</f>
        <v/>
      </c>
      <c r="C421" s="14" t="str">
        <f>TEXTVALUE!$E$1&amp;" : "&amp;TEXTVALUE!E421&amp;"
"&amp;TEXTVALUE!$G$1&amp;" : "&amp;TEXTVALUE!G421</f>
        <v>KAMAR : 
MADRASIAH : </v>
      </c>
      <c r="D421" s="14" t="str">
        <f>TEXTVALUE!Q421</f>
        <v>Syahriyah = Rp 0
Jariyah = Rp 0
Daftar Ulang = Rp 0
Total = Rp 0
______________________
ID : </v>
      </c>
      <c r="E421" s="14" t="str">
        <f>TEXTVALUE!P421</f>
        <v>Rp 0</v>
      </c>
      <c r="F421" s="14"/>
    </row>
    <row r="422">
      <c r="A422" s="14" t="str">
        <f>$E$1&amp;""&amp;TEXTVALUE!H422</f>
        <v>+</v>
      </c>
      <c r="B422" s="14" t="str">
        <f>TEXTVALUE!B422</f>
        <v/>
      </c>
      <c r="C422" s="14" t="str">
        <f>TEXTVALUE!$E$1&amp;" : "&amp;TEXTVALUE!E422&amp;"
"&amp;TEXTVALUE!$G$1&amp;" : "&amp;TEXTVALUE!G422</f>
        <v>KAMAR : 
MADRASIAH : </v>
      </c>
      <c r="D422" s="14" t="str">
        <f>TEXTVALUE!Q422</f>
        <v>Syahriyah = Rp 0
Jariyah = Rp 0
Daftar Ulang = Rp 0
Total = Rp 0
______________________
ID : </v>
      </c>
      <c r="E422" s="14" t="str">
        <f>TEXTVALUE!P422</f>
        <v>Rp 0</v>
      </c>
      <c r="F422" s="14"/>
    </row>
    <row r="423">
      <c r="A423" s="14" t="str">
        <f>$E$1&amp;""&amp;TEXTVALUE!H423</f>
        <v>+</v>
      </c>
      <c r="B423" s="14" t="str">
        <f>TEXTVALUE!B423</f>
        <v/>
      </c>
      <c r="C423" s="14" t="str">
        <f>TEXTVALUE!$E$1&amp;" : "&amp;TEXTVALUE!E423&amp;"
"&amp;TEXTVALUE!$G$1&amp;" : "&amp;TEXTVALUE!G423</f>
        <v>KAMAR : 
MADRASIAH : </v>
      </c>
      <c r="D423" s="14" t="str">
        <f>TEXTVALUE!Q423</f>
        <v>Syahriyah = Rp 0
Jariyah = Rp 0
Daftar Ulang = Rp 0
Total = Rp 0
______________________
ID : </v>
      </c>
      <c r="E423" s="14" t="str">
        <f>TEXTVALUE!P423</f>
        <v>Rp 0</v>
      </c>
      <c r="F423" s="14"/>
    </row>
    <row r="424">
      <c r="A424" s="14" t="str">
        <f>$E$1&amp;""&amp;TEXTVALUE!H424</f>
        <v>+</v>
      </c>
      <c r="B424" s="14" t="str">
        <f>TEXTVALUE!B424</f>
        <v/>
      </c>
      <c r="C424" s="14" t="str">
        <f>TEXTVALUE!$E$1&amp;" : "&amp;TEXTVALUE!E424&amp;"
"&amp;TEXTVALUE!$G$1&amp;" : "&amp;TEXTVALUE!G424</f>
        <v>KAMAR : 
MADRASIAH : </v>
      </c>
      <c r="D424" s="14" t="str">
        <f>TEXTVALUE!Q424</f>
        <v>Syahriyah = Rp 0
Jariyah = Rp 0
Daftar Ulang = Rp 0
Total = Rp 0
______________________
ID : </v>
      </c>
      <c r="E424" s="14" t="str">
        <f>TEXTVALUE!P424</f>
        <v>Rp 0</v>
      </c>
      <c r="F424" s="14"/>
    </row>
    <row r="425">
      <c r="A425" s="14" t="str">
        <f>$E$1&amp;""&amp;TEXTVALUE!H425</f>
        <v>+</v>
      </c>
      <c r="B425" s="14" t="str">
        <f>TEXTVALUE!B425</f>
        <v/>
      </c>
      <c r="C425" s="14" t="str">
        <f>TEXTVALUE!$E$1&amp;" : "&amp;TEXTVALUE!E425&amp;"
"&amp;TEXTVALUE!$G$1&amp;" : "&amp;TEXTVALUE!G425</f>
        <v>KAMAR : 
MADRASIAH : </v>
      </c>
      <c r="D425" s="14" t="str">
        <f>TEXTVALUE!Q425</f>
        <v>Syahriyah = Rp 0
Jariyah = Rp 0
Daftar Ulang = Rp 0
Total = Rp 0
______________________
ID : </v>
      </c>
      <c r="E425" s="14" t="str">
        <f>TEXTVALUE!P425</f>
        <v>Rp 0</v>
      </c>
      <c r="F425" s="14"/>
    </row>
    <row r="426">
      <c r="A426" s="14" t="str">
        <f>$E$1&amp;""&amp;TEXTVALUE!H426</f>
        <v>+</v>
      </c>
      <c r="B426" s="14" t="str">
        <f>TEXTVALUE!B426</f>
        <v/>
      </c>
      <c r="C426" s="14" t="str">
        <f>TEXTVALUE!$E$1&amp;" : "&amp;TEXTVALUE!E426&amp;"
"&amp;TEXTVALUE!$G$1&amp;" : "&amp;TEXTVALUE!G426</f>
        <v>KAMAR : 
MADRASIAH : </v>
      </c>
      <c r="D426" s="14" t="str">
        <f>TEXTVALUE!Q426</f>
        <v>Syahriyah = Rp 0
Jariyah = Rp 0
Daftar Ulang = Rp 0
Total = Rp 0
______________________
ID : </v>
      </c>
      <c r="E426" s="14" t="str">
        <f>TEXTVALUE!P426</f>
        <v>Rp 0</v>
      </c>
      <c r="F426" s="14"/>
    </row>
    <row r="427">
      <c r="A427" s="14" t="str">
        <f>$E$1&amp;""&amp;TEXTVALUE!H427</f>
        <v>+</v>
      </c>
      <c r="B427" s="14" t="str">
        <f>TEXTVALUE!B427</f>
        <v/>
      </c>
      <c r="C427" s="14" t="str">
        <f>TEXTVALUE!$E$1&amp;" : "&amp;TEXTVALUE!E427&amp;"
"&amp;TEXTVALUE!$G$1&amp;" : "&amp;TEXTVALUE!G427</f>
        <v>KAMAR : 
MADRASIAH : </v>
      </c>
      <c r="D427" s="14" t="str">
        <f>TEXTVALUE!Q427</f>
        <v>Syahriyah = Rp 0
Jariyah = Rp 0
Daftar Ulang = Rp 0
Total = Rp 0
______________________
ID : </v>
      </c>
      <c r="E427" s="14" t="str">
        <f>TEXTVALUE!P427</f>
        <v>Rp 0</v>
      </c>
      <c r="F427" s="14"/>
    </row>
    <row r="428">
      <c r="A428" s="14" t="str">
        <f>$E$1&amp;""&amp;TEXTVALUE!H428</f>
        <v>+</v>
      </c>
      <c r="B428" s="14" t="str">
        <f>TEXTVALUE!B428</f>
        <v/>
      </c>
      <c r="C428" s="14" t="str">
        <f>TEXTVALUE!$E$1&amp;" : "&amp;TEXTVALUE!E428&amp;"
"&amp;TEXTVALUE!$G$1&amp;" : "&amp;TEXTVALUE!G428</f>
        <v>KAMAR : 
MADRASIAH : </v>
      </c>
      <c r="D428" s="14" t="str">
        <f>TEXTVALUE!Q428</f>
        <v>Syahriyah = Rp 0
Jariyah = Rp 0
Daftar Ulang = Rp 0
Total = Rp 0
______________________
ID : </v>
      </c>
      <c r="E428" s="14" t="str">
        <f>TEXTVALUE!P428</f>
        <v>Rp 0</v>
      </c>
      <c r="F428" s="14"/>
    </row>
    <row r="429">
      <c r="A429" s="14" t="str">
        <f>$E$1&amp;""&amp;TEXTVALUE!H429</f>
        <v>+</v>
      </c>
      <c r="B429" s="14" t="str">
        <f>TEXTVALUE!B429</f>
        <v/>
      </c>
      <c r="C429" s="14" t="str">
        <f>TEXTVALUE!$E$1&amp;" : "&amp;TEXTVALUE!E429&amp;"
"&amp;TEXTVALUE!$G$1&amp;" : "&amp;TEXTVALUE!G429</f>
        <v>KAMAR : 
MADRASIAH : </v>
      </c>
      <c r="D429" s="14" t="str">
        <f>TEXTVALUE!Q429</f>
        <v>Syahriyah = Rp 0
Jariyah = Rp 0
Daftar Ulang = Rp 0
Total = Rp 0
______________________
ID : </v>
      </c>
      <c r="E429" s="14" t="str">
        <f>TEXTVALUE!P429</f>
        <v>Rp 0</v>
      </c>
      <c r="F429" s="14"/>
    </row>
    <row r="430">
      <c r="A430" s="14" t="str">
        <f>$E$1&amp;""&amp;TEXTVALUE!H430</f>
        <v>+</v>
      </c>
      <c r="B430" s="14" t="str">
        <f>TEXTVALUE!B430</f>
        <v/>
      </c>
      <c r="C430" s="14" t="str">
        <f>TEXTVALUE!$E$1&amp;" : "&amp;TEXTVALUE!E430&amp;"
"&amp;TEXTVALUE!$G$1&amp;" : "&amp;TEXTVALUE!G430</f>
        <v>KAMAR : 
MADRASIAH : </v>
      </c>
      <c r="D430" s="14" t="str">
        <f>TEXTVALUE!Q430</f>
        <v>Syahriyah = Rp 0
Jariyah = Rp 0
Daftar Ulang = Rp 0
Total = Rp 0
______________________
ID : </v>
      </c>
      <c r="E430" s="14" t="str">
        <f>TEXTVALUE!P430</f>
        <v>Rp 0</v>
      </c>
      <c r="F430" s="14"/>
    </row>
    <row r="431">
      <c r="A431" s="14" t="str">
        <f>$E$1&amp;""&amp;TEXTVALUE!H431</f>
        <v>+</v>
      </c>
      <c r="B431" s="14" t="str">
        <f>TEXTVALUE!B431</f>
        <v/>
      </c>
      <c r="C431" s="14" t="str">
        <f>TEXTVALUE!$E$1&amp;" : "&amp;TEXTVALUE!E431&amp;"
"&amp;TEXTVALUE!$G$1&amp;" : "&amp;TEXTVALUE!G431</f>
        <v>KAMAR : 
MADRASIAH : </v>
      </c>
      <c r="D431" s="14" t="str">
        <f>TEXTVALUE!Q431</f>
        <v>Syahriyah = Rp 0
Jariyah = Rp 0
Daftar Ulang = Rp 0
Total = Rp 0
______________________
ID : </v>
      </c>
      <c r="E431" s="14" t="str">
        <f>TEXTVALUE!P431</f>
        <v>Rp 0</v>
      </c>
      <c r="F431" s="14"/>
    </row>
    <row r="432">
      <c r="A432" s="14" t="str">
        <f>$E$1&amp;""&amp;TEXTVALUE!H432</f>
        <v>+</v>
      </c>
      <c r="B432" s="14" t="str">
        <f>TEXTVALUE!B432</f>
        <v/>
      </c>
      <c r="C432" s="14" t="str">
        <f>TEXTVALUE!$E$1&amp;" : "&amp;TEXTVALUE!E432&amp;"
"&amp;TEXTVALUE!$G$1&amp;" : "&amp;TEXTVALUE!G432</f>
        <v>KAMAR : 
MADRASIAH : </v>
      </c>
      <c r="D432" s="14" t="str">
        <f>TEXTVALUE!Q432</f>
        <v>Syahriyah = Rp 0
Jariyah = Rp 0
Daftar Ulang = Rp 0
Total = Rp 0
______________________
ID : </v>
      </c>
      <c r="E432" s="14" t="str">
        <f>TEXTVALUE!P432</f>
        <v>Rp 0</v>
      </c>
      <c r="F432" s="14"/>
    </row>
    <row r="433">
      <c r="A433" s="14" t="str">
        <f>$E$1&amp;""&amp;TEXTVALUE!H433</f>
        <v>+</v>
      </c>
      <c r="B433" s="14" t="str">
        <f>TEXTVALUE!B433</f>
        <v/>
      </c>
      <c r="C433" s="14" t="str">
        <f>TEXTVALUE!$E$1&amp;" : "&amp;TEXTVALUE!E433&amp;"
"&amp;TEXTVALUE!$G$1&amp;" : "&amp;TEXTVALUE!G433</f>
        <v>KAMAR : 
MADRASIAH : </v>
      </c>
      <c r="D433" s="14" t="str">
        <f>TEXTVALUE!Q433</f>
        <v>Syahriyah = Rp 0
Jariyah = Rp 0
Daftar Ulang = Rp 0
Total = Rp 0
______________________
ID : </v>
      </c>
      <c r="E433" s="14" t="str">
        <f>TEXTVALUE!P433</f>
        <v>Rp 0</v>
      </c>
      <c r="F433" s="14"/>
    </row>
    <row r="434">
      <c r="A434" s="14" t="str">
        <f>$E$1&amp;""&amp;TEXTVALUE!H434</f>
        <v>+</v>
      </c>
      <c r="B434" s="14" t="str">
        <f>TEXTVALUE!B434</f>
        <v/>
      </c>
      <c r="C434" s="14" t="str">
        <f>TEXTVALUE!$E$1&amp;" : "&amp;TEXTVALUE!E434&amp;"
"&amp;TEXTVALUE!$G$1&amp;" : "&amp;TEXTVALUE!G434</f>
        <v>KAMAR : 
MADRASIAH : </v>
      </c>
      <c r="D434" s="14" t="str">
        <f>TEXTVALUE!Q434</f>
        <v>Syahriyah = Rp 0
Jariyah = Rp 0
Daftar Ulang = Rp 0
Total = Rp 0
______________________
ID : </v>
      </c>
      <c r="E434" s="14" t="str">
        <f>TEXTVALUE!P434</f>
        <v>Rp 0</v>
      </c>
      <c r="F434" s="14"/>
    </row>
    <row r="435">
      <c r="A435" s="14" t="str">
        <f>$E$1&amp;""&amp;TEXTVALUE!H435</f>
        <v>+</v>
      </c>
      <c r="B435" s="14" t="str">
        <f>TEXTVALUE!B435</f>
        <v/>
      </c>
      <c r="C435" s="14" t="str">
        <f>TEXTVALUE!$E$1&amp;" : "&amp;TEXTVALUE!E435&amp;"
"&amp;TEXTVALUE!$G$1&amp;" : "&amp;TEXTVALUE!G435</f>
        <v>KAMAR : 
MADRASIAH : </v>
      </c>
      <c r="D435" s="14" t="str">
        <f>TEXTVALUE!Q435</f>
        <v>Syahriyah = Rp 0
Jariyah = Rp 0
Daftar Ulang = Rp 0
Total = Rp 0
______________________
ID : </v>
      </c>
      <c r="E435" s="14" t="str">
        <f>TEXTVALUE!P435</f>
        <v>Rp 0</v>
      </c>
      <c r="F435" s="14"/>
    </row>
    <row r="436">
      <c r="A436" s="14" t="str">
        <f>$E$1&amp;""&amp;TEXTVALUE!H436</f>
        <v>+</v>
      </c>
      <c r="B436" s="14" t="str">
        <f>TEXTVALUE!B436</f>
        <v/>
      </c>
      <c r="C436" s="14" t="str">
        <f>TEXTVALUE!$E$1&amp;" : "&amp;TEXTVALUE!E436&amp;"
"&amp;TEXTVALUE!$G$1&amp;" : "&amp;TEXTVALUE!G436</f>
        <v>KAMAR : 
MADRASIAH : </v>
      </c>
      <c r="D436" s="14" t="str">
        <f>TEXTVALUE!Q436</f>
        <v>Syahriyah = Rp 0
Jariyah = Rp 0
Daftar Ulang = Rp 0
Total = Rp 0
______________________
ID : </v>
      </c>
      <c r="E436" s="14" t="str">
        <f>TEXTVALUE!P436</f>
        <v>Rp 0</v>
      </c>
      <c r="F436" s="14"/>
    </row>
    <row r="437">
      <c r="A437" s="14" t="str">
        <f>$E$1&amp;""&amp;TEXTVALUE!H437</f>
        <v>+</v>
      </c>
      <c r="B437" s="14" t="str">
        <f>TEXTVALUE!B437</f>
        <v/>
      </c>
      <c r="C437" s="14" t="str">
        <f>TEXTVALUE!$E$1&amp;" : "&amp;TEXTVALUE!E437&amp;"
"&amp;TEXTVALUE!$G$1&amp;" : "&amp;TEXTVALUE!G437</f>
        <v>KAMAR : 
MADRASIAH : </v>
      </c>
      <c r="D437" s="14" t="str">
        <f>TEXTVALUE!Q437</f>
        <v>Syahriyah = Rp 0
Jariyah = Rp 0
Daftar Ulang = Rp 0
Total = Rp 0
______________________
ID : </v>
      </c>
      <c r="E437" s="14" t="str">
        <f>TEXTVALUE!P437</f>
        <v>Rp 0</v>
      </c>
      <c r="F437" s="14"/>
    </row>
    <row r="438">
      <c r="A438" s="14" t="str">
        <f>$E$1&amp;""&amp;TEXTVALUE!H438</f>
        <v>+</v>
      </c>
      <c r="B438" s="14" t="str">
        <f>TEXTVALUE!B438</f>
        <v/>
      </c>
      <c r="C438" s="14" t="str">
        <f>TEXTVALUE!$E$1&amp;" : "&amp;TEXTVALUE!E438&amp;"
"&amp;TEXTVALUE!$G$1&amp;" : "&amp;TEXTVALUE!G438</f>
        <v>KAMAR : 
MADRASIAH : </v>
      </c>
      <c r="D438" s="14" t="str">
        <f>TEXTVALUE!Q438</f>
        <v>Syahriyah = Rp 0
Jariyah = Rp 0
Daftar Ulang = Rp 0
Total = Rp 0
______________________
ID : </v>
      </c>
      <c r="E438" s="14" t="str">
        <f>TEXTVALUE!P438</f>
        <v>Rp 0</v>
      </c>
      <c r="F438" s="14"/>
    </row>
    <row r="439">
      <c r="A439" s="14" t="str">
        <f>$E$1&amp;""&amp;TEXTVALUE!H439</f>
        <v>+</v>
      </c>
      <c r="B439" s="14" t="str">
        <f>TEXTVALUE!B439</f>
        <v/>
      </c>
      <c r="C439" s="14" t="str">
        <f>TEXTVALUE!$E$1&amp;" : "&amp;TEXTVALUE!E439&amp;"
"&amp;TEXTVALUE!$G$1&amp;" : "&amp;TEXTVALUE!G439</f>
        <v>KAMAR : 
MADRASIAH : </v>
      </c>
      <c r="D439" s="14" t="str">
        <f>TEXTVALUE!Q439</f>
        <v>Syahriyah = Rp 0
Jariyah = Rp 0
Daftar Ulang = Rp 0
Total = Rp 0
______________________
ID : </v>
      </c>
      <c r="E439" s="14" t="str">
        <f>TEXTVALUE!P439</f>
        <v>Rp 0</v>
      </c>
      <c r="F439" s="14"/>
    </row>
    <row r="440">
      <c r="A440" s="14" t="str">
        <f>$E$1&amp;""&amp;TEXTVALUE!H440</f>
        <v>+</v>
      </c>
      <c r="B440" s="14" t="str">
        <f>TEXTVALUE!B440</f>
        <v/>
      </c>
      <c r="C440" s="14" t="str">
        <f>TEXTVALUE!$E$1&amp;" : "&amp;TEXTVALUE!E440&amp;"
"&amp;TEXTVALUE!$G$1&amp;" : "&amp;TEXTVALUE!G440</f>
        <v>KAMAR : 
MADRASIAH : </v>
      </c>
      <c r="D440" s="14" t="str">
        <f>TEXTVALUE!Q440</f>
        <v>Syahriyah = Rp 0
Jariyah = Rp 0
Daftar Ulang = Rp 0
Total = Rp 0
______________________
ID : </v>
      </c>
      <c r="E440" s="14" t="str">
        <f>TEXTVALUE!P440</f>
        <v>Rp 0</v>
      </c>
      <c r="F440" s="14"/>
    </row>
    <row r="441">
      <c r="A441" s="14" t="str">
        <f>$E$1&amp;""&amp;TEXTVALUE!H441</f>
        <v>+</v>
      </c>
      <c r="B441" s="14" t="str">
        <f>TEXTVALUE!B441</f>
        <v/>
      </c>
      <c r="C441" s="14" t="str">
        <f>TEXTVALUE!$E$1&amp;" : "&amp;TEXTVALUE!E441&amp;"
"&amp;TEXTVALUE!$G$1&amp;" : "&amp;TEXTVALUE!G441</f>
        <v>KAMAR : 
MADRASIAH : </v>
      </c>
      <c r="D441" s="14" t="str">
        <f>TEXTVALUE!Q441</f>
        <v>Syahriyah = Rp 0
Jariyah = Rp 0
Daftar Ulang = Rp 0
Total = Rp 0
______________________
ID : </v>
      </c>
      <c r="E441" s="14" t="str">
        <f>TEXTVALUE!P441</f>
        <v>Rp 0</v>
      </c>
      <c r="F441" s="14"/>
    </row>
    <row r="442">
      <c r="A442" s="14" t="str">
        <f>$E$1&amp;""&amp;TEXTVALUE!H442</f>
        <v>+</v>
      </c>
      <c r="B442" s="14" t="str">
        <f>TEXTVALUE!B442</f>
        <v/>
      </c>
      <c r="C442" s="14" t="str">
        <f>TEXTVALUE!$E$1&amp;" : "&amp;TEXTVALUE!E442&amp;"
"&amp;TEXTVALUE!$G$1&amp;" : "&amp;TEXTVALUE!G442</f>
        <v>KAMAR : 
MADRASIAH : </v>
      </c>
      <c r="D442" s="14" t="str">
        <f>TEXTVALUE!Q442</f>
        <v>Syahriyah = Rp 0
Jariyah = Rp 0
Daftar Ulang = Rp 0
Total = Rp 0
______________________
ID : </v>
      </c>
      <c r="E442" s="14" t="str">
        <f>TEXTVALUE!P442</f>
        <v>Rp 0</v>
      </c>
      <c r="F442" s="14"/>
    </row>
    <row r="443">
      <c r="A443" s="14" t="str">
        <f>$E$1&amp;""&amp;TEXTVALUE!H443</f>
        <v>+</v>
      </c>
      <c r="B443" s="14" t="str">
        <f>TEXTVALUE!B443</f>
        <v/>
      </c>
      <c r="C443" s="14" t="str">
        <f>TEXTVALUE!$E$1&amp;" : "&amp;TEXTVALUE!E443&amp;"
"&amp;TEXTVALUE!$G$1&amp;" : "&amp;TEXTVALUE!G443</f>
        <v>KAMAR : 
MADRASIAH : </v>
      </c>
      <c r="D443" s="14" t="str">
        <f>TEXTVALUE!Q443</f>
        <v>Syahriyah = Rp 0
Jariyah = Rp 0
Daftar Ulang = Rp 0
Total = Rp 0
______________________
ID : </v>
      </c>
      <c r="E443" s="14" t="str">
        <f>TEXTVALUE!P443</f>
        <v>Rp 0</v>
      </c>
      <c r="F443" s="14"/>
    </row>
    <row r="444">
      <c r="A444" s="14" t="str">
        <f>$E$1&amp;""&amp;TEXTVALUE!H444</f>
        <v>+</v>
      </c>
      <c r="B444" s="14" t="str">
        <f>TEXTVALUE!B444</f>
        <v/>
      </c>
      <c r="C444" s="14" t="str">
        <f>TEXTVALUE!$E$1&amp;" : "&amp;TEXTVALUE!E444&amp;"
"&amp;TEXTVALUE!$G$1&amp;" : "&amp;TEXTVALUE!G444</f>
        <v>KAMAR : 
MADRASIAH : </v>
      </c>
      <c r="D444" s="14" t="str">
        <f>TEXTVALUE!Q444</f>
        <v>Syahriyah = Rp 0
Jariyah = Rp 0
Daftar Ulang = Rp 0
Total = Rp 0
______________________
ID : </v>
      </c>
      <c r="E444" s="14" t="str">
        <f>TEXTVALUE!P444</f>
        <v>Rp 0</v>
      </c>
      <c r="F444" s="14"/>
    </row>
    <row r="445">
      <c r="A445" s="14" t="str">
        <f>$E$1&amp;""&amp;TEXTVALUE!H445</f>
        <v>+</v>
      </c>
      <c r="B445" s="14" t="str">
        <f>TEXTVALUE!B445</f>
        <v/>
      </c>
      <c r="C445" s="14" t="str">
        <f>TEXTVALUE!$E$1&amp;" : "&amp;TEXTVALUE!E445&amp;"
"&amp;TEXTVALUE!$G$1&amp;" : "&amp;TEXTVALUE!G445</f>
        <v>KAMAR : 
MADRASIAH : </v>
      </c>
      <c r="D445" s="14" t="str">
        <f>TEXTVALUE!Q445</f>
        <v>Syahriyah = Rp 0
Jariyah = Rp 0
Daftar Ulang = Rp 0
Total = Rp 0
______________________
ID : </v>
      </c>
      <c r="E445" s="14" t="str">
        <f>TEXTVALUE!P445</f>
        <v>Rp 0</v>
      </c>
      <c r="F445" s="14"/>
    </row>
    <row r="446">
      <c r="A446" s="14" t="str">
        <f>$E$1&amp;""&amp;TEXTVALUE!H446</f>
        <v>+</v>
      </c>
      <c r="B446" s="14" t="str">
        <f>TEXTVALUE!B446</f>
        <v/>
      </c>
      <c r="C446" s="14" t="str">
        <f>TEXTVALUE!$E$1&amp;" : "&amp;TEXTVALUE!E446&amp;"
"&amp;TEXTVALUE!$G$1&amp;" : "&amp;TEXTVALUE!G446</f>
        <v>KAMAR : 
MADRASIAH : </v>
      </c>
      <c r="D446" s="14" t="str">
        <f>TEXTVALUE!Q446</f>
        <v>Syahriyah = Rp 0
Jariyah = Rp 0
Daftar Ulang = Rp 0
Total = Rp 0
______________________
ID : </v>
      </c>
      <c r="E446" s="14" t="str">
        <f>TEXTVALUE!P446</f>
        <v>Rp 0</v>
      </c>
      <c r="F446" s="14"/>
    </row>
    <row r="447">
      <c r="A447" s="14" t="str">
        <f>$E$1&amp;""&amp;TEXTVALUE!H447</f>
        <v>+</v>
      </c>
      <c r="B447" s="14" t="str">
        <f>TEXTVALUE!B447</f>
        <v/>
      </c>
      <c r="C447" s="14" t="str">
        <f>TEXTVALUE!$E$1&amp;" : "&amp;TEXTVALUE!E447&amp;"
"&amp;TEXTVALUE!$G$1&amp;" : "&amp;TEXTVALUE!G447</f>
        <v>KAMAR : 
MADRASIAH : </v>
      </c>
      <c r="D447" s="14" t="str">
        <f>TEXTVALUE!Q447</f>
        <v>Syahriyah = Rp 0
Jariyah = Rp 0
Daftar Ulang = Rp 0
Total = Rp 0
______________________
ID : </v>
      </c>
      <c r="E447" s="14" t="str">
        <f>TEXTVALUE!P447</f>
        <v>Rp 0</v>
      </c>
      <c r="F447" s="14"/>
    </row>
    <row r="448">
      <c r="A448" s="14" t="str">
        <f>$E$1&amp;""&amp;TEXTVALUE!H448</f>
        <v>+</v>
      </c>
      <c r="B448" s="14" t="str">
        <f>TEXTVALUE!B448</f>
        <v/>
      </c>
      <c r="C448" s="14" t="str">
        <f>TEXTVALUE!$E$1&amp;" : "&amp;TEXTVALUE!E448&amp;"
"&amp;TEXTVALUE!$G$1&amp;" : "&amp;TEXTVALUE!G448</f>
        <v>KAMAR : 
MADRASIAH : </v>
      </c>
      <c r="D448" s="14" t="str">
        <f>TEXTVALUE!Q448</f>
        <v>Syahriyah = Rp 0
Jariyah = Rp 0
Daftar Ulang = Rp 0
Total = Rp 0
______________________
ID : </v>
      </c>
      <c r="E448" s="14" t="str">
        <f>TEXTVALUE!P448</f>
        <v>Rp 0</v>
      </c>
      <c r="F448" s="14"/>
    </row>
    <row r="449">
      <c r="A449" s="14" t="str">
        <f>$E$1&amp;""&amp;TEXTVALUE!H449</f>
        <v>+</v>
      </c>
      <c r="B449" s="14" t="str">
        <f>TEXTVALUE!B449</f>
        <v/>
      </c>
      <c r="C449" s="14" t="str">
        <f>TEXTVALUE!$E$1&amp;" : "&amp;TEXTVALUE!E449&amp;"
"&amp;TEXTVALUE!$G$1&amp;" : "&amp;TEXTVALUE!G449</f>
        <v>KAMAR : 
MADRASIAH : </v>
      </c>
      <c r="D449" s="14" t="str">
        <f>TEXTVALUE!Q449</f>
        <v>Syahriyah = Rp 0
Jariyah = Rp 0
Daftar Ulang = Rp 0
Total = Rp 0
______________________
ID : </v>
      </c>
      <c r="E449" s="14" t="str">
        <f>TEXTVALUE!P449</f>
        <v>Rp 0</v>
      </c>
      <c r="F449" s="14"/>
    </row>
    <row r="450">
      <c r="A450" s="14" t="str">
        <f>$E$1&amp;""&amp;TEXTVALUE!H450</f>
        <v>+</v>
      </c>
      <c r="B450" s="14" t="str">
        <f>TEXTVALUE!B450</f>
        <v/>
      </c>
      <c r="C450" s="14" t="str">
        <f>TEXTVALUE!$E$1&amp;" : "&amp;TEXTVALUE!E450&amp;"
"&amp;TEXTVALUE!$G$1&amp;" : "&amp;TEXTVALUE!G450</f>
        <v>KAMAR : 
MADRASIAH : </v>
      </c>
      <c r="D450" s="14" t="str">
        <f>TEXTVALUE!Q450</f>
        <v>Syahriyah = Rp 0
Jariyah = Rp 0
Daftar Ulang = Rp 0
Total = Rp 0
______________________
ID : </v>
      </c>
      <c r="E450" s="14" t="str">
        <f>TEXTVALUE!P450</f>
        <v>Rp 0</v>
      </c>
      <c r="F450" s="14"/>
    </row>
    <row r="451">
      <c r="A451" s="14" t="str">
        <f>$E$1&amp;""&amp;TEXTVALUE!H451</f>
        <v>+</v>
      </c>
      <c r="B451" s="14" t="str">
        <f>TEXTVALUE!B451</f>
        <v/>
      </c>
      <c r="C451" s="14" t="str">
        <f>TEXTVALUE!$E$1&amp;" : "&amp;TEXTVALUE!E451&amp;"
"&amp;TEXTVALUE!$G$1&amp;" : "&amp;TEXTVALUE!G451</f>
        <v>KAMAR : 
MADRASIAH : </v>
      </c>
      <c r="D451" s="14" t="str">
        <f>TEXTVALUE!Q451</f>
        <v>Syahriyah = Rp 0
Jariyah = Rp 0
Daftar Ulang = Rp 0
Total = Rp 0
______________________
ID : </v>
      </c>
      <c r="E451" s="14" t="str">
        <f>TEXTVALUE!P451</f>
        <v>Rp 0</v>
      </c>
      <c r="F451" s="14"/>
    </row>
    <row r="452">
      <c r="A452" s="14" t="str">
        <f>$E$1&amp;""&amp;TEXTVALUE!H452</f>
        <v>+</v>
      </c>
      <c r="B452" s="14" t="str">
        <f>TEXTVALUE!B452</f>
        <v/>
      </c>
      <c r="C452" s="14" t="str">
        <f>TEXTVALUE!$E$1&amp;" : "&amp;TEXTVALUE!E452&amp;"
"&amp;TEXTVALUE!$G$1&amp;" : "&amp;TEXTVALUE!G452</f>
        <v>KAMAR : 
MADRASIAH : </v>
      </c>
      <c r="D452" s="14" t="str">
        <f>TEXTVALUE!Q452</f>
        <v>Syahriyah = Rp 0
Jariyah = Rp 0
Daftar Ulang = Rp 0
Total = Rp 0
______________________
ID : </v>
      </c>
      <c r="E452" s="14" t="str">
        <f>TEXTVALUE!P452</f>
        <v>Rp 0</v>
      </c>
      <c r="F452" s="14"/>
    </row>
    <row r="453">
      <c r="A453" s="14" t="str">
        <f>$E$1&amp;""&amp;TEXTVALUE!H453</f>
        <v>+</v>
      </c>
      <c r="B453" s="14" t="str">
        <f>TEXTVALUE!B453</f>
        <v/>
      </c>
      <c r="C453" s="14" t="str">
        <f>TEXTVALUE!$E$1&amp;" : "&amp;TEXTVALUE!E453&amp;"
"&amp;TEXTVALUE!$G$1&amp;" : "&amp;TEXTVALUE!G453</f>
        <v>KAMAR : 
MADRASIAH : </v>
      </c>
      <c r="D453" s="14" t="str">
        <f>TEXTVALUE!Q453</f>
        <v>Syahriyah = Rp 0
Jariyah = Rp 0
Daftar Ulang = Rp 0
Total = Rp 0
______________________
ID : </v>
      </c>
      <c r="E453" s="14" t="str">
        <f>TEXTVALUE!P453</f>
        <v>Rp 0</v>
      </c>
      <c r="F453" s="14"/>
    </row>
    <row r="454">
      <c r="A454" s="14" t="str">
        <f>$E$1&amp;""&amp;TEXTVALUE!H454</f>
        <v>+</v>
      </c>
      <c r="B454" s="14" t="str">
        <f>TEXTVALUE!B454</f>
        <v/>
      </c>
      <c r="C454" s="14" t="str">
        <f>TEXTVALUE!$E$1&amp;" : "&amp;TEXTVALUE!E454&amp;"
"&amp;TEXTVALUE!$G$1&amp;" : "&amp;TEXTVALUE!G454</f>
        <v>KAMAR : 
MADRASIAH : </v>
      </c>
      <c r="D454" s="14" t="str">
        <f>TEXTVALUE!Q454</f>
        <v>Syahriyah = Rp 0
Jariyah = Rp 0
Daftar Ulang = Rp 0
Total = Rp 0
______________________
ID : </v>
      </c>
      <c r="E454" s="14" t="str">
        <f>TEXTVALUE!P454</f>
        <v>Rp 0</v>
      </c>
      <c r="F454" s="14"/>
    </row>
    <row r="455">
      <c r="A455" s="14" t="str">
        <f>$E$1&amp;""&amp;TEXTVALUE!H455</f>
        <v>+</v>
      </c>
      <c r="B455" s="14" t="str">
        <f>TEXTVALUE!B455</f>
        <v/>
      </c>
      <c r="C455" s="14" t="str">
        <f>TEXTVALUE!$E$1&amp;" : "&amp;TEXTVALUE!E455&amp;"
"&amp;TEXTVALUE!$G$1&amp;" : "&amp;TEXTVALUE!G455</f>
        <v>KAMAR : 
MADRASIAH : </v>
      </c>
      <c r="D455" s="14" t="str">
        <f>TEXTVALUE!Q455</f>
        <v>Syahriyah = Rp 0
Jariyah = Rp 0
Daftar Ulang = Rp 0
Total = Rp 0
______________________
ID : </v>
      </c>
      <c r="E455" s="14" t="str">
        <f>TEXTVALUE!P455</f>
        <v>Rp 0</v>
      </c>
      <c r="F455" s="14"/>
    </row>
    <row r="456">
      <c r="A456" s="14" t="str">
        <f>$E$1&amp;""&amp;TEXTVALUE!H456</f>
        <v>+</v>
      </c>
      <c r="B456" s="14" t="str">
        <f>TEXTVALUE!B456</f>
        <v/>
      </c>
      <c r="C456" s="14" t="str">
        <f>TEXTVALUE!$E$1&amp;" : "&amp;TEXTVALUE!E456&amp;"
"&amp;TEXTVALUE!$G$1&amp;" : "&amp;TEXTVALUE!G456</f>
        <v>KAMAR : 
MADRASIAH : </v>
      </c>
      <c r="D456" s="14" t="str">
        <f>TEXTVALUE!Q456</f>
        <v>Syahriyah = Rp 0
Jariyah = Rp 0
Daftar Ulang = Rp 0
Total = Rp 0
______________________
ID : </v>
      </c>
      <c r="E456" s="14" t="str">
        <f>TEXTVALUE!P456</f>
        <v>Rp 0</v>
      </c>
      <c r="F456" s="14"/>
    </row>
    <row r="457">
      <c r="A457" s="14" t="str">
        <f>$E$1&amp;""&amp;TEXTVALUE!H457</f>
        <v>+</v>
      </c>
      <c r="B457" s="14" t="str">
        <f>TEXTVALUE!B457</f>
        <v/>
      </c>
      <c r="C457" s="14" t="str">
        <f>TEXTVALUE!$E$1&amp;" : "&amp;TEXTVALUE!E457&amp;"
"&amp;TEXTVALUE!$G$1&amp;" : "&amp;TEXTVALUE!G457</f>
        <v>KAMAR : 
MADRASIAH : </v>
      </c>
      <c r="D457" s="14" t="str">
        <f>TEXTVALUE!Q457</f>
        <v>Syahriyah = Rp 0
Jariyah = Rp 0
Daftar Ulang = Rp 0
Total = Rp 0
______________________
ID : </v>
      </c>
      <c r="E457" s="14" t="str">
        <f>TEXTVALUE!P457</f>
        <v>Rp 0</v>
      </c>
      <c r="F457" s="14"/>
    </row>
    <row r="458">
      <c r="A458" s="14" t="str">
        <f>$E$1&amp;""&amp;TEXTVALUE!H458</f>
        <v>+</v>
      </c>
      <c r="B458" s="14" t="str">
        <f>TEXTVALUE!B458</f>
        <v/>
      </c>
      <c r="C458" s="14" t="str">
        <f>TEXTVALUE!$E$1&amp;" : "&amp;TEXTVALUE!E458&amp;"
"&amp;TEXTVALUE!$G$1&amp;" : "&amp;TEXTVALUE!G458</f>
        <v>KAMAR : 
MADRASIAH : </v>
      </c>
      <c r="D458" s="14" t="str">
        <f>TEXTVALUE!Q458</f>
        <v>Syahriyah = Rp 0
Jariyah = Rp 0
Daftar Ulang = Rp 0
Total = Rp 0
______________________
ID : </v>
      </c>
      <c r="E458" s="14" t="str">
        <f>TEXTVALUE!P458</f>
        <v>Rp 0</v>
      </c>
      <c r="F458" s="14"/>
    </row>
    <row r="459">
      <c r="A459" s="14" t="str">
        <f>$E$1&amp;""&amp;TEXTVALUE!H459</f>
        <v>+</v>
      </c>
      <c r="B459" s="14" t="str">
        <f>TEXTVALUE!B459</f>
        <v/>
      </c>
      <c r="C459" s="14" t="str">
        <f>TEXTVALUE!$E$1&amp;" : "&amp;TEXTVALUE!E459&amp;"
"&amp;TEXTVALUE!$G$1&amp;" : "&amp;TEXTVALUE!G459</f>
        <v>KAMAR : 
MADRASIAH : </v>
      </c>
      <c r="D459" s="14" t="str">
        <f>TEXTVALUE!Q459</f>
        <v>Syahriyah = Rp 0
Jariyah = Rp 0
Daftar Ulang = Rp 0
Total = Rp 0
______________________
ID : </v>
      </c>
      <c r="E459" s="14" t="str">
        <f>TEXTVALUE!P459</f>
        <v>Rp 0</v>
      </c>
      <c r="F459" s="14"/>
    </row>
    <row r="460">
      <c r="A460" s="14" t="str">
        <f>$E$1&amp;""&amp;TEXTVALUE!H460</f>
        <v>+</v>
      </c>
      <c r="B460" s="14" t="str">
        <f>TEXTVALUE!B460</f>
        <v/>
      </c>
      <c r="C460" s="14" t="str">
        <f>TEXTVALUE!$E$1&amp;" : "&amp;TEXTVALUE!E460&amp;"
"&amp;TEXTVALUE!$G$1&amp;" : "&amp;TEXTVALUE!G460</f>
        <v>KAMAR : 
MADRASIAH : </v>
      </c>
      <c r="D460" s="14" t="str">
        <f>TEXTVALUE!Q460</f>
        <v>Syahriyah = Rp 0
Jariyah = Rp 0
Daftar Ulang = Rp 0
Total = Rp 0
______________________
ID : </v>
      </c>
      <c r="E460" s="14" t="str">
        <f>TEXTVALUE!P460</f>
        <v>Rp 0</v>
      </c>
      <c r="F460" s="14"/>
    </row>
    <row r="461">
      <c r="A461" s="14" t="str">
        <f>$E$1&amp;""&amp;TEXTVALUE!H461</f>
        <v>+</v>
      </c>
      <c r="B461" s="14" t="str">
        <f>TEXTVALUE!B461</f>
        <v/>
      </c>
      <c r="C461" s="14" t="str">
        <f>TEXTVALUE!$E$1&amp;" : "&amp;TEXTVALUE!E461&amp;"
"&amp;TEXTVALUE!$G$1&amp;" : "&amp;TEXTVALUE!G461</f>
        <v>KAMAR : 
MADRASIAH : </v>
      </c>
      <c r="D461" s="14" t="str">
        <f>TEXTVALUE!Q461</f>
        <v>Syahriyah = Rp 0
Jariyah = Rp 0
Daftar Ulang = Rp 0
Total = Rp 0
______________________
ID : </v>
      </c>
      <c r="E461" s="14" t="str">
        <f>TEXTVALUE!P461</f>
        <v>Rp 0</v>
      </c>
      <c r="F461" s="14"/>
    </row>
    <row r="462">
      <c r="A462" s="14" t="str">
        <f>$E$1&amp;""&amp;TEXTVALUE!H462</f>
        <v>+</v>
      </c>
      <c r="B462" s="14" t="str">
        <f>TEXTVALUE!B462</f>
        <v/>
      </c>
      <c r="C462" s="14" t="str">
        <f>TEXTVALUE!$E$1&amp;" : "&amp;TEXTVALUE!E462&amp;"
"&amp;TEXTVALUE!$G$1&amp;" : "&amp;TEXTVALUE!G462</f>
        <v>KAMAR : 
MADRASIAH : </v>
      </c>
      <c r="D462" s="14" t="str">
        <f>TEXTVALUE!Q462</f>
        <v>Syahriyah = Rp 0
Jariyah = Rp 0
Daftar Ulang = Rp 0
Total = Rp 0
______________________
ID : </v>
      </c>
      <c r="E462" s="14" t="str">
        <f>TEXTVALUE!P462</f>
        <v>Rp 0</v>
      </c>
      <c r="F462" s="14"/>
    </row>
    <row r="463">
      <c r="A463" s="14" t="str">
        <f>$E$1&amp;""&amp;TEXTVALUE!H463</f>
        <v>+</v>
      </c>
      <c r="B463" s="14" t="str">
        <f>TEXTVALUE!B463</f>
        <v/>
      </c>
      <c r="C463" s="14" t="str">
        <f>TEXTVALUE!$E$1&amp;" : "&amp;TEXTVALUE!E463&amp;"
"&amp;TEXTVALUE!$G$1&amp;" : "&amp;TEXTVALUE!G463</f>
        <v>KAMAR : 
MADRASIAH : </v>
      </c>
      <c r="D463" s="14" t="str">
        <f>TEXTVALUE!Q463</f>
        <v>Syahriyah = Rp 0
Jariyah = Rp 0
Daftar Ulang = Rp 0
Total = Rp 0
______________________
ID : </v>
      </c>
      <c r="E463" s="14" t="str">
        <f>TEXTVALUE!P463</f>
        <v>Rp 0</v>
      </c>
      <c r="F463" s="14"/>
    </row>
    <row r="464">
      <c r="A464" s="14" t="str">
        <f>$E$1&amp;""&amp;TEXTVALUE!H464</f>
        <v>+</v>
      </c>
      <c r="B464" s="14" t="str">
        <f>TEXTVALUE!B464</f>
        <v/>
      </c>
      <c r="C464" s="14" t="str">
        <f>TEXTVALUE!$E$1&amp;" : "&amp;TEXTVALUE!E464&amp;"
"&amp;TEXTVALUE!$G$1&amp;" : "&amp;TEXTVALUE!G464</f>
        <v>KAMAR : 
MADRASIAH : </v>
      </c>
      <c r="D464" s="14" t="str">
        <f>TEXTVALUE!Q464</f>
        <v>Syahriyah = Rp 0
Jariyah = Rp 0
Daftar Ulang = Rp 0
Total = Rp 0
______________________
ID : </v>
      </c>
      <c r="E464" s="14" t="str">
        <f>TEXTVALUE!P464</f>
        <v>Rp 0</v>
      </c>
      <c r="F464" s="14"/>
    </row>
    <row r="465">
      <c r="A465" s="14" t="str">
        <f>$E$1&amp;""&amp;TEXTVALUE!H465</f>
        <v>+</v>
      </c>
      <c r="B465" s="14" t="str">
        <f>TEXTVALUE!B465</f>
        <v/>
      </c>
      <c r="C465" s="14" t="str">
        <f>TEXTVALUE!$E$1&amp;" : "&amp;TEXTVALUE!E465&amp;"
"&amp;TEXTVALUE!$G$1&amp;" : "&amp;TEXTVALUE!G465</f>
        <v>KAMAR : 
MADRASIAH : </v>
      </c>
      <c r="D465" s="14" t="str">
        <f>TEXTVALUE!Q465</f>
        <v>Syahriyah = Rp 0
Jariyah = Rp 0
Daftar Ulang = Rp 0
Total = Rp 0
______________________
ID : </v>
      </c>
      <c r="E465" s="14" t="str">
        <f>TEXTVALUE!P465</f>
        <v>Rp 0</v>
      </c>
      <c r="F465" s="14"/>
    </row>
    <row r="466">
      <c r="A466" s="14" t="str">
        <f>$E$1&amp;""&amp;TEXTVALUE!H466</f>
        <v>+</v>
      </c>
      <c r="B466" s="14" t="str">
        <f>TEXTVALUE!B466</f>
        <v/>
      </c>
      <c r="C466" s="14" t="str">
        <f>TEXTVALUE!$E$1&amp;" : "&amp;TEXTVALUE!E466&amp;"
"&amp;TEXTVALUE!$G$1&amp;" : "&amp;TEXTVALUE!G466</f>
        <v>KAMAR : 
MADRASIAH : </v>
      </c>
      <c r="D466" s="14" t="str">
        <f>TEXTVALUE!Q466</f>
        <v>Syahriyah = Rp 0
Jariyah = Rp 0
Daftar Ulang = Rp 0
Total = Rp 0
______________________
ID : </v>
      </c>
      <c r="E466" s="14" t="str">
        <f>TEXTVALUE!P466</f>
        <v>Rp 0</v>
      </c>
      <c r="F466" s="14"/>
    </row>
    <row r="467">
      <c r="A467" s="14" t="str">
        <f>$E$1&amp;""&amp;TEXTVALUE!H467</f>
        <v>+</v>
      </c>
      <c r="B467" s="14" t="str">
        <f>TEXTVALUE!B467</f>
        <v/>
      </c>
      <c r="C467" s="14" t="str">
        <f>TEXTVALUE!$E$1&amp;" : "&amp;TEXTVALUE!E467&amp;"
"&amp;TEXTVALUE!$G$1&amp;" : "&amp;TEXTVALUE!G467</f>
        <v>KAMAR : 
MADRASIAH : </v>
      </c>
      <c r="D467" s="14" t="str">
        <f>TEXTVALUE!Q467</f>
        <v>Syahriyah = Rp 0
Jariyah = Rp 0
Daftar Ulang = Rp 0
Total = Rp 0
______________________
ID : </v>
      </c>
      <c r="E467" s="14" t="str">
        <f>TEXTVALUE!P467</f>
        <v>Rp 0</v>
      </c>
      <c r="F467" s="14"/>
    </row>
    <row r="468">
      <c r="A468" s="14" t="str">
        <f>$E$1&amp;""&amp;TEXTVALUE!H468</f>
        <v>+</v>
      </c>
      <c r="B468" s="14" t="str">
        <f>TEXTVALUE!B468</f>
        <v/>
      </c>
      <c r="C468" s="14" t="str">
        <f>TEXTVALUE!$E$1&amp;" : "&amp;TEXTVALUE!E468&amp;"
"&amp;TEXTVALUE!$G$1&amp;" : "&amp;TEXTVALUE!G468</f>
        <v>KAMAR : 
MADRASIAH : </v>
      </c>
      <c r="D468" s="14" t="str">
        <f>TEXTVALUE!Q468</f>
        <v>Syahriyah = Rp 0
Jariyah = Rp 0
Daftar Ulang = Rp 0
Total = Rp 0
______________________
ID : </v>
      </c>
      <c r="E468" s="14" t="str">
        <f>TEXTVALUE!P468</f>
        <v>Rp 0</v>
      </c>
      <c r="F468" s="14"/>
    </row>
    <row r="469">
      <c r="A469" s="14" t="str">
        <f>$E$1&amp;""&amp;TEXTVALUE!H469</f>
        <v>+</v>
      </c>
      <c r="B469" s="14" t="str">
        <f>TEXTVALUE!B469</f>
        <v/>
      </c>
      <c r="C469" s="14" t="str">
        <f>TEXTVALUE!$E$1&amp;" : "&amp;TEXTVALUE!E469&amp;"
"&amp;TEXTVALUE!$G$1&amp;" : "&amp;TEXTVALUE!G469</f>
        <v>KAMAR : 
MADRASIAH : </v>
      </c>
      <c r="D469" s="14" t="str">
        <f>TEXTVALUE!Q469</f>
        <v>Syahriyah = Rp 0
Jariyah = Rp 0
Daftar Ulang = Rp 0
Total = Rp 0
______________________
ID : </v>
      </c>
      <c r="E469" s="14" t="str">
        <f>TEXTVALUE!P469</f>
        <v>Rp 0</v>
      </c>
      <c r="F469" s="14"/>
    </row>
    <row r="470">
      <c r="A470" s="14" t="str">
        <f>$E$1&amp;""&amp;TEXTVALUE!H470</f>
        <v>+</v>
      </c>
      <c r="B470" s="14" t="str">
        <f>TEXTVALUE!B470</f>
        <v/>
      </c>
      <c r="C470" s="14" t="str">
        <f>TEXTVALUE!$E$1&amp;" : "&amp;TEXTVALUE!E470&amp;"
"&amp;TEXTVALUE!$G$1&amp;" : "&amp;TEXTVALUE!G470</f>
        <v>KAMAR : 
MADRASIAH : </v>
      </c>
      <c r="D470" s="14" t="str">
        <f>TEXTVALUE!Q470</f>
        <v>Syahriyah = Rp 0
Jariyah = Rp 0
Daftar Ulang = Rp 0
Total = Rp 0
______________________
ID : </v>
      </c>
      <c r="E470" s="14" t="str">
        <f>TEXTVALUE!P470</f>
        <v>Rp 0</v>
      </c>
      <c r="F470" s="14"/>
    </row>
    <row r="471">
      <c r="A471" s="14" t="str">
        <f>$E$1&amp;""&amp;TEXTVALUE!H471</f>
        <v>+</v>
      </c>
      <c r="B471" s="14" t="str">
        <f>TEXTVALUE!B471</f>
        <v/>
      </c>
      <c r="C471" s="14" t="str">
        <f>TEXTVALUE!$E$1&amp;" : "&amp;TEXTVALUE!E471&amp;"
"&amp;TEXTVALUE!$G$1&amp;" : "&amp;TEXTVALUE!G471</f>
        <v>KAMAR : 
MADRASIAH : </v>
      </c>
      <c r="D471" s="14" t="str">
        <f>TEXTVALUE!Q471</f>
        <v>Syahriyah = Rp 0
Jariyah = Rp 0
Daftar Ulang = Rp 0
Total = Rp 0
______________________
ID : </v>
      </c>
      <c r="E471" s="14" t="str">
        <f>TEXTVALUE!P471</f>
        <v>Rp 0</v>
      </c>
      <c r="F471" s="14"/>
    </row>
    <row r="472">
      <c r="A472" s="14" t="str">
        <f>$E$1&amp;""&amp;TEXTVALUE!H472</f>
        <v>+</v>
      </c>
      <c r="B472" s="14" t="str">
        <f>TEXTVALUE!B472</f>
        <v/>
      </c>
      <c r="C472" s="14" t="str">
        <f>TEXTVALUE!$E$1&amp;" : "&amp;TEXTVALUE!E472&amp;"
"&amp;TEXTVALUE!$G$1&amp;" : "&amp;TEXTVALUE!G472</f>
        <v>KAMAR : 
MADRASIAH : </v>
      </c>
      <c r="D472" s="14" t="str">
        <f>TEXTVALUE!Q472</f>
        <v>Syahriyah = Rp 0
Jariyah = Rp 0
Daftar Ulang = Rp 0
Total = Rp 0
______________________
ID : </v>
      </c>
      <c r="E472" s="14" t="str">
        <f>TEXTVALUE!P472</f>
        <v>Rp 0</v>
      </c>
      <c r="F472" s="14"/>
    </row>
    <row r="473">
      <c r="A473" s="14" t="str">
        <f>$E$1&amp;""&amp;TEXTVALUE!H473</f>
        <v>+</v>
      </c>
      <c r="B473" s="14" t="str">
        <f>TEXTVALUE!B473</f>
        <v/>
      </c>
      <c r="C473" s="14" t="str">
        <f>TEXTVALUE!$E$1&amp;" : "&amp;TEXTVALUE!E473&amp;"
"&amp;TEXTVALUE!$G$1&amp;" : "&amp;TEXTVALUE!G473</f>
        <v>KAMAR : 
MADRASIAH : </v>
      </c>
      <c r="D473" s="14" t="str">
        <f>TEXTVALUE!Q473</f>
        <v>Syahriyah = Rp 0
Jariyah = Rp 0
Daftar Ulang = Rp 0
Total = Rp 0
______________________
ID : </v>
      </c>
      <c r="E473" s="14" t="str">
        <f>TEXTVALUE!P473</f>
        <v>Rp 0</v>
      </c>
      <c r="F473" s="14"/>
    </row>
    <row r="474">
      <c r="A474" s="14" t="str">
        <f>$E$1&amp;""&amp;TEXTVALUE!H474</f>
        <v>+</v>
      </c>
      <c r="B474" s="14" t="str">
        <f>TEXTVALUE!B474</f>
        <v/>
      </c>
      <c r="C474" s="14" t="str">
        <f>TEXTVALUE!$E$1&amp;" : "&amp;TEXTVALUE!E474&amp;"
"&amp;TEXTVALUE!$G$1&amp;" : "&amp;TEXTVALUE!G474</f>
        <v>KAMAR : 
MADRASIAH : </v>
      </c>
      <c r="D474" s="14" t="str">
        <f>TEXTVALUE!Q474</f>
        <v>Syahriyah = Rp 0
Jariyah = Rp 0
Daftar Ulang = Rp 0
Total = Rp 0
______________________
ID : </v>
      </c>
      <c r="E474" s="14" t="str">
        <f>TEXTVALUE!P474</f>
        <v>Rp 0</v>
      </c>
      <c r="F474" s="14"/>
    </row>
    <row r="475">
      <c r="A475" s="14" t="str">
        <f>$E$1&amp;""&amp;TEXTVALUE!H475</f>
        <v>+</v>
      </c>
      <c r="B475" s="14" t="str">
        <f>TEXTVALUE!B475</f>
        <v/>
      </c>
      <c r="C475" s="14" t="str">
        <f>TEXTVALUE!$E$1&amp;" : "&amp;TEXTVALUE!E475&amp;"
"&amp;TEXTVALUE!$G$1&amp;" : "&amp;TEXTVALUE!G475</f>
        <v>KAMAR : 
MADRASIAH : </v>
      </c>
      <c r="D475" s="14" t="str">
        <f>TEXTVALUE!Q475</f>
        <v>Syahriyah = Rp 0
Jariyah = Rp 0
Daftar Ulang = Rp 0
Total = Rp 0
______________________
ID : </v>
      </c>
      <c r="E475" s="14" t="str">
        <f>TEXTVALUE!P475</f>
        <v>Rp 0</v>
      </c>
      <c r="F475" s="14"/>
    </row>
    <row r="476">
      <c r="A476" s="14" t="str">
        <f>$E$1&amp;""&amp;TEXTVALUE!H476</f>
        <v>+</v>
      </c>
      <c r="B476" s="14" t="str">
        <f>TEXTVALUE!B476</f>
        <v/>
      </c>
      <c r="C476" s="14" t="str">
        <f>TEXTVALUE!$E$1&amp;" : "&amp;TEXTVALUE!E476&amp;"
"&amp;TEXTVALUE!$G$1&amp;" : "&amp;TEXTVALUE!G476</f>
        <v>KAMAR : 
MADRASIAH : </v>
      </c>
      <c r="D476" s="14" t="str">
        <f>TEXTVALUE!Q476</f>
        <v>Syahriyah = Rp 0
Jariyah = Rp 0
Daftar Ulang = Rp 0
Total = Rp 0
______________________
ID : </v>
      </c>
      <c r="E476" s="14" t="str">
        <f>TEXTVALUE!P476</f>
        <v>Rp 0</v>
      </c>
      <c r="F476" s="14"/>
    </row>
    <row r="477">
      <c r="A477" s="14" t="str">
        <f>$E$1&amp;""&amp;TEXTVALUE!H477</f>
        <v>+</v>
      </c>
      <c r="B477" s="14" t="str">
        <f>TEXTVALUE!B477</f>
        <v/>
      </c>
      <c r="C477" s="14" t="str">
        <f>TEXTVALUE!$E$1&amp;" : "&amp;TEXTVALUE!E477&amp;"
"&amp;TEXTVALUE!$G$1&amp;" : "&amp;TEXTVALUE!G477</f>
        <v>KAMAR : 
MADRASIAH : </v>
      </c>
      <c r="D477" s="14" t="str">
        <f>TEXTVALUE!Q477</f>
        <v>Syahriyah = Rp 0
Jariyah = Rp 0
Daftar Ulang = Rp 0
Total = Rp 0
______________________
ID : </v>
      </c>
      <c r="E477" s="14" t="str">
        <f>TEXTVALUE!P477</f>
        <v>Rp 0</v>
      </c>
      <c r="F477" s="14"/>
    </row>
    <row r="478">
      <c r="A478" s="14" t="str">
        <f>$E$1&amp;""&amp;TEXTVALUE!H478</f>
        <v>+</v>
      </c>
      <c r="B478" s="14" t="str">
        <f>TEXTVALUE!B478</f>
        <v/>
      </c>
      <c r="C478" s="14" t="str">
        <f>TEXTVALUE!$E$1&amp;" : "&amp;TEXTVALUE!E478&amp;"
"&amp;TEXTVALUE!$G$1&amp;" : "&amp;TEXTVALUE!G478</f>
        <v>KAMAR : 
MADRASIAH : </v>
      </c>
      <c r="D478" s="14" t="str">
        <f>TEXTVALUE!Q478</f>
        <v>Syahriyah = Rp 0
Jariyah = Rp 0
Daftar Ulang = Rp 0
Total = Rp 0
______________________
ID : </v>
      </c>
      <c r="E478" s="14" t="str">
        <f>TEXTVALUE!P478</f>
        <v>Rp 0</v>
      </c>
      <c r="F478" s="14"/>
    </row>
    <row r="479">
      <c r="A479" s="14" t="str">
        <f>$E$1&amp;""&amp;TEXTVALUE!H479</f>
        <v>+</v>
      </c>
      <c r="B479" s="14" t="str">
        <f>TEXTVALUE!B479</f>
        <v/>
      </c>
      <c r="C479" s="14" t="str">
        <f>TEXTVALUE!$E$1&amp;" : "&amp;TEXTVALUE!E479&amp;"
"&amp;TEXTVALUE!$G$1&amp;" : "&amp;TEXTVALUE!G479</f>
        <v>KAMAR : 
MADRASIAH : </v>
      </c>
      <c r="D479" s="14" t="str">
        <f>TEXTVALUE!Q479</f>
        <v>Syahriyah = Rp 0
Jariyah = Rp 0
Daftar Ulang = Rp 0
Total = Rp 0
______________________
ID : </v>
      </c>
      <c r="E479" s="14" t="str">
        <f>TEXTVALUE!P479</f>
        <v>Rp 0</v>
      </c>
      <c r="F479" s="14"/>
    </row>
    <row r="480">
      <c r="A480" s="14" t="str">
        <f>$E$1&amp;""&amp;TEXTVALUE!H480</f>
        <v>+</v>
      </c>
      <c r="B480" s="14" t="str">
        <f>TEXTVALUE!B480</f>
        <v/>
      </c>
      <c r="C480" s="14" t="str">
        <f>TEXTVALUE!$E$1&amp;" : "&amp;TEXTVALUE!E480&amp;"
"&amp;TEXTVALUE!$G$1&amp;" : "&amp;TEXTVALUE!G480</f>
        <v>KAMAR : 
MADRASIAH : </v>
      </c>
      <c r="D480" s="14" t="str">
        <f>TEXTVALUE!Q480</f>
        <v>Syahriyah = Rp 0
Jariyah = Rp 0
Daftar Ulang = Rp 0
Total = Rp 0
______________________
ID : </v>
      </c>
      <c r="E480" s="14" t="str">
        <f>TEXTVALUE!P480</f>
        <v>Rp 0</v>
      </c>
      <c r="F480" s="14"/>
    </row>
    <row r="481">
      <c r="A481" s="14" t="str">
        <f>$E$1&amp;""&amp;TEXTVALUE!H481</f>
        <v>+</v>
      </c>
      <c r="B481" s="14" t="str">
        <f>TEXTVALUE!B481</f>
        <v/>
      </c>
      <c r="C481" s="14" t="str">
        <f>TEXTVALUE!$E$1&amp;" : "&amp;TEXTVALUE!E481&amp;"
"&amp;TEXTVALUE!$G$1&amp;" : "&amp;TEXTVALUE!G481</f>
        <v>KAMAR : 
MADRASIAH : </v>
      </c>
      <c r="D481" s="14" t="str">
        <f>TEXTVALUE!Q481</f>
        <v>Syahriyah = Rp 0
Jariyah = Rp 0
Daftar Ulang = Rp 0
Total = Rp 0
______________________
ID : </v>
      </c>
      <c r="E481" s="14" t="str">
        <f>TEXTVALUE!P481</f>
        <v>Rp 0</v>
      </c>
      <c r="F481" s="14"/>
    </row>
    <row r="482">
      <c r="A482" s="14" t="str">
        <f>$E$1&amp;""&amp;TEXTVALUE!H482</f>
        <v>+</v>
      </c>
      <c r="B482" s="14" t="str">
        <f>TEXTVALUE!B482</f>
        <v/>
      </c>
      <c r="C482" s="14" t="str">
        <f>TEXTVALUE!$E$1&amp;" : "&amp;TEXTVALUE!E482&amp;"
"&amp;TEXTVALUE!$G$1&amp;" : "&amp;TEXTVALUE!G482</f>
        <v>KAMAR : 
MADRASIAH : </v>
      </c>
      <c r="D482" s="14" t="str">
        <f>TEXTVALUE!Q482</f>
        <v>Syahriyah = Rp 0
Jariyah = Rp 0
Daftar Ulang = Rp 0
Total = Rp 0
______________________
ID : </v>
      </c>
      <c r="E482" s="14" t="str">
        <f>TEXTVALUE!P482</f>
        <v>Rp 0</v>
      </c>
      <c r="F482" s="14"/>
    </row>
    <row r="483">
      <c r="A483" s="14" t="str">
        <f>$E$1&amp;""&amp;TEXTVALUE!H483</f>
        <v>+</v>
      </c>
      <c r="B483" s="14" t="str">
        <f>TEXTVALUE!B483</f>
        <v/>
      </c>
      <c r="C483" s="14" t="str">
        <f>TEXTVALUE!$E$1&amp;" : "&amp;TEXTVALUE!E483&amp;"
"&amp;TEXTVALUE!$G$1&amp;" : "&amp;TEXTVALUE!G483</f>
        <v>KAMAR : 
MADRASIAH : </v>
      </c>
      <c r="D483" s="14" t="str">
        <f>TEXTVALUE!Q483</f>
        <v>Syahriyah = Rp 0
Jariyah = Rp 0
Daftar Ulang = Rp 0
Total = Rp 0
______________________
ID : </v>
      </c>
      <c r="E483" s="14" t="str">
        <f>TEXTVALUE!P483</f>
        <v>Rp 0</v>
      </c>
      <c r="F483" s="14"/>
    </row>
    <row r="484">
      <c r="A484" s="14" t="str">
        <f>$E$1&amp;""&amp;TEXTVALUE!H484</f>
        <v>+</v>
      </c>
      <c r="B484" s="14" t="str">
        <f>TEXTVALUE!B484</f>
        <v/>
      </c>
      <c r="C484" s="14" t="str">
        <f>TEXTVALUE!$E$1&amp;" : "&amp;TEXTVALUE!E484&amp;"
"&amp;TEXTVALUE!$G$1&amp;" : "&amp;TEXTVALUE!G484</f>
        <v>KAMAR : 
MADRASIAH : </v>
      </c>
      <c r="D484" s="14" t="str">
        <f>TEXTVALUE!Q484</f>
        <v>Syahriyah = Rp 0
Jariyah = Rp 0
Daftar Ulang = Rp 0
Total = Rp 0
______________________
ID : </v>
      </c>
      <c r="E484" s="14" t="str">
        <f>TEXTVALUE!P484</f>
        <v>Rp 0</v>
      </c>
      <c r="F484" s="14"/>
    </row>
    <row r="485">
      <c r="A485" s="14" t="str">
        <f>$E$1&amp;""&amp;TEXTVALUE!H485</f>
        <v>+</v>
      </c>
      <c r="B485" s="14" t="str">
        <f>TEXTVALUE!B485</f>
        <v/>
      </c>
      <c r="C485" s="14" t="str">
        <f>TEXTVALUE!$E$1&amp;" : "&amp;TEXTVALUE!E485&amp;"
"&amp;TEXTVALUE!$G$1&amp;" : "&amp;TEXTVALUE!G485</f>
        <v>KAMAR : 
MADRASIAH : </v>
      </c>
      <c r="D485" s="14" t="str">
        <f>TEXTVALUE!Q485</f>
        <v>Syahriyah = Rp 0
Jariyah = Rp 0
Daftar Ulang = Rp 0
Total = Rp 0
______________________
ID : </v>
      </c>
      <c r="E485" s="14" t="str">
        <f>TEXTVALUE!P485</f>
        <v>Rp 0</v>
      </c>
      <c r="F485" s="14"/>
    </row>
    <row r="486">
      <c r="A486" s="14" t="str">
        <f>$E$1&amp;""&amp;TEXTVALUE!H486</f>
        <v>+</v>
      </c>
      <c r="B486" s="14" t="str">
        <f>TEXTVALUE!B486</f>
        <v/>
      </c>
      <c r="C486" s="14" t="str">
        <f>TEXTVALUE!$E$1&amp;" : "&amp;TEXTVALUE!E486&amp;"
"&amp;TEXTVALUE!$G$1&amp;" : "&amp;TEXTVALUE!G486</f>
        <v>KAMAR : 
MADRASIAH : </v>
      </c>
      <c r="D486" s="14" t="str">
        <f>TEXTVALUE!Q486</f>
        <v>Syahriyah = Rp 0
Jariyah = Rp 0
Daftar Ulang = Rp 0
Total = Rp 0
______________________
ID : </v>
      </c>
      <c r="E486" s="14" t="str">
        <f>TEXTVALUE!P486</f>
        <v>Rp 0</v>
      </c>
      <c r="F486" s="14"/>
    </row>
    <row r="487">
      <c r="A487" s="14" t="str">
        <f>$E$1&amp;""&amp;TEXTVALUE!H487</f>
        <v>+</v>
      </c>
      <c r="B487" s="14" t="str">
        <f>TEXTVALUE!B487</f>
        <v/>
      </c>
      <c r="C487" s="14" t="str">
        <f>TEXTVALUE!$E$1&amp;" : "&amp;TEXTVALUE!E487&amp;"
"&amp;TEXTVALUE!$G$1&amp;" : "&amp;TEXTVALUE!G487</f>
        <v>KAMAR : 
MADRASIAH : </v>
      </c>
      <c r="D487" s="14" t="str">
        <f>TEXTVALUE!Q487</f>
        <v>Syahriyah = Rp 0
Jariyah = Rp 0
Daftar Ulang = Rp 0
Total = Rp 0
______________________
ID : </v>
      </c>
      <c r="E487" s="14" t="str">
        <f>TEXTVALUE!P487</f>
        <v>Rp 0</v>
      </c>
      <c r="F487" s="14"/>
    </row>
    <row r="488">
      <c r="A488" s="14" t="str">
        <f>$E$1&amp;""&amp;TEXTVALUE!H488</f>
        <v>+</v>
      </c>
      <c r="B488" s="14" t="str">
        <f>TEXTVALUE!B488</f>
        <v/>
      </c>
      <c r="C488" s="14" t="str">
        <f>TEXTVALUE!$E$1&amp;" : "&amp;TEXTVALUE!E488&amp;"
"&amp;TEXTVALUE!$G$1&amp;" : "&amp;TEXTVALUE!G488</f>
        <v>KAMAR : 
MADRASIAH : </v>
      </c>
      <c r="D488" s="14" t="str">
        <f>TEXTVALUE!Q488</f>
        <v>Syahriyah = Rp 0
Jariyah = Rp 0
Daftar Ulang = Rp 0
Total = Rp 0
______________________
ID : </v>
      </c>
      <c r="E488" s="14" t="str">
        <f>TEXTVALUE!P488</f>
        <v>Rp 0</v>
      </c>
      <c r="F488" s="14"/>
    </row>
    <row r="489">
      <c r="A489" s="14" t="str">
        <f>$E$1&amp;""&amp;TEXTVALUE!H489</f>
        <v>+</v>
      </c>
      <c r="B489" s="14" t="str">
        <f>TEXTVALUE!B489</f>
        <v/>
      </c>
      <c r="C489" s="14" t="str">
        <f>TEXTVALUE!$E$1&amp;" : "&amp;TEXTVALUE!E489&amp;"
"&amp;TEXTVALUE!$G$1&amp;" : "&amp;TEXTVALUE!G489</f>
        <v>KAMAR : 
MADRASIAH : </v>
      </c>
      <c r="D489" s="14" t="str">
        <f>TEXTVALUE!Q489</f>
        <v>Syahriyah = Rp 0
Jariyah = Rp 0
Daftar Ulang = Rp 0
Total = Rp 0
______________________
ID : </v>
      </c>
      <c r="E489" s="14" t="str">
        <f>TEXTVALUE!P489</f>
        <v>Rp 0</v>
      </c>
      <c r="F489" s="14"/>
    </row>
    <row r="490">
      <c r="A490" s="14" t="str">
        <f>$E$1&amp;""&amp;TEXTVALUE!H490</f>
        <v>+</v>
      </c>
      <c r="B490" s="14" t="str">
        <f>TEXTVALUE!B490</f>
        <v/>
      </c>
      <c r="C490" s="14" t="str">
        <f>TEXTVALUE!$E$1&amp;" : "&amp;TEXTVALUE!E490&amp;"
"&amp;TEXTVALUE!$G$1&amp;" : "&amp;TEXTVALUE!G490</f>
        <v>KAMAR : 
MADRASIAH : </v>
      </c>
      <c r="D490" s="14" t="str">
        <f>TEXTVALUE!Q490</f>
        <v>Syahriyah = Rp 0
Jariyah = Rp 0
Daftar Ulang = Rp 0
Total = Rp 0
______________________
ID : </v>
      </c>
      <c r="E490" s="14" t="str">
        <f>TEXTVALUE!P490</f>
        <v>Rp 0</v>
      </c>
      <c r="F490" s="14"/>
    </row>
    <row r="491">
      <c r="A491" s="14" t="str">
        <f>$E$1&amp;""&amp;TEXTVALUE!H491</f>
        <v>+</v>
      </c>
      <c r="B491" s="14" t="str">
        <f>TEXTVALUE!B491</f>
        <v/>
      </c>
      <c r="C491" s="14" t="str">
        <f>TEXTVALUE!$E$1&amp;" : "&amp;TEXTVALUE!E491&amp;"
"&amp;TEXTVALUE!$G$1&amp;" : "&amp;TEXTVALUE!G491</f>
        <v>KAMAR : 
MADRASIAH : </v>
      </c>
      <c r="D491" s="14" t="str">
        <f>TEXTVALUE!Q491</f>
        <v>Syahriyah = Rp 0
Jariyah = Rp 0
Daftar Ulang = Rp 0
Total = Rp 0
______________________
ID : </v>
      </c>
      <c r="E491" s="14" t="str">
        <f>TEXTVALUE!P491</f>
        <v>Rp 0</v>
      </c>
      <c r="F491" s="14"/>
    </row>
    <row r="492">
      <c r="A492" s="14" t="str">
        <f>$E$1&amp;""&amp;TEXTVALUE!H492</f>
        <v>+</v>
      </c>
      <c r="B492" s="14" t="str">
        <f>TEXTVALUE!B492</f>
        <v/>
      </c>
      <c r="C492" s="14" t="str">
        <f>TEXTVALUE!$E$1&amp;" : "&amp;TEXTVALUE!E492&amp;"
"&amp;TEXTVALUE!$G$1&amp;" : "&amp;TEXTVALUE!G492</f>
        <v>KAMAR : 
MADRASIAH : </v>
      </c>
      <c r="D492" s="14" t="str">
        <f>TEXTVALUE!Q492</f>
        <v>Syahriyah = Rp 0
Jariyah = Rp 0
Daftar Ulang = Rp 0
Total = Rp 0
______________________
ID : </v>
      </c>
      <c r="E492" s="14" t="str">
        <f>TEXTVALUE!P492</f>
        <v>Rp 0</v>
      </c>
      <c r="F492" s="14"/>
    </row>
    <row r="493">
      <c r="A493" s="14" t="str">
        <f>$E$1&amp;""&amp;TEXTVALUE!H493</f>
        <v>+</v>
      </c>
      <c r="B493" s="14" t="str">
        <f>TEXTVALUE!B493</f>
        <v/>
      </c>
      <c r="C493" s="14" t="str">
        <f>TEXTVALUE!$E$1&amp;" : "&amp;TEXTVALUE!E493&amp;"
"&amp;TEXTVALUE!$G$1&amp;" : "&amp;TEXTVALUE!G493</f>
        <v>KAMAR : 
MADRASIAH : </v>
      </c>
      <c r="D493" s="14" t="str">
        <f>TEXTVALUE!Q493</f>
        <v>Syahriyah = Rp 0
Jariyah = Rp 0
Daftar Ulang = Rp 0
Total = Rp 0
______________________
ID : </v>
      </c>
      <c r="E493" s="14" t="str">
        <f>TEXTVALUE!P493</f>
        <v>Rp 0</v>
      </c>
      <c r="F493" s="14"/>
    </row>
    <row r="494">
      <c r="A494" s="14" t="str">
        <f>$E$1&amp;""&amp;TEXTVALUE!H494</f>
        <v>+</v>
      </c>
      <c r="B494" s="14" t="str">
        <f>TEXTVALUE!B494</f>
        <v/>
      </c>
      <c r="C494" s="14" t="str">
        <f>TEXTVALUE!$E$1&amp;" : "&amp;TEXTVALUE!E494&amp;"
"&amp;TEXTVALUE!$G$1&amp;" : "&amp;TEXTVALUE!G494</f>
        <v>KAMAR : 
MADRASIAH : </v>
      </c>
      <c r="D494" s="14" t="str">
        <f>TEXTVALUE!Q494</f>
        <v>Syahriyah = Rp 0
Jariyah = Rp 0
Daftar Ulang = Rp 0
Total = Rp 0
______________________
ID : </v>
      </c>
      <c r="E494" s="14" t="str">
        <f>TEXTVALUE!P494</f>
        <v>Rp 0</v>
      </c>
      <c r="F494" s="14"/>
    </row>
    <row r="495">
      <c r="A495" s="14" t="str">
        <f>$E$1&amp;""&amp;TEXTVALUE!H495</f>
        <v>+</v>
      </c>
      <c r="B495" s="14" t="str">
        <f>TEXTVALUE!B495</f>
        <v/>
      </c>
      <c r="C495" s="14" t="str">
        <f>TEXTVALUE!$E$1&amp;" : "&amp;TEXTVALUE!E495&amp;"
"&amp;TEXTVALUE!$G$1&amp;" : "&amp;TEXTVALUE!G495</f>
        <v>KAMAR : 
MADRASIAH : </v>
      </c>
      <c r="D495" s="14" t="str">
        <f>TEXTVALUE!Q495</f>
        <v>Syahriyah = Rp 0
Jariyah = Rp 0
Daftar Ulang = Rp 0
Total = Rp 0
______________________
ID : </v>
      </c>
      <c r="E495" s="14" t="str">
        <f>TEXTVALUE!P495</f>
        <v>Rp 0</v>
      </c>
      <c r="F495" s="14"/>
    </row>
    <row r="496">
      <c r="A496" s="14" t="str">
        <f>$E$1&amp;""&amp;TEXTVALUE!H496</f>
        <v>+</v>
      </c>
      <c r="B496" s="14" t="str">
        <f>TEXTVALUE!B496</f>
        <v/>
      </c>
      <c r="C496" s="14" t="str">
        <f>TEXTVALUE!$E$1&amp;" : "&amp;TEXTVALUE!E496&amp;"
"&amp;TEXTVALUE!$G$1&amp;" : "&amp;TEXTVALUE!G496</f>
        <v>KAMAR : 
MADRASIAH : </v>
      </c>
      <c r="D496" s="14" t="str">
        <f>TEXTVALUE!Q496</f>
        <v>Syahriyah = Rp 0
Jariyah = Rp 0
Daftar Ulang = Rp 0
Total = Rp 0
______________________
ID : </v>
      </c>
      <c r="E496" s="14" t="str">
        <f>TEXTVALUE!P496</f>
        <v>Rp 0</v>
      </c>
      <c r="F496" s="14"/>
    </row>
    <row r="497">
      <c r="A497" s="14" t="str">
        <f>$E$1&amp;""&amp;TEXTVALUE!H497</f>
        <v>+</v>
      </c>
      <c r="B497" s="14" t="str">
        <f>TEXTVALUE!B497</f>
        <v/>
      </c>
      <c r="C497" s="14" t="str">
        <f>TEXTVALUE!$E$1&amp;" : "&amp;TEXTVALUE!E497&amp;"
"&amp;TEXTVALUE!$G$1&amp;" : "&amp;TEXTVALUE!G497</f>
        <v>KAMAR : 
MADRASIAH : </v>
      </c>
      <c r="D497" s="14" t="str">
        <f>TEXTVALUE!Q497</f>
        <v>Syahriyah = Rp 0
Jariyah = Rp 0
Daftar Ulang = Rp 0
Total = Rp 0
______________________
ID : </v>
      </c>
      <c r="E497" s="14" t="str">
        <f>TEXTVALUE!P497</f>
        <v>Rp 0</v>
      </c>
      <c r="F497" s="14"/>
    </row>
    <row r="498">
      <c r="A498" s="14" t="str">
        <f>$E$1&amp;""&amp;TEXTVALUE!H498</f>
        <v>+</v>
      </c>
      <c r="B498" s="14" t="str">
        <f>TEXTVALUE!B498</f>
        <v/>
      </c>
      <c r="C498" s="14" t="str">
        <f>TEXTVALUE!$E$1&amp;" : "&amp;TEXTVALUE!E498&amp;"
"&amp;TEXTVALUE!$G$1&amp;" : "&amp;TEXTVALUE!G498</f>
        <v>KAMAR : 
MADRASIAH : </v>
      </c>
      <c r="D498" s="14" t="str">
        <f>TEXTVALUE!Q498</f>
        <v>Syahriyah = Rp 0
Jariyah = Rp 0
Daftar Ulang = Rp 0
Total = Rp 0
______________________
ID : </v>
      </c>
      <c r="E498" s="14" t="str">
        <f>TEXTVALUE!P498</f>
        <v>Rp 0</v>
      </c>
      <c r="F498" s="14"/>
    </row>
    <row r="499">
      <c r="A499" s="14" t="str">
        <f>$E$1&amp;""&amp;TEXTVALUE!H499</f>
        <v>+</v>
      </c>
      <c r="B499" s="14" t="str">
        <f>TEXTVALUE!B499</f>
        <v/>
      </c>
      <c r="C499" s="14" t="str">
        <f>TEXTVALUE!$E$1&amp;" : "&amp;TEXTVALUE!E499&amp;"
"&amp;TEXTVALUE!$G$1&amp;" : "&amp;TEXTVALUE!G499</f>
        <v>KAMAR : 
MADRASIAH : </v>
      </c>
      <c r="D499" s="14" t="str">
        <f>TEXTVALUE!Q499</f>
        <v>Syahriyah = Rp 0
Jariyah = Rp 0
Daftar Ulang = Rp 0
Total = Rp 0
______________________
ID : </v>
      </c>
      <c r="E499" s="14" t="str">
        <f>TEXTVALUE!P499</f>
        <v>Rp 0</v>
      </c>
      <c r="F499" s="14"/>
    </row>
    <row r="500">
      <c r="A500" s="14" t="str">
        <f>$E$1&amp;""&amp;TEXTVALUE!H500</f>
        <v>+</v>
      </c>
      <c r="B500" s="14" t="str">
        <f>TEXTVALUE!B500</f>
        <v/>
      </c>
      <c r="C500" s="14" t="str">
        <f>TEXTVALUE!$E$1&amp;" : "&amp;TEXTVALUE!E500&amp;"
"&amp;TEXTVALUE!$G$1&amp;" : "&amp;TEXTVALUE!G500</f>
        <v>KAMAR : 
MADRASIAH : </v>
      </c>
      <c r="D500" s="14" t="str">
        <f>TEXTVALUE!Q500</f>
        <v>Syahriyah = Rp 0
Jariyah = Rp 0
Daftar Ulang = Rp 0
Total = Rp 0
______________________
ID : </v>
      </c>
      <c r="E500" s="14" t="str">
        <f>TEXTVALUE!P500</f>
        <v>Rp 0</v>
      </c>
      <c r="F500" s="14"/>
    </row>
    <row r="501">
      <c r="A501" s="14" t="str">
        <f>$E$1&amp;""&amp;TEXTVALUE!H501</f>
        <v>+</v>
      </c>
      <c r="B501" s="14" t="str">
        <f>TEXTVALUE!B501</f>
        <v/>
      </c>
      <c r="C501" s="14" t="str">
        <f>TEXTVALUE!$E$1&amp;" : "&amp;TEXTVALUE!E501&amp;"
"&amp;TEXTVALUE!$G$1&amp;" : "&amp;TEXTVALUE!G501</f>
        <v>KAMAR : 
MADRASIAH : </v>
      </c>
      <c r="D501" s="14" t="str">
        <f>TEXTVALUE!Q501</f>
        <v>Syahriyah = Rp 0
Jariyah = Rp 0
Daftar Ulang = Rp 0
Total = Rp 0
______________________
ID : </v>
      </c>
      <c r="E501" s="14" t="str">
        <f>TEXTVALUE!P501</f>
        <v>Rp 0</v>
      </c>
      <c r="F501" s="14"/>
    </row>
    <row r="502">
      <c r="A502" s="14" t="str">
        <f>$E$1&amp;""&amp;TEXTVALUE!H502</f>
        <v>+</v>
      </c>
      <c r="B502" s="14" t="str">
        <f>TEXTVALUE!B502</f>
        <v/>
      </c>
      <c r="C502" s="14" t="str">
        <f>TEXTVALUE!$E$1&amp;" : "&amp;TEXTVALUE!E502&amp;"
"&amp;TEXTVALUE!$G$1&amp;" : "&amp;TEXTVALUE!G502</f>
        <v>KAMAR : 
MADRASIAH : </v>
      </c>
      <c r="D502" s="14" t="str">
        <f>TEXTVALUE!Q502</f>
        <v>Syahriyah = Rp 0
Jariyah = Rp 0
Daftar Ulang = Rp 0
Total = Rp 0
______________________
ID : </v>
      </c>
      <c r="E502" s="14" t="str">
        <f>TEXTVALUE!P502</f>
        <v>Rp 0</v>
      </c>
      <c r="F502" s="14"/>
    </row>
    <row r="503">
      <c r="A503" s="14" t="str">
        <f>$E$1&amp;""&amp;TEXTVALUE!H503</f>
        <v>+</v>
      </c>
      <c r="B503" s="14" t="str">
        <f>TEXTVALUE!B503</f>
        <v/>
      </c>
      <c r="C503" s="14" t="str">
        <f>TEXTVALUE!$E$1&amp;" : "&amp;TEXTVALUE!E503&amp;"
"&amp;TEXTVALUE!$G$1&amp;" : "&amp;TEXTVALUE!G503</f>
        <v>KAMAR : 
MADRASIAH : </v>
      </c>
      <c r="D503" s="14" t="str">
        <f>TEXTVALUE!Q503</f>
        <v>Syahriyah = Rp 0
Jariyah = Rp 0
Daftar Ulang = Rp 0
Total = Rp 0
______________________
ID : </v>
      </c>
      <c r="E503" s="14" t="str">
        <f>TEXTVALUE!P503</f>
        <v>Rp 0</v>
      </c>
      <c r="F503" s="14"/>
    </row>
    <row r="504">
      <c r="A504" s="14" t="str">
        <f>$E$1&amp;""&amp;TEXTVALUE!H504</f>
        <v>+</v>
      </c>
      <c r="B504" s="14" t="str">
        <f>TEXTVALUE!B504</f>
        <v/>
      </c>
      <c r="C504" s="14" t="str">
        <f>TEXTVALUE!$E$1&amp;" : "&amp;TEXTVALUE!E504&amp;"
"&amp;TEXTVALUE!$G$1&amp;" : "&amp;TEXTVALUE!G504</f>
        <v>KAMAR : 
MADRASIAH : </v>
      </c>
      <c r="D504" s="14" t="str">
        <f>TEXTVALUE!Q504</f>
        <v>Syahriyah = Rp 0
Jariyah = Rp 0
Daftar Ulang = Rp 0
Total = Rp 0
______________________
ID : </v>
      </c>
      <c r="E504" s="14" t="str">
        <f>TEXTVALUE!P504</f>
        <v>Rp 0</v>
      </c>
      <c r="F504" s="14"/>
    </row>
    <row r="505">
      <c r="A505" s="14" t="str">
        <f>$E$1&amp;""&amp;TEXTVALUE!H505</f>
        <v>+</v>
      </c>
      <c r="B505" s="14" t="str">
        <f>TEXTVALUE!B505</f>
        <v/>
      </c>
      <c r="C505" s="14" t="str">
        <f>TEXTVALUE!$E$1&amp;" : "&amp;TEXTVALUE!E505&amp;"
"&amp;TEXTVALUE!$G$1&amp;" : "&amp;TEXTVALUE!G505</f>
        <v>KAMAR : 
MADRASIAH : </v>
      </c>
      <c r="D505" s="14" t="str">
        <f>TEXTVALUE!Q505</f>
        <v>Syahriyah = Rp 0
Jariyah = Rp 0
Daftar Ulang = Rp 0
Total = Rp 0
______________________
ID : </v>
      </c>
      <c r="E505" s="14" t="str">
        <f>TEXTVALUE!P505</f>
        <v>Rp 0</v>
      </c>
      <c r="F505" s="14"/>
    </row>
    <row r="506">
      <c r="A506" s="14" t="str">
        <f>$E$1&amp;""&amp;TEXTVALUE!H506</f>
        <v>+</v>
      </c>
      <c r="B506" s="14" t="str">
        <f>TEXTVALUE!B506</f>
        <v/>
      </c>
      <c r="C506" s="14" t="str">
        <f>TEXTVALUE!$E$1&amp;" : "&amp;TEXTVALUE!E506&amp;"
"&amp;TEXTVALUE!$G$1&amp;" : "&amp;TEXTVALUE!G506</f>
        <v>KAMAR : 
MADRASIAH : </v>
      </c>
      <c r="D506" s="14" t="str">
        <f>TEXTVALUE!Q506</f>
        <v/>
      </c>
      <c r="E506" s="14" t="str">
        <f>TEXTVALUE!P506</f>
        <v/>
      </c>
      <c r="F506" s="14"/>
    </row>
  </sheetData>
  <drawing r:id="rId1"/>
</worksheet>
</file>